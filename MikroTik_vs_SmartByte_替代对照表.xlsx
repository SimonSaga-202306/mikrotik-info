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替代对照表" sheetId="2" state="visible" r:id="rId2"/>
    <sheet xmlns:r="http://schemas.openxmlformats.org/officeDocument/2006/relationships" name="MikroTik出口地(Comtrade2024)" sheetId="3" state="visible" r:id="rId3"/>
    <sheet xmlns:r="http://schemas.openxmlformats.org/officeDocument/2006/relationships" name="落地价与关税" sheetId="4" state="visible" r:id="rId4"/>
    <sheet xmlns:r="http://schemas.openxmlformats.org/officeDocument/2006/relationships" name="MikroTik关键事实(实测)" sheetId="5" state="visible" r:id="rId5"/>
    <sheet xmlns:r="http://schemas.openxmlformats.org/officeDocument/2006/relationships" name="SmartByte关键SKU" sheetId="6" state="visible" r:id="rId6"/>
    <sheet xmlns:r="http://schemas.openxmlformats.org/officeDocument/2006/relationships" name="原Excel数据修正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  <c r="G8" t="inlineStr"/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  <c r="G10" t="inlineStr"/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  <c r="G11" t="inlineStr"/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  <c r="G12" t="inlineStr"/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  <c r="G13" t="inlineStr"/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  <c r="G15" t="inlineStr"/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  <c r="G16" t="inlineStr"/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  <c r="G18" t="inlineStr"/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  <c r="G19" t="inlineStr"/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  <c r="G20" t="inlineStr"/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  <c r="G21" t="inlineStr"/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  <c r="G23" t="inlineStr"/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  <c r="G24" t="inlineStr"/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  <c r="G25" t="inlineStr"/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  <c r="G26" t="inlineStr"/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  <c r="G27" t="inlineStr"/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  <c r="G28" t="inlineStr"/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  <c r="G29" t="inlineStr"/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  <c r="G30" t="inlineStr"/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  <c r="G31" t="inlineStr"/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  <c r="G32" t="inlineStr"/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  <c r="G33" t="inlineStr"/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  <c r="G34" t="inlineStr"/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  <c r="G35" t="inlineStr"/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  <c r="G36" t="inlineStr"/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  <c r="G37" t="inlineStr"/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  <c r="G38" t="inlineStr"/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  <c r="G39" t="inlineStr"/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  <c r="G40" t="inlineStr"/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  <c r="G41" t="inlineStr"/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  <c r="G42" t="inlineStr"/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  <c r="G43" t="inlineStr"/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  <c r="G44" t="inlineStr"/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  <c r="G45" t="inlineStr"/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  <c r="G46" t="inlineStr"/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  <c r="G47" t="inlineStr"/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  <c r="G48" t="inlineStr"/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  <c r="G49" t="inlineStr"/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  <c r="G50" t="inlineStr"/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  <c r="G51" t="inlineStr"/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  <c r="G52" t="inlineStr"/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  <c r="G53" t="inlineStr"/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  <c r="G54" t="inlineStr"/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  <c r="G55" t="inlineStr"/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  <c r="G56" t="inlineStr"/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  <c r="G57" t="inlineStr"/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  <c r="G58" t="inlineStr"/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  <c r="G59" t="inlineStr"/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  <c r="G60" t="inlineStr"/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  <c r="G61" t="inlineStr"/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  <c r="G62" t="inlineStr"/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  <c r="G63" t="inlineStr"/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  <c r="G64" t="inlineStr"/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  <c r="G65" t="inlineStr"/>
    </row>
    <row r="66">
      <c r="A66" t="inlineStr"/>
      <c r="B66" t="inlineStr">
        <is>
          <t>其他未查询国家（合计约 90 国）</t>
        </is>
      </c>
      <c r="C66" t="inlineStr"/>
      <c r="D66" t="inlineStr"/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A71" t="inlineStr"/>
      <c r="B71" t="inlineStr">
        <is>
          <t>欧洲</t>
        </is>
      </c>
      <c r="C71" t="inlineStr"/>
      <c r="D71" t="inlineStr"/>
      <c r="E71" s="7">
        <f>SUMIF(D3:D65,"欧洲",E3:E65)</f>
        <v/>
      </c>
      <c r="F71" s="8">
        <f>E71/422324814</f>
        <v/>
      </c>
      <c r="G71" t="inlineStr"/>
    </row>
    <row r="72">
      <c r="A72" t="inlineStr"/>
      <c r="B72" t="inlineStr">
        <is>
          <t>北美</t>
        </is>
      </c>
      <c r="C72" t="inlineStr"/>
      <c r="D72" t="inlineStr"/>
      <c r="E72" s="7">
        <f>SUMIF(D3:D65,"北美",E3:E65)</f>
        <v/>
      </c>
      <c r="F72" s="8">
        <f>E72/422324814</f>
        <v/>
      </c>
      <c r="G72" t="inlineStr"/>
    </row>
    <row r="73">
      <c r="A73" t="inlineStr"/>
      <c r="B73" t="inlineStr">
        <is>
          <t>中东/土耳其</t>
        </is>
      </c>
      <c r="C73" t="inlineStr"/>
      <c r="D73" t="inlineStr"/>
      <c r="E73" s="7">
        <f>SUMIF(D3:D65,"中东/土耳其",E3:E65)</f>
        <v/>
      </c>
      <c r="F73" s="8">
        <f>E73/422324814</f>
        <v/>
      </c>
      <c r="G73" t="inlineStr"/>
    </row>
    <row r="74">
      <c r="A74" t="inlineStr"/>
      <c r="B74" t="inlineStr">
        <is>
          <t>亚太</t>
        </is>
      </c>
      <c r="C74" t="inlineStr"/>
      <c r="D74" t="inlineStr"/>
      <c r="E74" s="7">
        <f>SUMIF(D3:D65,"亚太",E3:E65)</f>
        <v/>
      </c>
      <c r="F74" s="8">
        <f>E74/422324814</f>
        <v/>
      </c>
      <c r="G74" t="inlineStr"/>
    </row>
    <row r="75">
      <c r="A75" t="inlineStr"/>
      <c r="B75" t="inlineStr">
        <is>
          <t>拉美</t>
        </is>
      </c>
      <c r="C75" t="inlineStr"/>
      <c r="D75" t="inlineStr"/>
      <c r="E75" s="7">
        <f>SUMIF(D3:D65,"拉美",E3:E65)</f>
        <v/>
      </c>
      <c r="F75" s="8">
        <f>E75/422324814</f>
        <v/>
      </c>
      <c r="G75" t="inlineStr"/>
    </row>
    <row r="76">
      <c r="A76" t="inlineStr"/>
      <c r="B76" t="inlineStr">
        <is>
          <t>非洲</t>
        </is>
      </c>
      <c r="C76" t="inlineStr"/>
      <c r="D76" t="inlineStr"/>
      <c r="E76" s="7">
        <f>SUMIF(D3:D65,"非洲",E3:E65)</f>
        <v/>
      </c>
      <c r="F76" s="8">
        <f>E76/422324814</f>
        <v/>
      </c>
      <c r="G76" t="inlineStr"/>
    </row>
    <row r="77">
      <c r="A77" t="inlineStr"/>
      <c r="B77" t="inlineStr">
        <is>
          <t>独联体/中亚</t>
        </is>
      </c>
      <c r="C77" t="inlineStr"/>
      <c r="D77" t="inlineStr"/>
      <c r="E77" s="7">
        <f>SUMIF(D3:D65,"独联体/中亚",E3:E65)</f>
        <v/>
      </c>
      <c r="F77" s="8">
        <f>E77/422324814</f>
        <v/>
      </c>
      <c r="G77" t="inlineStr"/>
    </row>
    <row r="78">
      <c r="A78" t="inlineStr"/>
      <c r="B78" t="inlineStr">
        <is>
          <t>其他未查询国家</t>
        </is>
      </c>
      <c r="C78" t="inlineStr"/>
      <c r="D78" t="inlineStr"/>
      <c r="E78" s="7">
        <f>422324814-SUM(E3:E65)</f>
        <v/>
      </c>
      <c r="F78" s="8">
        <f>E78/422324814</f>
        <v/>
      </c>
      <c r="G78" t="inlineStr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2026-09-21T12:40:58Z</dcterms:created>
  <dcterms:modified xmlns:dcterms="http://purl.org/dc/terms/" xmlns:xsi="http://www.w3.org/2001/XMLSchema-instance" xsi:type="dcterms:W3CDTF">2026-09-21T12:54:02Z</dcterms:modified>
</cp:coreProperties>
</file>