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替代对照表" sheetId="2" state="visible" r:id="rId2"/>
    <sheet name="竞品全景" sheetId="3" state="visible" r:id="rId3"/>
    <sheet name="Marvell品牌全景" sheetId="4" state="visible" r:id="rId4"/>
    <sheet name="A类客户速查" sheetId="5" state="visible" r:id="rId5"/>
    <sheet name="反向信号名单" sheetId="6" state="visible" r:id="rId6"/>
    <sheet name="欧洲街价锚点" sheetId="7" state="visible" r:id="rId7"/>
    <sheet name="重点客户配货表" sheetId="8" state="visible" r:id="rId8"/>
    <sheet name="MikroTik全产品线" sheetId="9" state="visible" r:id="rId9"/>
    <sheet name="合规文件清单" sheetId="10" state="visible" r:id="rId10"/>
    <sheet name="开发系统-节奏与KPI" sheetId="11" state="visible" r:id="rId11"/>
    <sheet name="MikroTik出口地(Comtrade2024)" sheetId="12" state="visible" r:id="rId12"/>
    <sheet name="落地价与关税" sheetId="13" state="visible" r:id="rId13"/>
    <sheet name="MikroTik关键事实(实测)" sheetId="14" state="visible" r:id="rId14"/>
    <sheet name="SmartByte关键SKU" sheetId="15" state="visible" r:id="rId15"/>
    <sheet name="原Excel数据修正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%;-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  <xf numFmtId="3" fontId="1" fillId="0" borderId="0" pivotButton="0" quotePrefix="0" xfId="0"/>
    <xf numFmtId="164" fontId="1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wrapText="1"/>
    </xf>
    <xf numFmtId="164" fontId="0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说明</t>
        </is>
      </c>
    </row>
    <row r="2">
      <c r="A2" t="inlineStr">
        <is>
          <t>USD/CNY 汇率</t>
        </is>
      </c>
      <c r="B2" t="n">
        <v>7.1</v>
      </c>
      <c r="C2" t="inlineStr">
        <is>
          <t>修改此格，对照表里的美元进价/售价自动更新</t>
        </is>
      </c>
    </row>
    <row r="3">
      <c r="A3" t="inlineStr">
        <is>
          <t>加价率</t>
        </is>
      </c>
      <c r="B3" t="n">
        <v>0.3</v>
      </c>
      <c r="C3" t="inlineStr">
        <is>
          <t>贸易商加价（买100卖130 = 0.30）</t>
        </is>
      </c>
    </row>
    <row r="5">
      <c r="A5" t="inlineStr">
        <is>
          <t>价格来源说明</t>
        </is>
      </c>
    </row>
    <row r="6">
      <c r="A6" t="inlineStr">
        <is>
          <t>MikroTik = 官网 Suggested price (MSRP)。标 ✅ 为 2026-09 官网实测；标 * 为仓库 Excel 抓取值，建议核实。</t>
        </is>
      </c>
    </row>
    <row r="7">
      <c r="A7" t="inlineStr">
        <is>
          <t>SmartByte = 价格表 2026.09.01–2026.12.30 未税 RMB 进价（for Simon）。</t>
        </is>
      </c>
    </row>
    <row r="9">
      <c r="A9" t="inlineStr">
        <is>
          <t>MikroTik 出口地数据 = UN Comtrade 2024（见 'MikroTik出口地(Comtrade2024)' sheet）；MikroTik 营收 2023/2024/2025 = €401.6M / €326.7M / €344.6M（Lursoft）。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10" customWidth="1" min="3" max="3"/>
    <col width="8" customWidth="1" min="4" max="4"/>
    <col width="30" customWidth="1" min="5" max="5"/>
    <col width="46" customWidth="1" min="6" max="6"/>
    <col width="10" customWidth="1" min="7" max="7"/>
    <col width="10" customWidth="1" min="8" max="8"/>
    <col width="12" customWidth="1" min="9" max="9"/>
    <col width="10" customWidth="1" min="10" max="10"/>
    <col width="42" customWidth="1" min="11" max="11"/>
    <col width="46" customWidth="1" min="12" max="12"/>
    <col width="18" customWidth="1" min="13" max="13"/>
  </cols>
  <sheetData>
    <row r="1" ht="30" customHeight="1">
      <c r="A1" s="2" t="inlineStr">
        <is>
          <t>MikroTik 型号</t>
        </is>
      </c>
      <c r="B1" s="2" t="inlineStr">
        <is>
          <t>MikroTik 端口/要点</t>
        </is>
      </c>
      <c r="C1" s="2" t="inlineStr">
        <is>
          <t>MSRP USD</t>
        </is>
      </c>
      <c r="D1" s="2" t="inlineStr">
        <is>
          <t>价格来源</t>
        </is>
      </c>
      <c r="E1" s="2" t="inlineStr">
        <is>
          <t>最接近的 SmartByte 型号</t>
        </is>
      </c>
      <c r="F1" s="2" t="inlineStr">
        <is>
          <t>SmartByte 端口/要点</t>
        </is>
      </c>
      <c r="G1" s="2" t="inlineStr">
        <is>
          <t>进价 RMB</t>
        </is>
      </c>
      <c r="H1" s="2" t="inlineStr">
        <is>
          <t>≈进价 USD</t>
        </is>
      </c>
      <c r="I1" s="2" t="inlineStr">
        <is>
          <t>建议售价 USD</t>
        </is>
      </c>
      <c r="J1" s="2" t="inlineStr">
        <is>
          <t>售价/MSRP</t>
        </is>
      </c>
      <c r="K1" s="2" t="inlineStr">
        <is>
          <t>你赢在</t>
        </is>
      </c>
      <c r="L1" s="2" t="inlineStr">
        <is>
          <t>你输在 / 注意</t>
        </is>
      </c>
      <c r="M1" s="2" t="inlineStr">
        <is>
          <t>匹配度</t>
        </is>
      </c>
    </row>
    <row r="2">
      <c r="A2" s="3" t="inlineStr">
        <is>
          <t>CSS326-24G-2S+RM</t>
        </is>
      </c>
      <c r="B2" s="3" t="inlineStr">
        <is>
          <t>24G+2×SFP+；SwOS only；98DX3216；无CLI/SSH/LLDP/Trap；SNMP只读；250 VLAN/32 ACL；-20~70°C</t>
        </is>
      </c>
      <c r="C2" s="3" t="n">
        <v>159</v>
      </c>
      <c r="D2" s="3" t="inlineStr">
        <is>
          <t>✅</t>
        </is>
      </c>
      <c r="E2" s="3" t="inlineStr">
        <is>
          <t>LT-S8328XG-4XS24GT-S</t>
        </is>
      </c>
      <c r="F2" s="3" t="inlineStr">
        <is>
          <t>24G+4×SFP+(1/2.5/10G)；L2+；AC5 1.2GHz 512MB/512MB；Console；0~50°C；3年保修</t>
        </is>
      </c>
      <c r="G2" s="3" t="n">
        <v>710</v>
      </c>
      <c r="H2" s="3">
        <f>IF(G2="","",ROUND(G2/参数!$B$2,0))</f>
        <v/>
      </c>
      <c r="I2" s="3">
        <f>IF(G2="","",ROUND(G2/参数!$B$2*(1+参数!$B$3),0))</f>
        <v/>
      </c>
      <c r="J2" s="4">
        <f>IF(OR(G2="",C2=""),"",ROUND(I2/C2,2))</f>
        <v/>
      </c>
      <c r="K2" s="3" t="inlineStr">
        <is>
          <t>4×10G、Cisco风格CLI/SSH、SNMPv3+Trap、LLDP、MSTP+ERPS、QinQ、480 ACL、静态路由、MQTT</t>
        </is>
      </c>
      <c r="L2" s="3" t="inlineStr">
        <is>
          <t>温度 0~50 vs -20~70</t>
        </is>
      </c>
      <c r="M2" s="3" t="inlineStr">
        <is>
          <t>★★★★★ 降维打击</t>
        </is>
      </c>
    </row>
    <row r="3">
      <c r="A3" s="3" t="inlineStr">
        <is>
          <t>CRS326-24G-2S+RM</t>
        </is>
      </c>
      <c r="B3" s="3" t="inlineStr">
        <is>
          <t>24G+2×SFP+；RouterOS/SwOS；98DX3236 ARM 2×800MHz；-40~60°C；有QinQ/MSTP/L3卸载/API</t>
        </is>
      </c>
      <c r="C3" s="3" t="n">
        <v>209</v>
      </c>
      <c r="D3" s="3" t="inlineStr">
        <is>
          <t>✅</t>
        </is>
      </c>
      <c r="E3" s="3" t="inlineStr">
        <is>
          <t>LT-S8328XG-4XS24GT-S</t>
        </is>
      </c>
      <c r="F3" s="3" t="inlineStr">
        <is>
          <t>同上</t>
        </is>
      </c>
      <c r="G3" s="3" t="n">
        <v>710</v>
      </c>
      <c r="H3" s="3">
        <f>IF(G3="","",ROUND(G3/参数!$B$2,0))</f>
        <v/>
      </c>
      <c r="I3" s="3">
        <f>IF(G3="","",ROUND(G3/参数!$B$2*(1+参数!$B$3),0))</f>
        <v/>
      </c>
      <c r="J3" s="4">
        <f>IF(OR(G3="",C3=""),"",ROUND(I3/C3,2))</f>
        <v/>
      </c>
      <c r="K3" s="3" t="inlineStr">
        <is>
          <t>4×10G、ERPS &lt;20ms、MQTT、3年保修、OEM No MOQ</t>
        </is>
      </c>
      <c r="L3" s="3" t="inlineStr">
        <is>
          <t>RouterOS生态(API/脚本/Winbox)、-40°C；别拿QinQ/MSTP/L3当差异</t>
        </is>
      </c>
      <c r="M3" s="3" t="inlineStr">
        <is>
          <t>★★★★ 补空白</t>
        </is>
      </c>
    </row>
    <row r="4">
      <c r="A4" s="3" t="inlineStr">
        <is>
          <t>CRS326-24G-2S+IN (桌面)</t>
        </is>
      </c>
      <c r="B4" s="3" t="inlineStr">
        <is>
          <t>24G+2×SFP+ 桌面款</t>
        </is>
      </c>
      <c r="C4" s="3" t="n">
        <v>199</v>
      </c>
      <c r="D4" s="3" t="inlineStr">
        <is>
          <t>*</t>
        </is>
      </c>
      <c r="E4" s="3" t="inlineStr">
        <is>
          <t>LT-S8328G-4GX24GT-S</t>
        </is>
      </c>
      <c r="F4" s="3" t="inlineStr">
        <is>
          <t>24G+4×1G/2.5G SFP；L2+</t>
        </is>
      </c>
      <c r="G4" s="3" t="n">
        <v>460</v>
      </c>
      <c r="H4" s="3">
        <f>IF(G4="","",ROUND(G4/参数!$B$2,0))</f>
        <v/>
      </c>
      <c r="I4" s="3">
        <f>IF(G4="","",ROUND(G4/参数!$B$2*(1+参数!$B$3),0))</f>
        <v/>
      </c>
      <c r="J4" s="4">
        <f>IF(OR(G4="",C4=""),"",ROUND(I4/C4,2))</f>
        <v/>
      </c>
      <c r="K4" s="3" t="inlineStr">
        <is>
          <t>价格约为 MSRP 40%</t>
        </is>
      </c>
      <c r="L4" s="3" t="inlineStr">
        <is>
          <t>上联只有 2.5G SFP</t>
        </is>
      </c>
      <c r="M4" s="3" t="inlineStr">
        <is>
          <t>★★★</t>
        </is>
      </c>
    </row>
    <row r="5">
      <c r="A5" s="3" t="inlineStr">
        <is>
          <t>CRS328-24P-4S+RM</t>
        </is>
      </c>
      <c r="B5" s="3" t="inlineStr">
        <is>
          <t>24×PoE af/at 450W(3×150W)、30W/口、4×SFP+、500W PSU、-20~60°C、2风扇、无bt</t>
        </is>
      </c>
      <c r="C5" s="3" t="n">
        <v>489</v>
      </c>
      <c r="D5" s="3" t="inlineStr">
        <is>
          <t>✅</t>
        </is>
      </c>
      <c r="E5" s="3" t="inlineStr">
        <is>
          <t>LT-S8328XGP-4XS24GT-S</t>
        </is>
      </c>
      <c r="F5" s="3" t="inlineStr">
        <is>
          <t>24×PoE af/at + 4×SFP+ 10G；280W；PoE看门狗/定时/优先级</t>
        </is>
      </c>
      <c r="G5" s="3" t="n">
        <v>1010</v>
      </c>
      <c r="H5" s="3">
        <f>IF(G5="","",ROUND(G5/参数!$B$2,0))</f>
        <v/>
      </c>
      <c r="I5" s="3">
        <f>IF(G5="","",ROUND(G5/参数!$B$2*(1+参数!$B$3),0))</f>
        <v/>
      </c>
      <c r="J5" s="4">
        <f>IF(OR(G5="",C5=""),"",ROUND(I5/C5,2))</f>
        <v/>
      </c>
      <c r="K5" s="3" t="inlineStr">
        <is>
          <t>价格、PoE 管理(PD Alive/定时/告警阈值)、ERPS、MQTT</t>
        </is>
      </c>
      <c r="L5" s="3" t="inlineStr">
        <is>
          <t>PoE预算 280 vs 450W；440W 版只有 2.5G 上联 (LT-S8328GP-4GX24GT RMB 1200)；需向工厂确认 24P+4×10G+440W 组合</t>
        </is>
      </c>
      <c r="M5" s="3" t="inlineStr">
        <is>
          <t>★★★★</t>
        </is>
      </c>
    </row>
    <row r="6">
      <c r="A6" s="3" t="inlineStr">
        <is>
          <t>CRS328-24P-4S+RM (工业替代)</t>
        </is>
      </c>
      <c r="B6" s="3" t="inlineStr">
        <is>
          <t>同上</t>
        </is>
      </c>
      <c r="C6" s="3" t="n">
        <v>489</v>
      </c>
      <c r="D6" s="3" t="inlineStr">
        <is>
          <t>✅</t>
        </is>
      </c>
      <c r="E6" s="3" t="inlineStr">
        <is>
          <t>LT-IS6328XGP-4XS24GT / -4BT</t>
        </is>
      </c>
      <c r="F6" s="3" t="inlineStr">
        <is>
          <t>24×PoE + 4×SFP+ 10G；工业 DIN、双DC、-40~75°C、5年保修；-4BT 带 4 个 90W 口</t>
        </is>
      </c>
      <c r="G6" s="3" t="n">
        <v>2200</v>
      </c>
      <c r="H6" s="3">
        <f>IF(G6="","",ROUND(G6/参数!$B$2,0))</f>
        <v/>
      </c>
      <c r="I6" s="3">
        <f>IF(G6="","",ROUND(G6/参数!$B$2*(1+参数!$B$3),0))</f>
        <v/>
      </c>
      <c r="J6" s="4">
        <f>IF(OR(G6="",C6=""),"",ROUND(I6/C6,2))</f>
        <v/>
      </c>
      <c r="K6" s="3" t="inlineStr">
        <is>
          <t>宽温、PoE++、IEC 61000-4、5年保修</t>
        </is>
      </c>
      <c r="L6" s="3" t="inlineStr">
        <is>
          <t>比 MikroTik 贵；只在工业/户外场景推</t>
        </is>
      </c>
      <c r="M6" s="3" t="inlineStr">
        <is>
          <t>★★★ 场景型</t>
        </is>
      </c>
    </row>
    <row r="7">
      <c r="A7" s="3" t="inlineStr">
        <is>
          <t>CRS354-48G-4S+2Q+RM</t>
        </is>
      </c>
      <c r="B7" s="3" t="inlineStr">
        <is>
          <t>48G+4×SFP+ +2×QSFP+ 40G</t>
        </is>
      </c>
      <c r="C7" s="3" t="n">
        <v>599</v>
      </c>
      <c r="D7" s="3" t="inlineStr">
        <is>
          <t>*</t>
        </is>
      </c>
      <c r="E7" s="3" t="inlineStr">
        <is>
          <t>LT-S8352XG-4XS48GT</t>
        </is>
      </c>
      <c r="F7" s="3" t="inlineStr">
        <is>
          <t>48G+4×SFP+ 10G；L2+</t>
        </is>
      </c>
      <c r="G7" s="3" t="n">
        <v>1470</v>
      </c>
      <c r="H7" s="3">
        <f>IF(G7="","",ROUND(G7/参数!$B$2,0))</f>
        <v/>
      </c>
      <c r="I7" s="3">
        <f>IF(G7="","",ROUND(G7/参数!$B$2*(1+参数!$B$3),0))</f>
        <v/>
      </c>
      <c r="J7" s="4">
        <f>IF(OR(G7="",C7=""),"",ROUND(I7/C7,2))</f>
        <v/>
      </c>
      <c r="K7" s="3" t="inlineStr">
        <is>
          <t>价格、ERPS、PoE 版可选</t>
        </is>
      </c>
      <c r="L7" s="3" t="inlineStr">
        <is>
          <t>没有 40G QSFP+</t>
        </is>
      </c>
      <c r="M7" s="3" t="inlineStr">
        <is>
          <t>★★★</t>
        </is>
      </c>
    </row>
    <row r="8">
      <c r="A8" s="3" t="inlineStr">
        <is>
          <t>CRS354-48P-4S+2Q+RM</t>
        </is>
      </c>
      <c r="B8" s="3" t="inlineStr">
        <is>
          <t>48×PoE af/at + 4×SFP+ + 2×QSFP+</t>
        </is>
      </c>
      <c r="C8" s="3" t="n"/>
      <c r="D8" s="3" t="inlineStr">
        <is>
          <t>*</t>
        </is>
      </c>
      <c r="E8" s="3" t="inlineStr">
        <is>
          <t>LT-S8352XGP-4XS48GT (440W) / -850W</t>
        </is>
      </c>
      <c r="F8" s="3" t="inlineStr">
        <is>
          <t>48×PoE + 4×SFP+ 10G；440W 或 850W</t>
        </is>
      </c>
      <c r="G8" s="3" t="n">
        <v>1870</v>
      </c>
      <c r="H8" s="3">
        <f>IF(G8="","",ROUND(G8/参数!$B$2,0))</f>
        <v/>
      </c>
      <c r="I8" s="3">
        <f>IF(G8="","",ROUND(G8/参数!$B$2*(1+参数!$B$3),0))</f>
        <v/>
      </c>
      <c r="J8" s="4">
        <f>IF(OR(G8="",C8=""),"",ROUND(I8/C8,2))</f>
        <v/>
      </c>
      <c r="K8" s="3" t="inlineStr">
        <is>
          <t>850W 选项、PoE 管理</t>
        </is>
      </c>
      <c r="L8" s="3" t="inlineStr">
        <is>
          <t>没有 40G；MSRP 待核实</t>
        </is>
      </c>
      <c r="M8" s="3" t="inlineStr">
        <is>
          <t>★★★</t>
        </is>
      </c>
    </row>
    <row r="9">
      <c r="A9" s="3" t="inlineStr">
        <is>
          <t>CSS610-8G-2S+IN</t>
        </is>
      </c>
      <c r="B9" s="3" t="inlineStr">
        <is>
          <t>8G+2×SFP+；SwOS Lite；88E6193X；64KB flash；-20~60°C</t>
        </is>
      </c>
      <c r="C9" s="3" t="n">
        <v>119</v>
      </c>
      <c r="D9" s="3" t="inlineStr">
        <is>
          <t>✅</t>
        </is>
      </c>
      <c r="E9" s="3" t="inlineStr">
        <is>
          <t>LT-S8310XG-2XS8GT</t>
        </is>
      </c>
      <c r="F9" s="3" t="inlineStr">
        <is>
          <t>8G+2×SFP+ 10G；L2+ 全管理</t>
        </is>
      </c>
      <c r="G9" s="3" t="n"/>
      <c r="H9" s="3">
        <f>IF(G9="","",ROUND(G9/参数!$B$2,0))</f>
        <v/>
      </c>
      <c r="I9" s="3">
        <f>IF(G9="","",ROUND(G9/参数!$B$2*(1+参数!$B$3),0))</f>
        <v/>
      </c>
      <c r="J9" s="4">
        <f>IF(OR(G9="",C9=""),"",ROUND(I9/C9,2))</f>
        <v/>
      </c>
      <c r="K9" s="3" t="inlineStr">
        <is>
          <t>全管理 vs 傻瓜 Web</t>
        </is>
      </c>
      <c r="L9" s="3" t="inlineStr">
        <is>
          <t>商业 8 口 L2+ 暂停出货、价格待询；8 口档 MikroTik 价格很硬</t>
        </is>
      </c>
      <c r="M9" s="3" t="inlineStr">
        <is>
          <t>★★</t>
        </is>
      </c>
    </row>
    <row r="10">
      <c r="A10" s="3" t="inlineStr">
        <is>
          <t>CSS610-8P-2S+IN</t>
        </is>
      </c>
      <c r="B10" s="3" t="inlineStr">
        <is>
          <t>8×PoE + 2×SFP+；SwOS Lite</t>
        </is>
      </c>
      <c r="C10" s="3" t="n">
        <v>139</v>
      </c>
      <c r="D10" s="3" t="inlineStr">
        <is>
          <t>*</t>
        </is>
      </c>
      <c r="E10" s="3" t="inlineStr">
        <is>
          <t>LT-S8310GP-2GX8GT</t>
        </is>
      </c>
      <c r="F10" s="3" t="inlineStr">
        <is>
          <t>8×PoE(120W) + 2×1G/2.5G SFP；L2+</t>
        </is>
      </c>
      <c r="G10" s="3" t="n">
        <v>450</v>
      </c>
      <c r="H10" s="3">
        <f>IF(G10="","",ROUND(G10/参数!$B$2,0))</f>
        <v/>
      </c>
      <c r="I10" s="3">
        <f>IF(G10="","",ROUND(G10/参数!$B$2*(1+参数!$B$3),0))</f>
        <v/>
      </c>
      <c r="J10" s="4">
        <f>IF(OR(G10="",C10=""),"",ROUND(I10/C10,2))</f>
        <v/>
      </c>
      <c r="K10" s="3" t="inlineStr">
        <is>
          <t>价格、PoE 管理、全管理</t>
        </is>
      </c>
      <c r="L10" s="3" t="inlineStr">
        <is>
          <t>上联 2.5G 非 10G；暂停出货中</t>
        </is>
      </c>
      <c r="M10" s="3" t="inlineStr">
        <is>
          <t>★★★</t>
        </is>
      </c>
    </row>
    <row r="11">
      <c r="A11" s="3" t="inlineStr">
        <is>
          <t>CRS106-1C-5S (Frank 6口)</t>
        </is>
      </c>
      <c r="B11" s="3" t="inlineStr">
        <is>
          <t>1 Combo + 5×SFP；RouterOS；QCA8511</t>
        </is>
      </c>
      <c r="C11" s="3" t="n">
        <v>89</v>
      </c>
      <c r="D11" s="3" t="inlineStr">
        <is>
          <t>*</t>
        </is>
      </c>
      <c r="E11" s="3" t="inlineStr">
        <is>
          <t>LT-IS6306G-2GX4GT</t>
        </is>
      </c>
      <c r="F11" s="3" t="inlineStr">
        <is>
          <t>4G + 2×SFP；工业 DIN、IP40、双DC 12–58V、-40~75°C、5年</t>
        </is>
      </c>
      <c r="G11" s="3" t="n">
        <v>660</v>
      </c>
      <c r="H11" s="3">
        <f>IF(G11="","",ROUND(G11/参数!$B$2,0))</f>
        <v/>
      </c>
      <c r="I11" s="3">
        <f>IF(G11="","",ROUND(G11/参数!$B$2*(1+参数!$B$3),0))</f>
        <v/>
      </c>
      <c r="J11" s="4">
        <f>IF(OR(G11="",C11=""),"",ROUND(I11/C11,2))</f>
        <v/>
      </c>
      <c r="K11" s="3" t="inlineStr">
        <is>
          <t>出厂即加固(省他自己的外壳)、ERPS、双DC、4KV浪涌</t>
        </is>
      </c>
      <c r="L11" s="3" t="inlineStr">
        <is>
          <t>4电口 vs 5光口，形态不同；进价≈他现在含外壳成本</t>
        </is>
      </c>
      <c r="M11" s="3" t="inlineStr">
        <is>
          <t>★★★★ Frank 直接对位</t>
        </is>
      </c>
    </row>
    <row r="12">
      <c r="A12" s="3" t="inlineStr">
        <is>
          <t>CRS112-8G-4S-IN (Frank 12口)</t>
        </is>
      </c>
      <c r="B12" s="3" t="inlineStr">
        <is>
          <t>8G + 4×SFP；RouterOS；QCA8511</t>
        </is>
      </c>
      <c r="C12" s="3" t="n">
        <v>119</v>
      </c>
      <c r="D12" s="3" t="inlineStr">
        <is>
          <t>*</t>
        </is>
      </c>
      <c r="E12" s="3" t="inlineStr">
        <is>
          <t>LT-IS6312G-4GX8GT</t>
        </is>
      </c>
      <c r="F12" s="3" t="inlineStr">
        <is>
          <t>8G + 4×1G/2.5G SFP；工业</t>
        </is>
      </c>
      <c r="G12" s="3" t="n">
        <v>740</v>
      </c>
      <c r="H12" s="3">
        <f>IF(G12="","",ROUND(G12/参数!$B$2,0))</f>
        <v/>
      </c>
      <c r="I12" s="3">
        <f>IF(G12="","",ROUND(G12/参数!$B$2*(1+参数!$B$3),0))</f>
        <v/>
      </c>
      <c r="J12" s="4">
        <f>IF(OR(G12="",C12=""),"",ROUND(I12/C12,2))</f>
        <v/>
      </c>
      <c r="K12" s="3" t="inlineStr">
        <is>
          <t>同上 + 2.5G SFP</t>
        </is>
      </c>
      <c r="L12" s="3" t="inlineStr">
        <is>
          <t>加价后比他现在成本略高</t>
        </is>
      </c>
      <c r="M12" s="3" t="inlineStr">
        <is>
          <t>★★★★ Frank 直接对位</t>
        </is>
      </c>
    </row>
    <row r="13">
      <c r="A13" s="3" t="inlineStr">
        <is>
          <t>CRS112-8G-4S-IN (10G 上联版)</t>
        </is>
      </c>
      <c r="B13" s="3" t="inlineStr">
        <is>
          <t>同上</t>
        </is>
      </c>
      <c r="C13" s="3" t="n">
        <v>119</v>
      </c>
      <c r="D13" s="3" t="inlineStr">
        <is>
          <t>*</t>
        </is>
      </c>
      <c r="E13" s="3" t="inlineStr">
        <is>
          <t>LT-IS6312XG-4XS8GT</t>
        </is>
      </c>
      <c r="F13" s="3" t="inlineStr">
        <is>
          <t>8G + 4×SFP+ 10G；工业</t>
        </is>
      </c>
      <c r="G13" s="3" t="n">
        <v>840</v>
      </c>
      <c r="H13" s="3">
        <f>IF(G13="","",ROUND(G13/参数!$B$2,0))</f>
        <v/>
      </c>
      <c r="I13" s="3">
        <f>IF(G13="","",ROUND(G13/参数!$B$2*(1+参数!$B$3),0))</f>
        <v/>
      </c>
      <c r="J13" s="4">
        <f>IF(OR(G13="",C13=""),"",ROUND(I13/C13,2))</f>
        <v/>
      </c>
      <c r="K13" s="3" t="inlineStr">
        <is>
          <t>10G 上联、ERPS、工业</t>
        </is>
      </c>
      <c r="L13" s="3" t="inlineStr">
        <is>
          <t>贵 ~30%</t>
        </is>
      </c>
      <c r="M13" s="3" t="inlineStr">
        <is>
          <t>★★★★</t>
        </is>
      </c>
    </row>
    <row r="14">
      <c r="A14" s="3" t="inlineStr">
        <is>
          <t>CRS112-8P-4S-IN</t>
        </is>
      </c>
      <c r="B14" s="3" t="inlineStr">
        <is>
          <t>8×PoE(被动/af/at) + 4×SFP；-20~60°C</t>
        </is>
      </c>
      <c r="C14" s="3" t="n">
        <v>199</v>
      </c>
      <c r="D14" s="3" t="inlineStr">
        <is>
          <t>*</t>
        </is>
      </c>
      <c r="E14" s="3" t="inlineStr">
        <is>
          <t>LT-IS6312GP-4GX8GT / -2BT</t>
        </is>
      </c>
      <c r="F14" s="3" t="inlineStr">
        <is>
          <t>8×PoE + 4×SFP；工业；-2BT 带 2 个 90W 口</t>
        </is>
      </c>
      <c r="G14" s="3" t="n">
        <v>820</v>
      </c>
      <c r="H14" s="3">
        <f>IF(G14="","",ROUND(G14/参数!$B$2,0))</f>
        <v/>
      </c>
      <c r="I14" s="3">
        <f>IF(G14="","",ROUND(G14/参数!$B$2*(1+参数!$B$3),0))</f>
        <v/>
      </c>
      <c r="J14" s="4">
        <f>IF(OR(G14="",C14=""),"",ROUND(I14/C14,2))</f>
        <v/>
      </c>
      <c r="K14" s="3" t="inlineStr">
        <is>
          <t>PoE++ 选项、工业、PoE 看门狗</t>
        </is>
      </c>
      <c r="L14" s="3" t="inlineStr">
        <is>
          <t>—</t>
        </is>
      </c>
      <c r="M14" s="3" t="inlineStr">
        <is>
          <t>★★★★</t>
        </is>
      </c>
    </row>
    <row r="15">
      <c r="A15" s="3" t="inlineStr">
        <is>
          <t>CRS310-8G+2S+IN</t>
        </is>
      </c>
      <c r="B15" s="3" t="inlineStr">
        <is>
          <t>8×2.5GbE + 2×SFP+</t>
        </is>
      </c>
      <c r="C15" s="3" t="n">
        <v>149</v>
      </c>
      <c r="D15" s="3" t="inlineStr">
        <is>
          <t>*</t>
        </is>
      </c>
      <c r="E15" s="3" t="inlineStr">
        <is>
          <t>无对等</t>
        </is>
      </c>
      <c r="F15" s="3" t="inlineStr">
        <is>
          <t>你没有 2.5G 电口产品</t>
        </is>
      </c>
      <c r="G15" s="3" t="n"/>
      <c r="H15" s="3">
        <f>IF(G15="","",ROUND(G15/参数!$B$2,0))</f>
        <v/>
      </c>
      <c r="I15" s="3">
        <f>IF(G15="","",ROUND(G15/参数!$B$2*(1+参数!$B$3),0))</f>
        <v/>
      </c>
      <c r="J15" s="4">
        <f>IF(OR(G15="",C15=""),"",ROUND(I15/C15,2))</f>
        <v/>
      </c>
      <c r="K15" s="3" t="inlineStr">
        <is>
          <t>—</t>
        </is>
      </c>
      <c r="L15" s="3" t="inlineStr">
        <is>
          <t>放弃</t>
        </is>
      </c>
      <c r="M15" s="3" t="inlineStr">
        <is>
          <t>—</t>
        </is>
      </c>
    </row>
    <row r="16">
      <c r="A16" s="3" t="inlineStr">
        <is>
          <t>CRS310-1G-5S-4S+IN</t>
        </is>
      </c>
      <c r="B16" s="3" t="inlineStr">
        <is>
          <t>1G + 5×SFP + 4×SFP+；98DX226S</t>
        </is>
      </c>
      <c r="C16" s="3" t="n">
        <v>195</v>
      </c>
      <c r="D16" s="3" t="inlineStr">
        <is>
          <t>*</t>
        </is>
      </c>
      <c r="E16" s="3" t="inlineStr">
        <is>
          <t>LT-IS6316XG-4XS4GX8GT</t>
        </is>
      </c>
      <c r="F16" s="3" t="inlineStr">
        <is>
          <t>8G + 4×SFP + 4×SFP+；工业</t>
        </is>
      </c>
      <c r="G16" s="3" t="n">
        <v>1400</v>
      </c>
      <c r="H16" s="3">
        <f>IF(G16="","",ROUND(G16/参数!$B$2,0))</f>
        <v/>
      </c>
      <c r="I16" s="3">
        <f>IF(G16="","",ROUND(G16/参数!$B$2*(1+参数!$B$3),0))</f>
        <v/>
      </c>
      <c r="J16" s="4">
        <f>IF(OR(G16="",C16=""),"",ROUND(I16/C16,2))</f>
        <v/>
      </c>
      <c r="K16" s="3" t="inlineStr">
        <is>
          <t>工业、ERPS、电口多</t>
        </is>
      </c>
      <c r="L16" s="3" t="inlineStr">
        <is>
          <t>贵、形态不同</t>
        </is>
      </c>
      <c r="M16" s="3" t="inlineStr">
        <is>
          <t>★★</t>
        </is>
      </c>
    </row>
    <row r="17">
      <c r="A17" s="3" t="inlineStr">
        <is>
          <t>CRS318-16P-2S+RM / netPower 16P</t>
        </is>
      </c>
      <c r="B17" s="3" t="inlineStr">
        <is>
          <t>16×PoE + 2×SFP+ (netPower 是户外反向PoE)</t>
        </is>
      </c>
      <c r="C17" s="3" t="n">
        <v>329</v>
      </c>
      <c r="D17" s="3" t="inlineStr">
        <is>
          <t>*</t>
        </is>
      </c>
      <c r="E17" s="3" t="inlineStr">
        <is>
          <t>LT-IS6318XGP-2XS16GT</t>
        </is>
      </c>
      <c r="F17" s="3" t="inlineStr">
        <is>
          <t>16×PoE + 2×SFP+ 10G；工业</t>
        </is>
      </c>
      <c r="G17" s="3" t="n">
        <v>1660</v>
      </c>
      <c r="H17" s="3">
        <f>IF(G17="","",ROUND(G17/参数!$B$2,0))</f>
        <v/>
      </c>
      <c r="I17" s="3">
        <f>IF(G17="","",ROUND(G17/参数!$B$2*(1+参数!$B$3),0))</f>
        <v/>
      </c>
      <c r="J17" s="4">
        <f>IF(OR(G17="",C17=""),"",ROUND(I17/C17,2))</f>
        <v/>
      </c>
      <c r="K17" s="3" t="inlineStr">
        <is>
          <t>工业、PoE 管理</t>
        </is>
      </c>
      <c r="L17" s="3" t="inlineStr">
        <is>
          <t>贵；netPower 是不同物种</t>
        </is>
      </c>
      <c r="M17" s="3" t="inlineStr">
        <is>
          <t>★★</t>
        </is>
      </c>
    </row>
    <row r="18">
      <c r="A18" s="3" t="inlineStr">
        <is>
          <t>CRS320-8P-8B-4S+RM</t>
        </is>
      </c>
      <c r="B18" s="3" t="inlineStr">
        <is>
          <t>8×af/at + 8×bt + 4×SFP+</t>
        </is>
      </c>
      <c r="C18" s="3" t="n">
        <v>299</v>
      </c>
      <c r="D18" s="3" t="inlineStr">
        <is>
          <t>*</t>
        </is>
      </c>
      <c r="E18" s="3" t="inlineStr">
        <is>
          <t>LT-IS6320GP-4GX16GT-D-4BT</t>
        </is>
      </c>
      <c r="F18" s="3" t="inlineStr">
        <is>
          <t>16×PoE(4 个 bt) + 4×SFP + DI/DO/RS485；工业</t>
        </is>
      </c>
      <c r="G18" s="3" t="n">
        <v>1960</v>
      </c>
      <c r="H18" s="3">
        <f>IF(G18="","",ROUND(G18/参数!$B$2,0))</f>
        <v/>
      </c>
      <c r="I18" s="3">
        <f>IF(G18="","",ROUND(G18/参数!$B$2*(1+参数!$B$3),0))</f>
        <v/>
      </c>
      <c r="J18" s="4">
        <f>IF(OR(G18="",C18=""),"",ROUND(I18/C18,2))</f>
        <v/>
      </c>
      <c r="K18" s="3" t="inlineStr">
        <is>
          <t>DI/DO/RS485、工业、ERPS</t>
        </is>
      </c>
      <c r="L18" s="3" t="inlineStr">
        <is>
          <t>只有 4 个 bt 口；MSRP 抓取值不一致(299/489)</t>
        </is>
      </c>
      <c r="M18" s="3" t="inlineStr">
        <is>
          <t>★★</t>
        </is>
      </c>
    </row>
    <row r="19">
      <c r="A19" s="3" t="inlineStr">
        <is>
          <t>CRS328-4C-20S-4S+RM</t>
        </is>
      </c>
      <c r="B19" s="3" t="inlineStr">
        <is>
          <t>4 Combo + 20×SFP + 4×SFP+</t>
        </is>
      </c>
      <c r="C19" s="3" t="n">
        <v>299</v>
      </c>
      <c r="D19" s="3" t="inlineStr">
        <is>
          <t>*</t>
        </is>
      </c>
      <c r="E19" s="3" t="inlineStr">
        <is>
          <t>LT-IS6328XG-4XS16GX8GC-D</t>
        </is>
      </c>
      <c r="F19" s="3" t="inlineStr">
        <is>
          <t>16×SFP + 8 Combo + 4×SFP+ + DI/DO；工业</t>
        </is>
      </c>
      <c r="G19" s="3" t="n">
        <v>2650</v>
      </c>
      <c r="H19" s="3">
        <f>IF(G19="","",ROUND(G19/参数!$B$2,0))</f>
        <v/>
      </c>
      <c r="I19" s="3">
        <f>IF(G19="","",ROUND(G19/参数!$B$2*(1+参数!$B$3),0))</f>
        <v/>
      </c>
      <c r="J19" s="4">
        <f>IF(OR(G19="",C19=""),"",ROUND(I19/C19,2))</f>
        <v/>
      </c>
      <c r="K19" s="3" t="inlineStr">
        <is>
          <t>工业</t>
        </is>
      </c>
      <c r="L19" s="3" t="inlineStr">
        <is>
          <t>MikroTik 便宜一半 —— 放弃</t>
        </is>
      </c>
      <c r="M19" s="3" t="inlineStr">
        <is>
          <t>✗</t>
        </is>
      </c>
    </row>
    <row r="20">
      <c r="A20" s="3" t="inlineStr">
        <is>
          <t>CRS305 / CRS309 / CRS317 / CRS326-24S+2Q+ / CRS504 / CRS510</t>
        </is>
      </c>
      <c r="B20" s="3" t="inlineStr">
        <is>
          <t>全 SFP+ / 25G / 100G</t>
        </is>
      </c>
      <c r="C20" s="3" t="n"/>
      <c r="D20" s="3" t="inlineStr">
        <is>
          <t>*</t>
        </is>
      </c>
      <c r="E20" s="3" t="inlineStr">
        <is>
          <t>无对等</t>
        </is>
      </c>
      <c r="F20" s="3" t="inlineStr">
        <is>
          <t>—</t>
        </is>
      </c>
      <c r="G20" s="3" t="n"/>
      <c r="H20" s="3">
        <f>IF(G20="","",ROUND(G20/参数!$B$2,0))</f>
        <v/>
      </c>
      <c r="I20" s="3">
        <f>IF(G20="","",ROUND(G20/参数!$B$2*(1+参数!$B$3),0))</f>
        <v/>
      </c>
      <c r="J20" s="4">
        <f>IF(OR(G20="",C20=""),"",ROUND(I20/C20,2))</f>
        <v/>
      </c>
      <c r="K20" s="3" t="inlineStr">
        <is>
          <t>—</t>
        </is>
      </c>
      <c r="L20" s="3" t="inlineStr">
        <is>
          <t>放弃：MikroTik 在全光/高速档价格无敌</t>
        </is>
      </c>
      <c r="M20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4" customWidth="1" min="4" max="4"/>
    <col width="22" customWidth="1" min="5" max="5"/>
    <col width="40" customWidth="1" min="6" max="6"/>
    <col width="40" customWidth="1" min="7" max="7"/>
    <col width="8" customWidth="1" min="8" max="8"/>
    <col width="6" customWidth="1" min="9" max="9"/>
    <col width="10" customWidth="1" min="10" max="10"/>
    <col width="10" customWidth="1" min="11" max="11"/>
    <col width="8" customWidth="1" min="12" max="12"/>
    <col width="36" customWidth="1" min="13" max="13"/>
  </cols>
  <sheetData>
    <row r="1">
      <c r="A1" s="2" t="inlineStr">
        <is>
          <t>品牌</t>
        </is>
      </c>
      <c r="B1" s="2" t="inlineStr">
        <is>
          <t>代表型号</t>
        </is>
      </c>
      <c r="C1" s="2" t="inlineStr">
        <is>
          <t>≈价格 USD</t>
        </is>
      </c>
      <c r="D1" s="2" t="inlineStr">
        <is>
          <t>价格来源</t>
        </is>
      </c>
      <c r="E1" s="2" t="inlineStr">
        <is>
          <t>定位</t>
        </is>
      </c>
      <c r="F1" s="2" t="inlineStr">
        <is>
          <t>强项</t>
        </is>
      </c>
      <c r="G1" s="2" t="inlineStr">
        <is>
          <t>弱项</t>
        </is>
      </c>
      <c r="H1" s="2" t="inlineStr">
        <is>
          <t>ERPS</t>
        </is>
      </c>
      <c r="I1" s="2" t="inlineStr">
        <is>
          <t>OEM</t>
        </is>
      </c>
      <c r="J1" s="2" t="inlineStr">
        <is>
          <t>工业线</t>
        </is>
      </c>
      <c r="K1" s="2" t="inlineStr">
        <is>
          <t>保修</t>
        </is>
      </c>
      <c r="L1" s="2" t="inlineStr">
        <is>
          <t>对你的威胁</t>
        </is>
      </c>
      <c r="M1" s="2" t="inlineStr">
        <is>
          <t>你的打法</t>
        </is>
      </c>
    </row>
    <row r="2">
      <c r="A2" s="3" t="inlineStr">
        <is>
          <t>MikroTik</t>
        </is>
      </c>
      <c r="B2" s="3" t="inlineStr">
        <is>
          <t>CSS326-24G-2S+RM</t>
        </is>
      </c>
      <c r="C2" s="3" t="n">
        <v>159</v>
      </c>
      <c r="D2" s="3" t="inlineStr">
        <is>
          <t>官网 ✅</t>
        </is>
      </c>
      <c r="E2" s="3" t="inlineStr">
        <is>
          <t>傻瓜 Web 24 口</t>
        </is>
      </c>
      <c r="F2" s="3" t="inlineStr">
        <is>
          <t>价格、品牌、-20~70°C</t>
        </is>
      </c>
      <c r="G2" s="3" t="inlineStr">
        <is>
          <t>无 CLI/SSH/LLDP/Trap，SNMP 只读，250 VLAN/32 ACL</t>
        </is>
      </c>
      <c r="H2" s="3" t="inlineStr">
        <is>
          <t>否</t>
        </is>
      </c>
      <c r="I2" s="3" t="inlineStr">
        <is>
          <t>否</t>
        </is>
      </c>
      <c r="J2" s="3" t="inlineStr">
        <is>
          <t>否</t>
        </is>
      </c>
      <c r="K2" s="3" t="inlineStr">
        <is>
          <t>1 年</t>
        </is>
      </c>
      <c r="L2" s="3" t="inlineStr">
        <is>
          <t>低</t>
        </is>
      </c>
      <c r="M2" s="3" t="inlineStr">
        <is>
          <t>全面碾压</t>
        </is>
      </c>
    </row>
    <row r="3">
      <c r="A3" s="3" t="inlineStr">
        <is>
          <t>MikroTik</t>
        </is>
      </c>
      <c r="B3" s="3" t="inlineStr">
        <is>
          <t>CRS326-24G-2S+RM</t>
        </is>
      </c>
      <c r="C3" s="3" t="n">
        <v>209</v>
      </c>
      <c r="D3" s="3" t="inlineStr">
        <is>
          <t>官网 ✅</t>
        </is>
      </c>
      <c r="E3" s="3" t="inlineStr">
        <is>
          <t>RouterOS 24 口</t>
        </is>
      </c>
      <c r="F3" s="3" t="inlineStr">
        <is>
          <t>RouterOS 生态、API/REST/脚本、QinQ/MSTP/L3 卸载、-40~60°C</t>
        </is>
      </c>
      <c r="G3" s="3" t="inlineStr">
        <is>
          <t>无 ERPS、无 PoE-out、2×SFP+、1 年保修</t>
        </is>
      </c>
      <c r="H3" s="3" t="inlineStr">
        <is>
          <t>否</t>
        </is>
      </c>
      <c r="I3" s="3" t="inlineStr">
        <is>
          <t>否</t>
        </is>
      </c>
      <c r="J3" s="3" t="inlineStr">
        <is>
          <t>否</t>
        </is>
      </c>
      <c r="K3" s="3" t="inlineStr">
        <is>
          <t>1 年</t>
        </is>
      </c>
      <c r="L3" s="3" t="inlineStr">
        <is>
          <t>中</t>
        </is>
      </c>
      <c r="M3" s="3" t="inlineStr">
        <is>
          <t>补空白：ERPS/PoE++/工业/OEM，价格低 1/3</t>
        </is>
      </c>
    </row>
    <row r="4">
      <c r="A4" s="3" t="inlineStr">
        <is>
          <t>MikroTik</t>
        </is>
      </c>
      <c r="B4" s="3" t="inlineStr">
        <is>
          <t>CRS328-24P-4S+RM</t>
        </is>
      </c>
      <c r="C4" s="3" t="n">
        <v>489</v>
      </c>
      <c r="D4" s="3" t="inlineStr">
        <is>
          <t>官网 ✅</t>
        </is>
      </c>
      <c r="E4" s="3" t="inlineStr">
        <is>
          <t>24 PoE af/at 450W</t>
        </is>
      </c>
      <c r="F4" s="3" t="inlineStr">
        <is>
          <t>被动+标准 PoE、4×SFP+</t>
        </is>
      </c>
      <c r="G4" s="3" t="inlineStr">
        <is>
          <t>无 bt、-20~60°C、无 PoE 看门狗</t>
        </is>
      </c>
      <c r="H4" s="3" t="inlineStr">
        <is>
          <t>否</t>
        </is>
      </c>
      <c r="I4" s="3" t="inlineStr">
        <is>
          <t>否</t>
        </is>
      </c>
      <c r="J4" s="3" t="inlineStr">
        <is>
          <t>否</t>
        </is>
      </c>
      <c r="K4" s="3" t="inlineStr">
        <is>
          <t>1 年</t>
        </is>
      </c>
      <c r="L4" s="3" t="inlineStr">
        <is>
          <t>中</t>
        </is>
      </c>
      <c r="M4" s="3" t="inlineStr">
        <is>
          <t>PoE 管理 + 工业款 + 价格</t>
        </is>
      </c>
    </row>
    <row r="5">
      <c r="A5" s="3" t="inlineStr">
        <is>
          <t>MikroTik</t>
        </is>
      </c>
      <c r="B5" s="3" t="inlineStr">
        <is>
          <t>CRS354-48G-4S+2Q+RM</t>
        </is>
      </c>
      <c r="C5" s="3" t="n">
        <v>599</v>
      </c>
      <c r="D5" s="3" t="inlineStr">
        <is>
          <t>官网 ✅</t>
        </is>
      </c>
      <c r="E5" s="3" t="inlineStr">
        <is>
          <t>48 口 + 40G</t>
        </is>
      </c>
      <c r="F5" s="3" t="inlineStr">
        <is>
          <t>2×QSFP+ 40G</t>
        </is>
      </c>
      <c r="G5" s="3" t="inlineStr">
        <is>
          <t>QCA9531 650MHz/64MB，L3 极弱</t>
        </is>
      </c>
      <c r="H5" s="3" t="inlineStr">
        <is>
          <t>否</t>
        </is>
      </c>
      <c r="I5" s="3" t="inlineStr">
        <is>
          <t>否</t>
        </is>
      </c>
      <c r="J5" s="3" t="inlineStr">
        <is>
          <t>否</t>
        </is>
      </c>
      <c r="K5" s="3" t="inlineStr">
        <is>
          <t>1 年</t>
        </is>
      </c>
      <c r="L5" s="3" t="inlineStr">
        <is>
          <t>低</t>
        </is>
      </c>
      <c r="M5" s="3" t="inlineStr">
        <is>
          <t>无 40G 则用 LT-S8352XG</t>
        </is>
      </c>
    </row>
    <row r="6">
      <c r="A6" s="3" t="inlineStr">
        <is>
          <t>MikroTik</t>
        </is>
      </c>
      <c r="B6" s="3" t="inlineStr">
        <is>
          <t>CRS418-8P-8G-2S+RM</t>
        </is>
      </c>
      <c r="C6" s="3" t="n">
        <v>449</v>
      </c>
      <c r="D6" s="3" t="inlineStr">
        <is>
          <t>抓取 *</t>
        </is>
      </c>
      <c r="E6" s="3" t="inlineStr">
        <is>
          <t>新方向：强 CPU 混合路由交换</t>
        </is>
      </c>
      <c r="F6" s="3" t="inlineStr">
        <is>
          <t>2.2GHz 四核、L3 卸载、可当路由器/CAPsMAN、双 AC</t>
        </is>
      </c>
      <c r="G6" s="3" t="inlineStr">
        <is>
          <t>价格、-20°C</t>
        </is>
      </c>
      <c r="H6" s="3" t="inlineStr">
        <is>
          <t>否</t>
        </is>
      </c>
      <c r="I6" s="3" t="inlineStr">
        <is>
          <t>否</t>
        </is>
      </c>
      <c r="J6" s="3" t="inlineStr">
        <is>
          <t>否</t>
        </is>
      </c>
      <c r="K6" s="3" t="inlineStr">
        <is>
          <t>1 年</t>
        </is>
      </c>
      <c r="L6" s="3" t="inlineStr">
        <is>
          <t>低</t>
        </is>
      </c>
      <c r="M6" s="3" t="inlineStr">
        <is>
          <t>不碰</t>
        </is>
      </c>
    </row>
    <row r="7">
      <c r="A7" s="3" t="inlineStr">
        <is>
          <t>TP-Link Omada</t>
        </is>
      </c>
      <c r="B7" s="3" t="inlineStr">
        <is>
          <t>SG3428X</t>
        </is>
      </c>
      <c r="C7" s="3" t="n">
        <v>300</v>
      </c>
      <c r="D7" s="3" t="inlineStr">
        <is>
          <t>零售 ≈259–367</t>
        </is>
      </c>
      <c r="E7" s="3" t="inlineStr">
        <is>
          <t>商业 L2+ 24G+4×SFP+</t>
        </is>
      </c>
      <c r="F7" s="3" t="inlineStr">
        <is>
          <t>有 ERPS、OAM、sFlow、DDM、CLI、Omada 云、终身有限保修、渠道广</t>
        </is>
      </c>
      <c r="G7" s="3" t="inlineStr">
        <is>
          <t>0~50°C、无工业线、不能 OEM、无 DI/DO</t>
        </is>
      </c>
      <c r="H7" s="3" t="inlineStr">
        <is>
          <t>是</t>
        </is>
      </c>
      <c r="I7" s="3" t="inlineStr">
        <is>
          <t>否</t>
        </is>
      </c>
      <c r="J7" s="3" t="inlineStr">
        <is>
          <t>否</t>
        </is>
      </c>
      <c r="K7" s="3" t="inlineStr">
        <is>
          <t>终身有限</t>
        </is>
      </c>
      <c r="L7" s="3" t="inlineStr">
        <is>
          <t>高</t>
        </is>
      </c>
      <c r="M7" s="3" t="inlineStr">
        <is>
          <t>24 口只做敲门 SKU；用工业/PoE++/OEM 赚钱</t>
        </is>
      </c>
    </row>
    <row r="8">
      <c r="A8" s="3" t="inlineStr">
        <is>
          <t>TP-Link Omada</t>
        </is>
      </c>
      <c r="B8" s="3" t="inlineStr">
        <is>
          <t>SG3428XMP</t>
        </is>
      </c>
      <c r="C8" s="3" t="n">
        <v>480</v>
      </c>
      <c r="D8" s="3" t="inlineStr">
        <is>
          <t>零售 ≈</t>
        </is>
      </c>
      <c r="E8" s="3" t="inlineStr">
        <is>
          <t>24 PoE+ 384W + 4×SFP+</t>
        </is>
      </c>
      <c r="F8" s="3" t="inlineStr">
        <is>
          <t>同上</t>
        </is>
      </c>
      <c r="G8" s="3" t="inlineStr">
        <is>
          <t>同上</t>
        </is>
      </c>
      <c r="H8" s="3" t="inlineStr">
        <is>
          <t>是</t>
        </is>
      </c>
      <c r="I8" s="3" t="inlineStr">
        <is>
          <t>否</t>
        </is>
      </c>
      <c r="J8" s="3" t="inlineStr">
        <is>
          <t>否</t>
        </is>
      </c>
      <c r="K8" s="3" t="inlineStr">
        <is>
          <t>终身有限</t>
        </is>
      </c>
      <c r="L8" s="3" t="inlineStr">
        <is>
          <t>高</t>
        </is>
      </c>
      <c r="M8" s="3" t="inlineStr">
        <is>
          <t>同上</t>
        </is>
      </c>
    </row>
    <row r="9">
      <c r="A9" s="3" t="inlineStr">
        <is>
          <t>Ubiquiti UniFi</t>
        </is>
      </c>
      <c r="B9" s="3" t="inlineStr">
        <is>
          <t>USW-24</t>
        </is>
      </c>
      <c r="C9" s="3" t="n">
        <v>250</v>
      </c>
      <c r="D9" s="3" t="inlineStr">
        <is>
          <t>零售 ≈219–295</t>
        </is>
      </c>
      <c r="E9" s="3" t="inlineStr">
        <is>
          <t>L2 24G + 2×SFP 1G</t>
        </is>
      </c>
      <c r="F9" s="3" t="inlineStr">
        <is>
          <t>UI/控制器、品牌</t>
        </is>
      </c>
      <c r="G9" s="3" t="inlineStr">
        <is>
          <t>控制器依赖、无 SFP+、无 ERPS、无 QinQ</t>
        </is>
      </c>
      <c r="H9" s="3" t="inlineStr">
        <is>
          <t>否</t>
        </is>
      </c>
      <c r="I9" s="3" t="inlineStr">
        <is>
          <t>否</t>
        </is>
      </c>
      <c r="J9" s="3" t="inlineStr">
        <is>
          <t>否</t>
        </is>
      </c>
      <c r="K9" s="3" t="inlineStr">
        <is>
          <t>1 年</t>
        </is>
      </c>
      <c r="L9" s="3" t="inlineStr">
        <is>
          <t>中</t>
        </is>
      </c>
      <c r="M9" s="3" t="inlineStr">
        <is>
          <t>对不想被控制器绑定的客户</t>
        </is>
      </c>
    </row>
    <row r="10">
      <c r="A10" s="3" t="inlineStr">
        <is>
          <t>Ubiquiti UniFi</t>
        </is>
      </c>
      <c r="B10" s="3" t="inlineStr">
        <is>
          <t>USW-Pro-24</t>
        </is>
      </c>
      <c r="C10" s="3" t="n">
        <v>399</v>
      </c>
      <c r="D10" s="3" t="inlineStr">
        <is>
          <t>store.ui.com</t>
        </is>
      </c>
      <c r="E10" s="3" t="inlineStr">
        <is>
          <t>L3 24G + 2×SFP+</t>
        </is>
      </c>
      <c r="F10" s="3" t="inlineStr">
        <is>
          <t>UI/控制器、L3</t>
        </is>
      </c>
      <c r="G10" s="3" t="inlineStr">
        <is>
          <t>同上，价格高</t>
        </is>
      </c>
      <c r="H10" s="3" t="inlineStr">
        <is>
          <t>否</t>
        </is>
      </c>
      <c r="I10" s="3" t="inlineStr">
        <is>
          <t>否</t>
        </is>
      </c>
      <c r="J10" s="3" t="inlineStr">
        <is>
          <t>否</t>
        </is>
      </c>
      <c r="K10" s="3" t="inlineStr">
        <is>
          <t>1 年</t>
        </is>
      </c>
      <c r="L10" s="3" t="inlineStr">
        <is>
          <t>中</t>
        </is>
      </c>
      <c r="M10" s="3" t="inlineStr">
        <is>
          <t>价格 1/3 + CLI/SNMP/ERPS</t>
        </is>
      </c>
    </row>
    <row r="11">
      <c r="A11" s="3" t="inlineStr">
        <is>
          <t>Teltonika Networks</t>
        </is>
      </c>
      <c r="B11" s="3" t="inlineStr">
        <is>
          <t>TSW212</t>
        </is>
      </c>
      <c r="C11" s="3" t="n">
        <v>129</v>
      </c>
      <c r="D11" s="3" t="inlineStr">
        <is>
          <t>MSRP</t>
        </is>
      </c>
      <c r="E11" s="3" t="inlineStr">
        <is>
          <t>工业 8G + 2×SFP 管理型</t>
        </is>
      </c>
      <c r="F11" s="3" t="inlineStr">
        <is>
          <t>价格、RMS 云、PROFINET/EtherNet-IP/MRP、7–57V、与 MikroTik 同渠道</t>
        </is>
      </c>
      <c r="G11" s="3" t="inlineStr">
        <is>
          <t>8K MAC/512KB 缓存、无 10G、无 ERPS、无 PoE++、无 QinQ/MSTP 级 L2+</t>
        </is>
      </c>
      <c r="H11" s="3" t="inlineStr">
        <is>
          <t>否(MRP)</t>
        </is>
      </c>
      <c r="I11" s="3" t="inlineStr">
        <is>
          <t>否</t>
        </is>
      </c>
      <c r="J11" s="3" t="inlineStr">
        <is>
          <t>是</t>
        </is>
      </c>
      <c r="K11" s="3" t="inlineStr">
        <is>
          <t>2 年</t>
        </is>
      </c>
      <c r="L11" s="3" t="inlineStr">
        <is>
          <t>高</t>
        </is>
      </c>
      <c r="M11" s="3" t="inlineStr">
        <is>
          <t>LT-IS6312XG：4×10G、ERPS、16K/12Mbit、PoE++、DI/DO、5 年</t>
        </is>
      </c>
    </row>
    <row r="12">
      <c r="A12" s="3" t="inlineStr">
        <is>
          <t>PLANET</t>
        </is>
      </c>
      <c r="B12" s="3" t="inlineStr">
        <is>
          <t>IGS-5225-8P4S</t>
        </is>
      </c>
      <c r="C12" s="3" t="n">
        <v>790</v>
      </c>
      <c r="D12" s="3" t="inlineStr">
        <is>
          <t>零售 757–828</t>
        </is>
      </c>
      <c r="E12" s="3" t="inlineStr">
        <is>
          <t>工业 8 PoE+ + 2 SFP + 2×2.5G SFP</t>
        </is>
      </c>
      <c r="F12" s="3" t="inlineStr">
        <is>
          <t>ERPS &lt;10ms、MSTP、Modbus TCP、1588 透传、-40~75、TAA</t>
        </is>
      </c>
      <c r="G12" s="3" t="inlineStr">
        <is>
          <t>价格 5–7×、交期</t>
        </is>
      </c>
      <c r="H12" s="3" t="inlineStr">
        <is>
          <t>是</t>
        </is>
      </c>
      <c r="I12" s="3" t="inlineStr">
        <is>
          <t>有限</t>
        </is>
      </c>
      <c r="J12" s="3" t="inlineStr">
        <is>
          <t>是</t>
        </is>
      </c>
      <c r="K12" s="3" t="inlineStr">
        <is>
          <t>5 年</t>
        </is>
      </c>
      <c r="L12" s="3" t="inlineStr">
        <is>
          <t>低</t>
        </is>
      </c>
      <c r="M12" s="3" t="inlineStr">
        <is>
          <t>'PLANET 的功能，MikroTik 的价格'</t>
        </is>
      </c>
    </row>
    <row r="13">
      <c r="A13" s="3" t="inlineStr">
        <is>
          <t>ORing</t>
        </is>
      </c>
      <c r="B13" s="3" t="inlineStr">
        <is>
          <t>IGS-9084GP 类</t>
        </is>
      </c>
      <c r="C13" s="3" t="n">
        <v>1000</v>
      </c>
      <c r="D13" s="3" t="inlineStr">
        <is>
          <t>≈900–1200</t>
        </is>
      </c>
      <c r="E13" s="3" t="inlineStr">
        <is>
          <t>工业标杆</t>
        </is>
      </c>
      <c r="F13" s="3" t="inlineStr">
        <is>
          <t>O-Ring &lt;30ms、ERPS、EN50155、IP67、UL</t>
        </is>
      </c>
      <c r="G13" s="3" t="inlineStr">
        <is>
          <t>价格 8–10×</t>
        </is>
      </c>
      <c r="H13" s="3" t="inlineStr">
        <is>
          <t>是</t>
        </is>
      </c>
      <c r="I13" s="3" t="inlineStr">
        <is>
          <t>否</t>
        </is>
      </c>
      <c r="J13" s="3" t="inlineStr">
        <is>
          <t>是</t>
        </is>
      </c>
      <c r="K13" s="3" t="inlineStr">
        <is>
          <t>5 年</t>
        </is>
      </c>
      <c r="L13" s="3" t="inlineStr">
        <is>
          <t>低</t>
        </is>
      </c>
      <c r="M13" s="3" t="inlineStr">
        <is>
          <t>让出铁路/IP67/UL 项目</t>
        </is>
      </c>
    </row>
    <row r="14">
      <c r="A14" s="3" t="inlineStr">
        <is>
          <t>中国直供</t>
        </is>
      </c>
      <c r="B14" s="3" t="inlineStr">
        <is>
          <t>Utepo/ONV/HRUI/UNIPOE</t>
        </is>
      </c>
      <c r="C14" s="3" t="inlineStr">
        <is>
          <t>-</t>
        </is>
      </c>
      <c r="D14" s="3" t="inlineStr">
        <is>
          <t>低你 10–30%</t>
        </is>
      </c>
      <c r="E14" s="3" t="inlineStr">
        <is>
          <t>低价管理/非管理</t>
        </is>
      </c>
      <c r="F14" s="3" t="inlineStr">
        <is>
          <t>价格、目录大</t>
        </is>
      </c>
      <c r="G14" s="3" t="inlineStr">
        <is>
          <t>软件弱、CLI 不规范、MIB 缺、文档差、无欧美支持</t>
        </is>
      </c>
      <c r="H14" s="3" t="inlineStr">
        <is>
          <t>部分</t>
        </is>
      </c>
      <c r="I14" s="3" t="inlineStr">
        <is>
          <t>是</t>
        </is>
      </c>
      <c r="J14" s="3" t="inlineStr">
        <is>
          <t>是</t>
        </is>
      </c>
      <c r="K14" s="3" t="inlineStr">
        <is>
          <t>1–3 年</t>
        </is>
      </c>
      <c r="L14" s="3" t="inlineStr">
        <is>
          <t>中</t>
        </is>
      </c>
      <c r="M14" s="3" t="inlineStr">
        <is>
          <t>不比裸价：Marvell+CLI+MIB+固件迭代+保修</t>
        </is>
      </c>
    </row>
    <row r="15">
      <c r="A15" s="3" t="inlineStr">
        <is>
          <t>SmartByte (经你)</t>
        </is>
      </c>
      <c r="B15" s="3" t="inlineStr">
        <is>
          <t>LT-S8328XG-4XS24GT-S</t>
        </is>
      </c>
      <c r="C15" s="3" t="n">
        <v>130</v>
      </c>
      <c r="D15" s="3" t="inlineStr">
        <is>
          <t>售价（进价 ≈100）</t>
        </is>
      </c>
      <c r="E15" s="3" t="inlineStr">
        <is>
          <t>商业 L2+ 24G+4×SFP+</t>
        </is>
      </c>
      <c r="F15" s="3" t="inlineStr">
        <is>
          <t>4×10G、Cisco CLI、SNMPv3+Trap+私有 MIB、MQTT、ERPS、QinQ、480 ACL、双分区、OEM No MOQ、3 年</t>
        </is>
      </c>
      <c r="G15" s="3" t="inlineStr">
        <is>
          <t>0~50°C、无 API/云、品牌弱</t>
        </is>
      </c>
      <c r="H15" s="3" t="inlineStr">
        <is>
          <t>是</t>
        </is>
      </c>
      <c r="I15" s="3" t="inlineStr">
        <is>
          <t>是</t>
        </is>
      </c>
      <c r="J15" s="3" t="inlineStr">
        <is>
          <t>是（LT-IS 线）</t>
        </is>
      </c>
      <c r="K15" s="3" t="inlineStr">
        <is>
          <t>3 年 / 工业 5 年</t>
        </is>
      </c>
      <c r="L15" s="3" t="inlineStr">
        <is>
          <t>—</t>
        </is>
      </c>
      <c r="M15" s="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34" customWidth="1" min="4" max="4"/>
    <col width="26" customWidth="1" min="5" max="5"/>
    <col width="18" customWidth="1" min="6" max="6"/>
    <col width="34" customWidth="1" min="7" max="7"/>
    <col width="10" customWidth="1" min="8" max="8"/>
  </cols>
  <sheetData>
    <row r="1">
      <c r="A1" s="2" t="inlineStr">
        <is>
          <t>品牌</t>
        </is>
      </c>
      <c r="B1" s="2" t="inlineStr">
        <is>
          <t>国家/地区</t>
        </is>
      </c>
      <c r="C1" s="2" t="inlineStr">
        <is>
          <t>类型</t>
        </is>
      </c>
      <c r="D1" s="2" t="inlineStr">
        <is>
          <t>Marvell证据</t>
        </is>
      </c>
      <c r="E1" s="2" t="inlineStr">
        <is>
          <t>主战场</t>
        </is>
      </c>
      <c r="F1" s="2" t="inlineStr">
        <is>
          <t>关系</t>
        </is>
      </c>
      <c r="G1" s="2" t="inlineStr">
        <is>
          <t>切入点</t>
        </is>
      </c>
      <c r="H1" s="2" t="inlineStr">
        <is>
          <t>优先级</t>
        </is>
      </c>
    </row>
    <row r="2">
      <c r="A2" s="3" t="inlineStr">
        <is>
          <t>MikroTik</t>
        </is>
      </c>
      <c r="B2" s="3" t="inlineStr">
        <is>
          <t>拉脱维亚(欧盟)</t>
        </is>
      </c>
      <c r="C2" s="3" t="inlineStr">
        <is>
          <t>品牌商</t>
        </is>
      </c>
      <c r="D2" s="3" t="inlineStr">
        <is>
          <t>✅ 官方文档列 98DX3236/3257/226S/2528/8332/4310</t>
        </is>
      </c>
      <c r="E2" s="3" t="inlineStr">
        <is>
          <t>WISP/中小企业/工业</t>
        </is>
      </c>
      <c r="F2" s="3" t="inlineStr">
        <is>
          <t>主要对标</t>
        </is>
      </c>
      <c r="G2" s="3" t="inlineStr">
        <is>
          <t>ERPS/PoE++/工业/贴牌补其空白</t>
        </is>
      </c>
      <c r="H2" s="3" t="inlineStr">
        <is>
          <t>A</t>
        </is>
      </c>
    </row>
    <row r="3">
      <c r="A3" s="3" t="inlineStr">
        <is>
          <t>Allied Telesis</t>
        </is>
      </c>
      <c r="B3" s="3" t="inlineStr">
        <is>
          <t>日本/新西兰，美国总部 WA</t>
        </is>
      </c>
      <c r="C3" s="3" t="inlineStr">
        <is>
          <t>品牌商</t>
        </is>
      </c>
      <c r="D3" s="3" t="inlineStr">
        <is>
          <t>✅ 内核补丁支持 98DX3236/3336/4251（作者 @alliedtelesis.co.nz）</t>
        </is>
      </c>
      <c r="E3" s="3" t="inlineStr">
        <is>
          <t>欧美企业接入 L2/L3</t>
        </is>
      </c>
      <c r="F3" s="3" t="inlineStr">
        <is>
          <t>竞品+最大替换池</t>
        </is>
      </c>
      <c r="G3" s="3" t="inlineStr">
        <is>
          <t>老型号 EOL 替换、抢其渠道</t>
        </is>
      </c>
      <c r="H3" s="3" t="inlineStr">
        <is>
          <t>A-替换</t>
        </is>
      </c>
    </row>
    <row r="4">
      <c r="A4" s="3" t="inlineStr">
        <is>
          <t>Edgecore(Accton)</t>
        </is>
      </c>
      <c r="B4" s="3" t="inlineStr">
        <is>
          <t>台湾</t>
        </is>
      </c>
      <c r="C4" s="3" t="inlineStr">
        <is>
          <t>ODM/白牌</t>
        </is>
      </c>
      <c r="D4" s="3" t="inlineStr">
        <is>
          <t>✅ SAF51001I 规格书标注 8×GbE through 98DX3236</t>
        </is>
      </c>
      <c r="E4" s="3" t="inlineStr">
        <is>
          <t>数据中心/白牌</t>
        </is>
      </c>
      <c r="F4" s="3" t="inlineStr">
        <is>
          <t>旁证(台湾体系熟Marvell)</t>
        </is>
      </c>
      <c r="G4" s="3" t="inlineStr">
        <is>
          <t>不做主攻</t>
        </is>
      </c>
      <c r="H4" s="3" t="inlineStr">
        <is>
          <t>C</t>
        </is>
      </c>
    </row>
    <row r="5">
      <c r="A5" s="3" t="inlineStr">
        <is>
          <t>PLANET Technology</t>
        </is>
      </c>
      <c r="B5" s="3" t="inlineStr">
        <is>
          <t>台湾</t>
        </is>
      </c>
      <c r="C5" s="3" t="inlineStr">
        <is>
          <t>品牌商</t>
        </is>
      </c>
      <c r="D5" s="3" t="inlineStr">
        <is>
          <t>○ 混合(Realtek/Marvell)</t>
        </is>
      </c>
      <c r="E5" s="3" t="inlineStr">
        <is>
          <t>工业/商业/电力/安防</t>
        </is>
      </c>
      <c r="F5" s="3" t="inlineStr">
        <is>
          <t>头号对标</t>
        </is>
      </c>
      <c r="G5" s="3" t="inlineStr">
        <is>
          <t>抄规格与文档、抢渠道</t>
        </is>
      </c>
      <c r="H5" s="3" t="inlineStr">
        <is>
          <t>A-渠道</t>
        </is>
      </c>
    </row>
    <row r="6">
      <c r="A6" s="3" t="inlineStr">
        <is>
          <t>Moxa</t>
        </is>
      </c>
      <c r="B6" s="3" t="inlineStr">
        <is>
          <t>台湾</t>
        </is>
      </c>
      <c r="C6" s="3" t="inlineStr">
        <is>
          <t>品牌商</t>
        </is>
      </c>
      <c r="D6" s="3" t="inlineStr">
        <is>
          <t>○</t>
        </is>
      </c>
      <c r="E6" s="3" t="inlineStr">
        <is>
          <t>铁路/电力/海事</t>
        </is>
      </c>
      <c r="F6" s="3" t="inlineStr">
        <is>
          <t>高端锚</t>
        </is>
      </c>
      <c r="G6" s="3" t="inlineStr">
        <is>
          <t>只打备件/扩容/项目配套</t>
        </is>
      </c>
      <c r="H6" s="3" t="inlineStr">
        <is>
          <t>C</t>
        </is>
      </c>
    </row>
    <row r="7">
      <c r="A7" s="3" t="inlineStr">
        <is>
          <t>EtherWAN</t>
        </is>
      </c>
      <c r="B7" s="3" t="inlineStr">
        <is>
          <t>台湾</t>
        </is>
      </c>
      <c r="C7" s="3" t="inlineStr">
        <is>
          <t>品牌商</t>
        </is>
      </c>
      <c r="D7" s="3" t="inlineStr">
        <is>
          <t>○</t>
        </is>
      </c>
      <c r="E7" s="3" t="inlineStr">
        <is>
          <t>工业/ITS/安防</t>
        </is>
      </c>
      <c r="F7" s="3" t="inlineStr">
        <is>
          <t>竞品</t>
        </is>
      </c>
      <c r="G7" s="3" t="inlineStr">
        <is>
          <t>抢 ITS 项目位置</t>
        </is>
      </c>
      <c r="H7" s="3" t="inlineStr">
        <is>
          <t>B</t>
        </is>
      </c>
    </row>
    <row r="8">
      <c r="A8" s="3" t="inlineStr">
        <is>
          <t>ORing</t>
        </is>
      </c>
      <c r="B8" s="3" t="inlineStr">
        <is>
          <t>台湾</t>
        </is>
      </c>
      <c r="C8" s="3" t="inlineStr">
        <is>
          <t>品牌商</t>
        </is>
      </c>
      <c r="D8" s="3" t="inlineStr">
        <is>
          <t>○</t>
        </is>
      </c>
      <c r="E8" s="3" t="inlineStr">
        <is>
          <t>工业/ITS/铁路</t>
        </is>
      </c>
      <c r="F8" s="3" t="inlineStr">
        <is>
          <t>竞品</t>
        </is>
      </c>
      <c r="G8" s="3" t="inlineStr">
        <is>
          <t>让出铁路/IP67/UL 项目</t>
        </is>
      </c>
      <c r="H8" s="3" t="inlineStr">
        <is>
          <t>C</t>
        </is>
      </c>
    </row>
    <row r="9">
      <c r="A9" s="3" t="inlineStr">
        <is>
          <t>CTC Union</t>
        </is>
      </c>
      <c r="B9" s="3" t="inlineStr">
        <is>
          <t>台湾</t>
        </is>
      </c>
      <c r="C9" s="3" t="inlineStr">
        <is>
          <t>品牌商(自有厂)</t>
        </is>
      </c>
      <c r="D9" s="3" t="inlineStr">
        <is>
          <t>○ 官网明示 in-house R&amp;D and factory</t>
        </is>
      </c>
      <c r="E9" s="3" t="inlineStr">
        <is>
          <t>电信接入/工业, EN50155/IEC61850-3</t>
        </is>
      </c>
      <c r="F9" s="3" t="inlineStr">
        <is>
          <t>竞品</t>
        </is>
      </c>
      <c r="G9" s="3" t="inlineStr">
        <is>
          <t>关注 EOL 与运营商项目</t>
        </is>
      </c>
      <c r="H9" s="3" t="inlineStr">
        <is>
          <t>B</t>
        </is>
      </c>
    </row>
    <row r="10">
      <c r="A10" s="3" t="inlineStr">
        <is>
          <t>Lantech</t>
        </is>
      </c>
      <c r="B10" s="3" t="inlineStr">
        <is>
          <t>台湾</t>
        </is>
      </c>
      <c r="C10" s="3" t="inlineStr">
        <is>
          <t>品牌商</t>
        </is>
      </c>
      <c r="D10" s="3" t="inlineStr">
        <is>
          <t>○</t>
        </is>
      </c>
      <c r="E10" s="3" t="inlineStr">
        <is>
          <t>工业 PoE/EN50155/E-mark</t>
        </is>
      </c>
      <c r="F10" s="3" t="inlineStr">
        <is>
          <t>竞品,欧洲渠道密</t>
        </is>
      </c>
      <c r="G10" s="3" t="inlineStr">
        <is>
          <t>抢渠道</t>
        </is>
      </c>
      <c r="H10" s="3" t="inlineStr">
        <is>
          <t>B</t>
        </is>
      </c>
    </row>
    <row r="11">
      <c r="A11" s="3" t="inlineStr">
        <is>
          <t>Volktek</t>
        </is>
      </c>
      <c r="B11" s="3" t="inlineStr">
        <is>
          <t>台湾</t>
        </is>
      </c>
      <c r="C11" s="3" t="inlineStr">
        <is>
          <t>ODM+品牌</t>
        </is>
      </c>
      <c r="D11" s="3" t="inlineStr">
        <is>
          <t>● ODM 常用 Marvell 平台</t>
        </is>
      </c>
      <c r="E11" s="3" t="inlineStr">
        <is>
          <t>工业/企业</t>
        </is>
      </c>
      <c r="F11" s="3" t="inlineStr">
        <is>
          <t>第二供应源参考</t>
        </is>
      </c>
      <c r="G11" s="3" t="inlineStr">
        <is>
          <t>对标其工业线成本</t>
        </is>
      </c>
      <c r="H11" s="3" t="inlineStr">
        <is>
          <t>B</t>
        </is>
      </c>
    </row>
    <row r="12">
      <c r="A12" s="3" t="inlineStr">
        <is>
          <t>Korenix</t>
        </is>
      </c>
      <c r="B12" s="3" t="inlineStr">
        <is>
          <t>台湾</t>
        </is>
      </c>
      <c r="C12" s="3" t="inlineStr">
        <is>
          <t>品牌商</t>
        </is>
      </c>
      <c r="D12" s="3" t="inlineStr">
        <is>
          <t>○</t>
        </is>
      </c>
      <c r="E12" s="3" t="inlineStr">
        <is>
          <t>工业无线+交换</t>
        </is>
      </c>
      <c r="F12" s="3" t="inlineStr">
        <is>
          <t>竞品(小)</t>
        </is>
      </c>
      <c r="G12" s="3" t="inlineStr">
        <is>
          <t>观察</t>
        </is>
      </c>
      <c r="H12" s="3" t="inlineStr">
        <is>
          <t>C</t>
        </is>
      </c>
    </row>
    <row r="13">
      <c r="A13" s="3" t="inlineStr">
        <is>
          <t>Zyxel</t>
        </is>
      </c>
      <c r="B13" s="3" t="inlineStr">
        <is>
          <t>台湾</t>
        </is>
      </c>
      <c r="C13" s="3" t="inlineStr">
        <is>
          <t>品牌商</t>
        </is>
      </c>
      <c r="D13" s="3" t="inlineStr">
        <is>
          <t>○ 混合</t>
        </is>
      </c>
      <c r="E13" s="3" t="inlineStr">
        <is>
          <t>商业/SMB, Nebula 云</t>
        </is>
      </c>
      <c r="F13" s="3" t="inlineStr">
        <is>
          <t>竞品(云强)</t>
        </is>
      </c>
      <c r="G13" s="3" t="inlineStr">
        <is>
          <t>避开云正面</t>
        </is>
      </c>
      <c r="H13" s="3" t="inlineStr">
        <is>
          <t>B</t>
        </is>
      </c>
    </row>
    <row r="14">
      <c r="A14" s="3" t="inlineStr">
        <is>
          <t>D-Link</t>
        </is>
      </c>
      <c r="B14" s="3" t="inlineStr">
        <is>
          <t>台湾</t>
        </is>
      </c>
      <c r="C14" s="3" t="inlineStr">
        <is>
          <t>品牌商</t>
        </is>
      </c>
      <c r="D14" s="3" t="inlineStr">
        <is>
          <t>○ 混合</t>
        </is>
      </c>
      <c r="E14" s="3" t="inlineStr">
        <is>
          <t>商业/消费/SMB</t>
        </is>
      </c>
      <c r="F14" s="3" t="inlineStr">
        <is>
          <t>竞品+最大 EOL 池</t>
        </is>
      </c>
      <c r="G14" s="3" t="inlineStr">
        <is>
          <t>EOL 替换重点</t>
        </is>
      </c>
      <c r="H14" s="3" t="inlineStr">
        <is>
          <t>B-替换</t>
        </is>
      </c>
    </row>
    <row r="15">
      <c r="A15" s="3" t="inlineStr">
        <is>
          <t>Advantech (EKI)</t>
        </is>
      </c>
      <c r="B15" s="3" t="inlineStr">
        <is>
          <t>台湾</t>
        </is>
      </c>
      <c r="C15" s="3" t="inlineStr">
        <is>
          <t>品牌商</t>
        </is>
      </c>
      <c r="D15" s="3" t="inlineStr">
        <is>
          <t>○</t>
        </is>
      </c>
      <c r="E15" s="3" t="inlineStr">
        <is>
          <t>工业/嵌入式</t>
        </is>
      </c>
      <c r="F15" s="3" t="inlineStr">
        <is>
          <t>竞品</t>
        </is>
      </c>
      <c r="G15" s="3" t="inlineStr">
        <is>
          <t>项目配套</t>
        </is>
      </c>
      <c r="H15" s="3" t="inlineStr">
        <is>
          <t>C</t>
        </is>
      </c>
    </row>
    <row r="16">
      <c r="A16" s="3" t="inlineStr">
        <is>
          <t>Nexcom/ATOP/ICP DAS/Axiomtek</t>
        </is>
      </c>
      <c r="B16" s="3" t="inlineStr">
        <is>
          <t>台湾</t>
        </is>
      </c>
      <c r="C16" s="3" t="inlineStr">
        <is>
          <t>品牌商</t>
        </is>
      </c>
      <c r="D16" s="3" t="inlineStr">
        <is>
          <t>○</t>
        </is>
      </c>
      <c r="E16" s="3" t="inlineStr">
        <is>
          <t>工业垂直/嵌入式</t>
        </is>
      </c>
      <c r="F16" s="3" t="inlineStr">
        <is>
          <t>细分竞品</t>
        </is>
      </c>
      <c r="G16" s="3" t="inlineStr">
        <is>
          <t>关注行业项目</t>
        </is>
      </c>
      <c r="H16" s="3" t="inlineStr">
        <is>
          <t>C</t>
        </is>
      </c>
    </row>
    <row r="17">
      <c r="A17" s="3" t="inlineStr">
        <is>
          <t>CTS/Handlink/Unex/Ruby Tech/Proscend</t>
        </is>
      </c>
      <c r="B17" s="3" t="inlineStr">
        <is>
          <t>台湾</t>
        </is>
      </c>
      <c r="C17" s="3" t="inlineStr">
        <is>
          <t>ODM/电信接入</t>
        </is>
      </c>
      <c r="D17" s="3" t="inlineStr">
        <is>
          <t>○</t>
        </is>
      </c>
      <c r="E17" s="3" t="inlineStr">
        <is>
          <t>欧美运营商</t>
        </is>
      </c>
      <c r="F17" s="3" t="inlineStr">
        <is>
          <t>潜在 ODM 伙伴</t>
        </is>
      </c>
      <c r="G17" s="3" t="inlineStr">
        <is>
          <t>台湾产线备份</t>
        </is>
      </c>
      <c r="H17" s="3" t="inlineStr">
        <is>
          <t>C</t>
        </is>
      </c>
    </row>
    <row r="18">
      <c r="A18" s="3" t="inlineStr">
        <is>
          <t>Hirschmann (Belden)</t>
        </is>
      </c>
      <c r="B18" s="3" t="inlineStr">
        <is>
          <t>德国</t>
        </is>
      </c>
      <c r="C18" s="3" t="inlineStr">
        <is>
          <t>品牌商</t>
        </is>
      </c>
      <c r="D18" s="3" t="inlineStr">
        <is>
          <t>○</t>
        </is>
      </c>
      <c r="E18" s="3" t="inlineStr">
        <is>
          <t>工业标杆 Profinet/EN50155</t>
        </is>
      </c>
      <c r="F18" s="3" t="inlineStr">
        <is>
          <t>高端锚(5-10×)</t>
        </is>
      </c>
      <c r="G18" s="3" t="inlineStr">
        <is>
          <t>老项目扩容/备件/非核心网段</t>
        </is>
      </c>
      <c r="H18" s="3" t="inlineStr">
        <is>
          <t>C</t>
        </is>
      </c>
    </row>
    <row r="19">
      <c r="A19" s="3" t="inlineStr">
        <is>
          <t>Westermo (Beijer)</t>
        </is>
      </c>
      <c r="B19" s="3" t="inlineStr">
        <is>
          <t>瑞典</t>
        </is>
      </c>
      <c r="C19" s="3" t="inlineStr">
        <is>
          <t>品牌商</t>
        </is>
      </c>
      <c r="D19" s="3" t="inlineStr">
        <is>
          <t>● 历史平台含 Marvell</t>
        </is>
      </c>
      <c r="E19" s="3" t="inlineStr">
        <is>
          <t>铁路/电力/能源 WeOS</t>
        </is>
      </c>
      <c r="F19" s="3" t="inlineStr">
        <is>
          <t>高端锚</t>
        </is>
      </c>
      <c r="G19" s="3" t="inlineStr">
        <is>
          <t>抢交期长的项目</t>
        </is>
      </c>
      <c r="H19" s="3" t="inlineStr">
        <is>
          <t>C</t>
        </is>
      </c>
    </row>
    <row r="20">
      <c r="A20" s="3" t="inlineStr">
        <is>
          <t>Phoenix Contact / Weidmüller / Helmholz</t>
        </is>
      </c>
      <c r="B20" s="3" t="inlineStr">
        <is>
          <t>德国</t>
        </is>
      </c>
      <c r="C20" s="3" t="inlineStr">
        <is>
          <t>品牌商</t>
        </is>
      </c>
      <c r="D20" s="3" t="inlineStr">
        <is>
          <t>○</t>
        </is>
      </c>
      <c r="E20" s="3" t="inlineStr">
        <is>
          <t>工业自动化</t>
        </is>
      </c>
      <c r="F20" s="3" t="inlineStr">
        <is>
          <t>渠道型竞品</t>
        </is>
      </c>
      <c r="G20" s="3" t="inlineStr">
        <is>
          <t>做其以太网模块补充</t>
        </is>
      </c>
      <c r="H20" s="3" t="inlineStr">
        <is>
          <t>C</t>
        </is>
      </c>
    </row>
    <row r="21">
      <c r="A21" s="3" t="inlineStr">
        <is>
          <t>Lancom</t>
        </is>
      </c>
      <c r="B21" s="3" t="inlineStr">
        <is>
          <t>德国</t>
        </is>
      </c>
      <c r="C21" s="3" t="inlineStr">
        <is>
          <t>品牌商</t>
        </is>
      </c>
      <c r="D21" s="3" t="inlineStr">
        <is>
          <t>○</t>
        </is>
      </c>
      <c r="E21" s="3" t="inlineStr">
        <is>
          <t>中小企业/政府/教育,云管理</t>
        </is>
      </c>
      <c r="F21" s="3" t="inlineStr">
        <is>
          <t>竞品(德渠道第一梯队)</t>
        </is>
      </c>
      <c r="G21" s="3" t="inlineStr">
        <is>
          <t>避开云,打本地/私有部署</t>
        </is>
      </c>
      <c r="H21" s="3" t="inlineStr">
        <is>
          <t>C</t>
        </is>
      </c>
    </row>
    <row r="22">
      <c r="A22" s="3" t="inlineStr">
        <is>
          <t>INSYS icom / Welotec / MB connect line</t>
        </is>
      </c>
      <c r="B22" s="3" t="inlineStr">
        <is>
          <t>德国</t>
        </is>
      </c>
      <c r="C22" s="3" t="inlineStr">
        <is>
          <t>品牌商</t>
        </is>
      </c>
      <c r="D22" s="3" t="inlineStr">
        <is>
          <t>○</t>
        </is>
      </c>
      <c r="E22" s="3" t="inlineStr">
        <is>
          <t>工业远程维护</t>
        </is>
      </c>
      <c r="F22" s="3" t="inlineStr">
        <is>
          <t>细分</t>
        </is>
      </c>
      <c r="G22" s="3" t="inlineStr">
        <is>
          <t>配套交换机机会</t>
        </is>
      </c>
      <c r="H22" s="3" t="inlineStr">
        <is>
          <t>C</t>
        </is>
      </c>
    </row>
    <row r="23">
      <c r="A23" s="3" t="inlineStr">
        <is>
          <t>MPL / NetModule</t>
        </is>
      </c>
      <c r="B23" s="3" t="inlineStr">
        <is>
          <t>瑞士</t>
        </is>
      </c>
      <c r="C23" s="3" t="inlineStr">
        <is>
          <t>品牌商</t>
        </is>
      </c>
      <c r="D23" s="3" t="inlineStr">
        <is>
          <t>○</t>
        </is>
      </c>
      <c r="E23" s="3" t="inlineStr">
        <is>
          <t>高可靠/车载/铁路</t>
        </is>
      </c>
      <c r="F23" s="3" t="inlineStr">
        <is>
          <t>高端锚</t>
        </is>
      </c>
      <c r="G23" s="3" t="inlineStr">
        <is>
          <t>让出</t>
        </is>
      </c>
      <c r="H23" s="3" t="inlineStr">
        <is>
          <t>C</t>
        </is>
      </c>
    </row>
    <row r="24">
      <c r="A24" s="3" t="inlineStr">
        <is>
          <t>Teltonika Networks</t>
        </is>
      </c>
      <c r="B24" s="3" t="inlineStr">
        <is>
          <t>立陶宛</t>
        </is>
      </c>
      <c r="C24" s="3" t="inlineStr">
        <is>
          <t>品牌商</t>
        </is>
      </c>
      <c r="D24" s="3" t="inlineStr">
        <is>
          <t>○ TSW212 MSRP $129</t>
        </is>
      </c>
      <c r="E24" s="3" t="inlineStr">
        <is>
          <t>工业 8G+2SFP, RMS 云</t>
        </is>
      </c>
      <c r="F24" s="3" t="inlineStr">
        <is>
          <t>价格型直接对手</t>
        </is>
      </c>
      <c r="G24" s="3" t="inlineStr">
        <is>
          <t>4×10G/ERPS/PoE++/DI-DO/5年保</t>
        </is>
      </c>
      <c r="H24" s="3" t="inlineStr">
        <is>
          <t>A</t>
        </is>
      </c>
    </row>
    <row r="25">
      <c r="A25" s="3" t="inlineStr">
        <is>
          <t>Nedis</t>
        </is>
      </c>
      <c r="B25" s="3" t="inlineStr">
        <is>
          <t>荷兰</t>
        </is>
      </c>
      <c r="C25" s="3" t="inlineStr">
        <is>
          <t>分销商自有品牌</t>
        </is>
      </c>
      <c r="D25" s="3" t="inlineStr">
        <is>
          <t>○</t>
        </is>
      </c>
      <c r="E25" s="3" t="inlineStr">
        <is>
          <t>自有品牌分销, SKU 数万</t>
        </is>
      </c>
      <c r="F25" s="3" t="inlineStr">
        <is>
          <t>⭐ OEM 客户池</t>
        </is>
      </c>
      <c r="G25" s="3" t="inlineStr">
        <is>
          <t>无MOQ+定制UI</t>
        </is>
      </c>
      <c r="H25" s="3" t="inlineStr">
        <is>
          <t>A</t>
        </is>
      </c>
    </row>
    <row r="26">
      <c r="A26" s="3" t="inlineStr">
        <is>
          <t>Deltaco</t>
        </is>
      </c>
      <c r="B26" s="3" t="inlineStr">
        <is>
          <t>瑞典</t>
        </is>
      </c>
      <c r="C26" s="3" t="inlineStr">
        <is>
          <t>分销商自有品牌</t>
        </is>
      </c>
      <c r="D26" s="3" t="inlineStr">
        <is>
          <t>○</t>
        </is>
      </c>
      <c r="E26" s="3" t="inlineStr">
        <is>
          <t>北欧自有品牌</t>
        </is>
      </c>
      <c r="F26" s="3" t="inlineStr">
        <is>
          <t>⭐ OEM 客户池</t>
        </is>
      </c>
      <c r="G26" s="3" t="inlineStr">
        <is>
          <t>无MOQ+定制UI</t>
        </is>
      </c>
      <c r="H26" s="3" t="inlineStr">
        <is>
          <t>A</t>
        </is>
      </c>
    </row>
    <row r="27">
      <c r="A27" s="3" t="inlineStr">
        <is>
          <t>LogiLink (2direct)</t>
        </is>
      </c>
      <c r="B27" s="3" t="inlineStr">
        <is>
          <t>德国</t>
        </is>
      </c>
      <c r="C27" s="3" t="inlineStr">
        <is>
          <t>分销商自有品牌</t>
        </is>
      </c>
      <c r="D27" s="3" t="inlineStr">
        <is>
          <t>○</t>
        </is>
      </c>
      <c r="E27" s="3" t="inlineStr">
        <is>
          <t>自有品牌分销</t>
        </is>
      </c>
      <c r="F27" s="3" t="inlineStr">
        <is>
          <t>⭐ OEM 客户池</t>
        </is>
      </c>
      <c r="G27" s="3" t="inlineStr">
        <is>
          <t>无MOQ+定制UI</t>
        </is>
      </c>
      <c r="H27" s="3" t="inlineStr">
        <is>
          <t>A</t>
        </is>
      </c>
    </row>
    <row r="28">
      <c r="A28" s="3" t="inlineStr">
        <is>
          <t>Intellinet (IC Intracom)</t>
        </is>
      </c>
      <c r="B28" s="3" t="inlineStr">
        <is>
          <t>美国/德国</t>
        </is>
      </c>
      <c r="C28" s="3" t="inlineStr">
        <is>
          <t>分销商自有品牌</t>
        </is>
      </c>
      <c r="D28" s="3" t="inlineStr">
        <is>
          <t>○</t>
        </is>
      </c>
      <c r="E28" s="3" t="inlineStr">
        <is>
          <t>自有品牌网络配件</t>
        </is>
      </c>
      <c r="F28" s="3" t="inlineStr">
        <is>
          <t>⭐ OEM 客户池</t>
        </is>
      </c>
      <c r="G28" s="3" t="inlineStr">
        <is>
          <t>无MOQ+定制UI</t>
        </is>
      </c>
      <c r="H28" s="3" t="inlineStr">
        <is>
          <t>A</t>
        </is>
      </c>
    </row>
    <row r="29">
      <c r="A29" s="3" t="inlineStr">
        <is>
          <t>Equip / LevelOne</t>
        </is>
      </c>
      <c r="B29" s="3" t="inlineStr">
        <is>
          <t>德国/台湾</t>
        </is>
      </c>
      <c r="C29" s="3" t="inlineStr">
        <is>
          <t>分销商自有品牌</t>
        </is>
      </c>
      <c r="D29" s="3" t="inlineStr">
        <is>
          <t>○</t>
        </is>
      </c>
      <c r="E29" s="3" t="inlineStr">
        <is>
          <t>自有品牌,交换机线完整</t>
        </is>
      </c>
      <c r="F29" s="3" t="inlineStr">
        <is>
          <t>⭐ OEM 客户池</t>
        </is>
      </c>
      <c r="G29" s="3" t="inlineStr">
        <is>
          <t>无MOQ+定制UI</t>
        </is>
      </c>
      <c r="H29" s="3" t="inlineStr">
        <is>
          <t>A</t>
        </is>
      </c>
    </row>
    <row r="30">
      <c r="A30" s="3" t="inlineStr">
        <is>
          <t>Conrad / Reichelt / Distrelec</t>
        </is>
      </c>
      <c r="B30" s="3" t="inlineStr">
        <is>
          <t>德/德/瑞士</t>
        </is>
      </c>
      <c r="C30" s="3" t="inlineStr">
        <is>
          <t>大分销+自有品牌</t>
        </is>
      </c>
      <c r="D30" s="3" t="inlineStr">
        <is>
          <t>○</t>
        </is>
      </c>
      <c r="E30" s="3" t="inlineStr">
        <is>
          <t>分销招商采购</t>
        </is>
      </c>
      <c r="F30" s="3" t="inlineStr">
        <is>
          <t>⭐ OEM 客户池</t>
        </is>
      </c>
      <c r="G30" s="3" t="inlineStr">
        <is>
          <t>供应商入驻+自有品牌项目</t>
        </is>
      </c>
      <c r="H30" s="3" t="inlineStr">
        <is>
          <t>A</t>
        </is>
      </c>
    </row>
    <row r="31">
      <c r="A31" s="3" t="inlineStr">
        <is>
          <t>StarTech.com</t>
        </is>
      </c>
      <c r="B31" s="3" t="inlineStr">
        <is>
          <t>加拿大</t>
        </is>
      </c>
      <c r="C31" s="3" t="inlineStr">
        <is>
          <t>自有品牌巨头</t>
        </is>
      </c>
      <c r="D31" s="3" t="inlineStr">
        <is>
          <t>○</t>
        </is>
      </c>
      <c r="E31" s="3" t="inlineStr">
        <is>
          <t>配件/网络/工业</t>
        </is>
      </c>
      <c r="F31" s="3" t="inlineStr">
        <is>
          <t>⭐ OEM 客户池</t>
        </is>
      </c>
      <c r="G31" s="3" t="inlineStr">
        <is>
          <t>低MOQ+定制</t>
        </is>
      </c>
      <c r="H31" s="3" t="inlineStr">
        <is>
          <t>A</t>
        </is>
      </c>
    </row>
    <row r="32">
      <c r="A32" s="3" t="inlineStr">
        <is>
          <t>ComNet (ACRE)</t>
        </is>
      </c>
      <c r="B32" s="3" t="inlineStr">
        <is>
          <t>美国</t>
        </is>
      </c>
      <c r="C32" s="3" t="inlineStr">
        <is>
          <t>安防传输品牌</t>
        </is>
      </c>
      <c r="D32" s="3" t="inlineStr">
        <is>
          <t>○</t>
        </is>
      </c>
      <c r="E32" s="3" t="inlineStr">
        <is>
          <t>安防专用传输</t>
        </is>
      </c>
      <c r="F32" s="3" t="inlineStr">
        <is>
          <t>竞品+互补</t>
        </is>
      </c>
      <c r="G32" s="3" t="inlineStr">
        <is>
          <t>安防项目</t>
        </is>
      </c>
      <c r="H32" s="3" t="inlineStr">
        <is>
          <t>B</t>
        </is>
      </c>
    </row>
    <row r="33">
      <c r="A33" s="3" t="inlineStr">
        <is>
          <t>Antaira</t>
        </is>
      </c>
      <c r="B33" s="3" t="inlineStr">
        <is>
          <t>美国(台系ODM)</t>
        </is>
      </c>
      <c r="C33" s="3" t="inlineStr">
        <is>
          <t>品牌商</t>
        </is>
      </c>
      <c r="D33" s="3" t="inlineStr">
        <is>
          <t>○</t>
        </is>
      </c>
      <c r="E33" s="3" t="inlineStr">
        <is>
          <t>工业,价格中低</t>
        </is>
      </c>
      <c r="F33" s="3" t="inlineStr">
        <is>
          <t>直接对手</t>
        </is>
      </c>
      <c r="G33" s="3" t="inlineStr">
        <is>
          <t>同价位比规格与质保</t>
        </is>
      </c>
      <c r="H33" s="3" t="inlineStr">
        <is>
          <t>A</t>
        </is>
      </c>
    </row>
    <row r="34">
      <c r="A34" s="3" t="inlineStr">
        <is>
          <t>Transition Networks</t>
        </is>
      </c>
      <c r="B34" s="3" t="inlineStr">
        <is>
          <t>美国</t>
        </is>
      </c>
      <c r="C34" s="3" t="inlineStr">
        <is>
          <t>品牌商</t>
        </is>
      </c>
      <c r="D34" s="3" t="inlineStr">
        <is>
          <t>○</t>
        </is>
      </c>
      <c r="E34" s="3" t="inlineStr">
        <is>
          <t>工业/电信接入</t>
        </is>
      </c>
      <c r="F34" s="3" t="inlineStr">
        <is>
          <t>竞品</t>
        </is>
      </c>
      <c r="G34" s="3" t="inlineStr">
        <is>
          <t>项目配套</t>
        </is>
      </c>
      <c r="H34" s="3" t="inlineStr">
        <is>
          <t>B</t>
        </is>
      </c>
    </row>
    <row r="35">
      <c r="A35" s="3" t="inlineStr">
        <is>
          <t>Red Lion / N-Tron / Sixnet</t>
        </is>
      </c>
      <c r="B35" s="3" t="inlineStr">
        <is>
          <t>美国(HMS)</t>
        </is>
      </c>
      <c r="C35" s="3" t="inlineStr">
        <is>
          <t>品牌商</t>
        </is>
      </c>
      <c r="D35" s="3" t="inlineStr">
        <is>
          <t>○</t>
        </is>
      </c>
      <c r="E35" s="3" t="inlineStr">
        <is>
          <t>工业自动化</t>
        </is>
      </c>
      <c r="F35" s="3" t="inlineStr">
        <is>
          <t>竞品</t>
        </is>
      </c>
      <c r="G35" s="3" t="inlineStr">
        <is>
          <t>配套</t>
        </is>
      </c>
      <c r="H35" s="3" t="inlineStr">
        <is>
          <t>C</t>
        </is>
      </c>
    </row>
    <row r="36">
      <c r="A36" s="3" t="inlineStr">
        <is>
          <t>GarrettCom (Belden)</t>
        </is>
      </c>
      <c r="B36" s="3" t="inlineStr">
        <is>
          <t>美国</t>
        </is>
      </c>
      <c r="C36" s="3" t="inlineStr">
        <is>
          <t>品牌商</t>
        </is>
      </c>
      <c r="D36" s="3" t="inlineStr">
        <is>
          <t>○</t>
        </is>
      </c>
      <c r="E36" s="3" t="inlineStr">
        <is>
          <t>工业现场/变电站</t>
        </is>
      </c>
      <c r="F36" s="3" t="inlineStr">
        <is>
          <t>高端锚</t>
        </is>
      </c>
      <c r="G36" s="3" t="inlineStr">
        <is>
          <t>备件/扩容</t>
        </is>
      </c>
      <c r="H36" s="3" t="inlineStr">
        <is>
          <t>C</t>
        </is>
      </c>
    </row>
    <row r="37">
      <c r="A37" s="3" t="inlineStr">
        <is>
          <t>Cambium cnMatrix</t>
        </is>
      </c>
      <c r="B37" s="3" t="inlineStr">
        <is>
          <t>美国</t>
        </is>
      </c>
      <c r="C37" s="3" t="inlineStr">
        <is>
          <t>品牌商</t>
        </is>
      </c>
      <c r="D37" s="3" t="inlineStr">
        <is>
          <t>○</t>
        </is>
      </c>
      <c r="E37" s="3" t="inlineStr">
        <is>
          <t>WISP + 云管理</t>
        </is>
      </c>
      <c r="F37" s="3" t="inlineStr">
        <is>
          <t>竞品</t>
        </is>
      </c>
      <c r="G37" s="3" t="inlineStr">
        <is>
          <t>WISP 场景正面打</t>
        </is>
      </c>
      <c r="H37" s="3" t="inlineStr">
        <is>
          <t>B</t>
        </is>
      </c>
    </row>
    <row r="38">
      <c r="A38" s="3" t="inlineStr">
        <is>
          <t>Ubiquiti UniFi</t>
        </is>
      </c>
      <c r="B38" s="3" t="inlineStr">
        <is>
          <t>美国</t>
        </is>
      </c>
      <c r="C38" s="3" t="inlineStr">
        <is>
          <t>品牌商</t>
        </is>
      </c>
      <c r="D38" s="3" t="inlineStr">
        <is>
          <t>✘ Realtek(RTL93xx)</t>
        </is>
      </c>
      <c r="E38" s="3" t="inlineStr">
        <is>
          <t>企业/SMB/控制器</t>
        </is>
      </c>
      <c r="F38" s="3" t="inlineStr">
        <is>
          <t>最大价格对手</t>
        </is>
      </c>
      <c r="G38" s="3" t="inlineStr">
        <is>
          <t>打'不想被控制器锁定'+CLI/SNMP/ERPS</t>
        </is>
      </c>
      <c r="H38" s="3" t="inlineStr">
        <is>
          <t>A</t>
        </is>
      </c>
    </row>
    <row r="39">
      <c r="A39" s="3" t="inlineStr">
        <is>
          <t>Netgear</t>
        </is>
      </c>
      <c r="B39" s="3" t="inlineStr">
        <is>
          <t>美国</t>
        </is>
      </c>
      <c r="C39" s="3" t="inlineStr">
        <is>
          <t>品牌商</t>
        </is>
      </c>
      <c r="D39" s="3" t="inlineStr">
        <is>
          <t>○</t>
        </is>
      </c>
      <c r="E39" s="3" t="inlineStr">
        <is>
          <t>商业 + AV 线(M4250/M4300)</t>
        </is>
      </c>
      <c r="F39" s="3" t="inlineStr">
        <is>
          <t>竞品</t>
        </is>
      </c>
      <c r="G39" s="3" t="inlineStr">
        <is>
          <t>避开 AV 线</t>
        </is>
      </c>
      <c r="H39" s="3" t="inlineStr">
        <is>
          <t>C</t>
        </is>
      </c>
    </row>
    <row r="40">
      <c r="A40" s="3" t="inlineStr">
        <is>
          <t>Perle Systems</t>
        </is>
      </c>
      <c r="B40" s="3" t="inlineStr">
        <is>
          <t>加拿大</t>
        </is>
      </c>
      <c r="C40" s="3" t="inlineStr">
        <is>
          <t>品牌商</t>
        </is>
      </c>
      <c r="D40" s="3" t="inlineStr">
        <is>
          <t>○</t>
        </is>
      </c>
      <c r="E40" s="3" t="inlineStr">
        <is>
          <t>工业+串口服务器+媒转</t>
        </is>
      </c>
      <c r="F40" s="3" t="inlineStr">
        <is>
          <t>竞品+互补</t>
        </is>
      </c>
      <c r="G40" s="3" t="inlineStr">
        <is>
          <t>RS485/DI-DO + PoE++ 补其空白</t>
        </is>
      </c>
      <c r="H40" s="3" t="inlineStr">
        <is>
          <t>B</t>
        </is>
      </c>
    </row>
    <row r="41">
      <c r="A41" s="3" t="inlineStr">
        <is>
          <t>NEC UNIVERGE</t>
        </is>
      </c>
      <c r="B41" s="3" t="inlineStr">
        <is>
          <t>日本</t>
        </is>
      </c>
      <c r="C41" s="3" t="inlineStr">
        <is>
          <t>品牌商</t>
        </is>
      </c>
      <c r="D41" s="3" t="inlineStr">
        <is>
          <t>● 高概率</t>
        </is>
      </c>
      <c r="E41" s="3" t="inlineStr">
        <is>
          <t>政企</t>
        </is>
      </c>
      <c r="F41" s="3" t="inlineStr">
        <is>
          <t>观察</t>
        </is>
      </c>
      <c r="G41" s="3" t="inlineStr">
        <is>
          <t>东南亚存量替换</t>
        </is>
      </c>
      <c r="H41" s="3" t="inlineStr">
        <is>
          <t>C</t>
        </is>
      </c>
    </row>
    <row r="42">
      <c r="A42" s="3" t="inlineStr">
        <is>
          <t>Yamaha/Buffalo/Contec/Omron</t>
        </is>
      </c>
      <c r="B42" s="3" t="inlineStr">
        <is>
          <t>日本</t>
        </is>
      </c>
      <c r="C42" s="3" t="inlineStr">
        <is>
          <t>品牌商</t>
        </is>
      </c>
      <c r="D42" s="3" t="inlineStr">
        <is>
          <t>○</t>
        </is>
      </c>
      <c r="E42" s="3" t="inlineStr">
        <is>
          <t>中小企业/工业</t>
        </is>
      </c>
      <c r="F42" s="3" t="inlineStr">
        <is>
          <t>观察</t>
        </is>
      </c>
      <c r="G42" s="3" t="inlineStr">
        <is>
          <t>—</t>
        </is>
      </c>
      <c r="H42" s="3" t="inlineStr">
        <is>
          <t>C</t>
        </is>
      </c>
    </row>
    <row r="43">
      <c r="A43" s="3" t="inlineStr">
        <is>
          <t>Ubiquoss / DZS(Dasan)</t>
        </is>
      </c>
      <c r="B43" s="3" t="inlineStr">
        <is>
          <t>韩国</t>
        </is>
      </c>
      <c r="C43" s="3" t="inlineStr">
        <is>
          <t>品牌商</t>
        </is>
      </c>
      <c r="D43" s="3" t="inlineStr">
        <is>
          <t>○</t>
        </is>
      </c>
      <c r="E43" s="3" t="inlineStr">
        <is>
          <t>运营商接入</t>
        </is>
      </c>
      <c r="F43" s="3" t="inlineStr">
        <is>
          <t>观察</t>
        </is>
      </c>
      <c r="G43" s="3" t="inlineStr">
        <is>
          <t>—</t>
        </is>
      </c>
      <c r="H43" s="3" t="inlineStr">
        <is>
          <t>C</t>
        </is>
      </c>
    </row>
    <row r="44">
      <c r="A44" s="3" t="inlineStr">
        <is>
          <t>RAD / Telco Systems(Ribbon) / Siklu</t>
        </is>
      </c>
      <c r="B44" s="3" t="inlineStr">
        <is>
          <t>以色列</t>
        </is>
      </c>
      <c r="C44" s="3" t="inlineStr">
        <is>
          <t>品牌商</t>
        </is>
      </c>
      <c r="D44" s="3" t="inlineStr">
        <is>
          <t>○</t>
        </is>
      </c>
      <c r="E44" s="3" t="inlineStr">
        <is>
          <t>运营商/无线</t>
        </is>
      </c>
      <c r="F44" s="3" t="inlineStr">
        <is>
          <t>观察</t>
        </is>
      </c>
      <c r="G44" s="3" t="inlineStr">
        <is>
          <t>—</t>
        </is>
      </c>
      <c r="H44" s="3" t="inlineStr">
        <is>
          <t>C</t>
        </is>
      </c>
    </row>
    <row r="45">
      <c r="A45" s="3" t="inlineStr">
        <is>
          <t>MRO-TEK / Syrotech</t>
        </is>
      </c>
      <c r="B45" s="3" t="inlineStr">
        <is>
          <t>印度</t>
        </is>
      </c>
      <c r="C45" s="3" t="inlineStr">
        <is>
          <t>品牌商</t>
        </is>
      </c>
      <c r="D45" s="3" t="inlineStr">
        <is>
          <t>○</t>
        </is>
      </c>
      <c r="E45" s="3" t="inlineStr">
        <is>
          <t>本地网络</t>
        </is>
      </c>
      <c r="F45" s="3" t="inlineStr">
        <is>
          <t>中长线</t>
        </is>
      </c>
      <c r="G45" s="3" t="inlineStr">
        <is>
          <t>PLI 本地化/散件</t>
        </is>
      </c>
      <c r="H45" s="3" t="inlineStr">
        <is>
          <t>C</t>
        </is>
      </c>
    </row>
    <row r="46">
      <c r="A46" s="3" t="inlineStr">
        <is>
          <t>Intelbras</t>
        </is>
      </c>
      <c r="B46" s="3" t="inlineStr">
        <is>
          <t>巴西</t>
        </is>
      </c>
      <c r="C46" s="3" t="inlineStr">
        <is>
          <t>品牌商(大量中国OEM)</t>
        </is>
      </c>
      <c r="D46" s="3" t="inlineStr">
        <is>
          <t>○</t>
        </is>
      </c>
      <c r="E46" s="3" t="inlineStr">
        <is>
          <t>安防/网络巨头</t>
        </is>
      </c>
      <c r="F46" s="3" t="inlineStr">
        <is>
          <t>⭐ 潜在客户</t>
        </is>
      </c>
      <c r="G46" s="3" t="inlineStr">
        <is>
          <t>外采补线</t>
        </is>
      </c>
      <c r="H46" s="3" t="inlineStr">
        <is>
          <t>A</t>
        </is>
      </c>
    </row>
    <row r="47">
      <c r="A47" s="3" t="inlineStr">
        <is>
          <t>Datacom / Furukawa 拉美</t>
        </is>
      </c>
      <c r="B47" s="3" t="inlineStr">
        <is>
          <t>巴西</t>
        </is>
      </c>
      <c r="C47" s="3" t="inlineStr">
        <is>
          <t>品牌商</t>
        </is>
      </c>
      <c r="D47" s="3" t="inlineStr">
        <is>
          <t>○</t>
        </is>
      </c>
      <c r="E47" s="3" t="inlineStr">
        <is>
          <t>运营商/企业</t>
        </is>
      </c>
      <c r="F47" s="3" t="inlineStr">
        <is>
          <t>中长线</t>
        </is>
      </c>
      <c r="G47" s="3" t="inlineStr">
        <is>
          <t>—</t>
        </is>
      </c>
      <c r="H47" s="3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42" customWidth="1" min="4" max="4"/>
    <col width="40" customWidth="1" min="5" max="5"/>
    <col width="34" customWidth="1" min="6" max="6"/>
    <col width="24" customWidth="1" min="7" max="7"/>
    <col width="32" customWidth="1" min="8" max="8"/>
    <col width="28" customWidth="1" min="9" max="9"/>
    <col width="8" customWidth="1" min="10" max="10"/>
  </cols>
  <sheetData>
    <row r="1">
      <c r="A1" s="2" t="inlineStr">
        <is>
          <t>#</t>
        </is>
      </c>
      <c r="B1" s="2" t="inlineStr">
        <is>
          <t>公司</t>
        </is>
      </c>
      <c r="C1" s="2" t="inlineStr">
        <is>
          <t>国家</t>
        </is>
      </c>
      <c r="D1" s="2" t="inlineStr">
        <is>
          <t>主入口/联系方式</t>
        </is>
      </c>
      <c r="E1" s="2" t="inlineStr">
        <is>
          <t>现有交换机线</t>
        </is>
      </c>
      <c r="F1" s="2" t="inlineStr">
        <is>
          <t>⭐缺口</t>
        </is>
      </c>
      <c r="G1" s="2" t="inlineStr">
        <is>
          <t>首推 SKU</t>
        </is>
      </c>
      <c r="H1" s="2" t="inlineStr">
        <is>
          <t>第一句话钩子</t>
        </is>
      </c>
      <c r="I1" s="2" t="inlineStr">
        <is>
          <t>最大风险</t>
        </is>
      </c>
      <c r="J1" s="2" t="inlineStr">
        <is>
          <t>优先级</t>
        </is>
      </c>
    </row>
    <row r="2">
      <c r="A2" s="3" t="n">
        <v>1</v>
      </c>
      <c r="B2" s="3" t="inlineStr">
        <is>
          <t>Digital Data Communications (LevelOne/equip)</t>
        </is>
      </c>
      <c r="C2" s="3" t="inlineStr">
        <is>
          <t>德国 Dortmund</t>
        </is>
      </c>
      <c r="D2" s="3" t="inlineStr">
        <is>
          <t>LinkedIn（Group CEO Amanda Chen）+ 官网；制造在台湾&amp;中国</t>
        </is>
      </c>
      <c r="E2" s="3" t="inlineStr">
        <is>
          <t>LevelOne PoE 交换机/媒转/AP，多为非管理与 web-smart</t>
        </is>
      </c>
      <c r="F2" s="3" t="inlineStr">
        <is>
          <t>缺可管理 L2+ / L3 汇聚 / 工业宽温</t>
        </is>
      </c>
      <c r="G2" s="3" t="inlineStr">
        <is>
          <t>LT-S8328XG + LT-IS6312XG</t>
        </is>
      </c>
      <c r="H2" s="3" t="inlineStr">
        <is>
          <t>你们的 PoE 线最强，但停在 web-smart</t>
        </is>
      </c>
      <c r="I2" s="3" t="inlineStr">
        <is>
          <t>他们自己也做 ODM 服务，可能视你为竞争</t>
        </is>
      </c>
      <c r="J2" s="3" t="inlineStr">
        <is>
          <t>⭐⭐⭐</t>
        </is>
      </c>
    </row>
    <row r="3">
      <c r="A3" s="3" t="n">
        <v>2</v>
      </c>
      <c r="B3" s="3" t="inlineStr">
        <is>
          <t>2direct GmbH (LogiLink)</t>
        </is>
      </c>
      <c r="C3" s="3" t="inlineStr">
        <is>
          <t>德国 Schalksmühle</t>
        </is>
      </c>
      <c r="D3" s="3" t="inlineStr">
        <is>
          <t>官网 kontakt；Langenstück 5, D-58579</t>
        </is>
      </c>
      <c r="E3" s="3" t="inlineStr">
        <is>
          <t>LogiLink 网络线以配件/非管理为主</t>
        </is>
      </c>
      <c r="F3" s="3" t="inlineStr">
        <is>
          <t>缺可管理 L2+ 与工业线</t>
        </is>
      </c>
      <c r="G3" s="3" t="inlineStr">
        <is>
          <t>全系贴牌阶梯</t>
        </is>
      </c>
      <c r="H3" s="3" t="inlineStr">
        <is>
          <t>你们公开说做 OEM 项目</t>
        </is>
      </c>
      <c r="I3" s="3" t="inlineStr">
        <is>
          <t>价格敏感，需给阶梯价</t>
        </is>
      </c>
      <c r="J3" s="3" t="inlineStr">
        <is>
          <t>⭐⭐⭐</t>
        </is>
      </c>
    </row>
    <row r="4">
      <c r="A4" s="3" t="n">
        <v>3</v>
      </c>
      <c r="B4" s="3" t="inlineStr">
        <is>
          <t>Nedis</t>
        </is>
      </c>
      <c r="C4" s="3" t="inlineStr">
        <is>
          <t>荷兰</t>
        </is>
      </c>
      <c r="D4" s="3" t="inlineStr">
        <is>
          <t>nedis.com/en-us/business/become-a-partner 表单</t>
        </is>
      </c>
      <c r="E4" s="3" t="inlineStr">
        <is>
          <t>8口千兆非管理(NSWH8P100BK)、8口PoE 150W(GS-1008P)、部分贴 Edimax</t>
        </is>
      </c>
      <c r="F4" s="3" t="inlineStr">
        <is>
          <t>几乎只有非管理/SOHO</t>
        </is>
      </c>
      <c r="G4" s="3" t="inlineStr">
        <is>
          <t>8/16/24口 PoE+ 贴牌</t>
        </is>
      </c>
      <c r="H4" s="3" t="inlineStr">
        <is>
          <t>你们贴牌覆盖所有品类，交换机只有非管理</t>
        </is>
      </c>
      <c r="I4" s="3" t="inlineStr">
        <is>
          <t>决策慢，需走品类经理</t>
        </is>
      </c>
      <c r="J4" s="3" t="inlineStr">
        <is>
          <t>⭐⭐</t>
        </is>
      </c>
    </row>
    <row r="5">
      <c r="A5" s="3" t="n">
        <v>4</v>
      </c>
      <c r="B5" s="3" t="inlineStr">
        <is>
          <t>Distrelec (RS Group, 自有品牌 RND)</t>
        </is>
      </c>
      <c r="C5" s="3" t="inlineStr">
        <is>
          <t>瑞士/欧洲</t>
        </is>
      </c>
      <c r="D5" s="3" t="inlineStr">
        <is>
          <t>Supplier onboarding</t>
        </is>
      </c>
      <c r="E5" s="3" t="inlineStr">
        <is>
          <t>RND 以无源/仪器/元件为主</t>
        </is>
      </c>
      <c r="F5" s="3" t="inlineStr">
        <is>
          <t>缺有源网络（可管理/工业以太网）</t>
        </is>
      </c>
      <c r="G5" s="3" t="inlineStr">
        <is>
          <t>工业线 + 可管理</t>
        </is>
      </c>
      <c r="H5" s="3" t="inlineStr">
        <is>
          <t>RND 缺有源网络这一层</t>
        </is>
      </c>
      <c r="I5" s="3" t="inlineStr">
        <is>
          <t>供应商准入流程长</t>
        </is>
      </c>
      <c r="J5" s="3" t="inlineStr">
        <is>
          <t>⭐⭐</t>
        </is>
      </c>
    </row>
    <row r="6">
      <c r="A6" s="3" t="n">
        <v>5</v>
      </c>
      <c r="B6" s="3" t="inlineStr">
        <is>
          <t>Conrad Electronic</t>
        </is>
      </c>
      <c r="C6" s="3" t="inlineStr">
        <is>
          <t>德国</t>
        </is>
      </c>
      <c r="D6" s="3" t="inlineStr">
        <is>
          <t>platform.conrad.de → Become a Seller（Mirakl 平台，已有650+卖家）</t>
        </is>
      </c>
      <c r="E6" s="3" t="inlineStr">
        <is>
          <t>分销 + 自有品牌</t>
        </is>
      </c>
      <c r="F6" s="3" t="inlineStr">
        <is>
          <t>需德语内容/EAN/CE/WEEE/LUCID</t>
        </is>
      </c>
      <c r="G6" s="3" t="inlineStr">
        <is>
          <t>自有品牌上架（最快出单）</t>
        </is>
      </c>
      <c r="H6" s="3" t="inlineStr">
        <is>
          <t>4-8周即可上平台出单</t>
        </is>
      </c>
      <c r="I6" s="3" t="inlineStr">
        <is>
          <t>需德语产品数据与德国合规号</t>
        </is>
      </c>
      <c r="J6" s="3" t="inlineStr">
        <is>
          <t>⭐⭐</t>
        </is>
      </c>
    </row>
    <row r="7">
      <c r="A7" s="3" t="n">
        <v>6</v>
      </c>
      <c r="B7" s="3" t="inlineStr">
        <is>
          <t>IC Intracom (Intellinet/Manhattan)</t>
        </is>
      </c>
      <c r="C7" s="3" t="inlineStr">
        <is>
          <t>德国 Halver / 美国 FL</t>
        </is>
      </c>
      <c r="D7" s="3" t="inlineStr">
        <is>
          <t>sales@intellinetnetwork.eu；+49 2353 7007 0；WEEE DE40753042 / LUCID DE2489084505093</t>
        </is>
      </c>
      <c r="E7" s="3" t="inlineStr">
        <is>
          <t>Intellinet 可管理偏少，多为非管理与 web-smart PoE</t>
        </is>
      </c>
      <c r="F7" s="3" t="inlineStr">
        <is>
          <t>缺可管理 L2+ / PoE++ / 工业</t>
        </is>
      </c>
      <c r="G7" s="3" t="inlineStr">
        <is>
          <t>可管理 L2+ + 工业线</t>
        </is>
      </c>
      <c r="H7" s="3" t="inlineStr">
        <is>
          <t>你们亚洲有 QC、欧盟合规号齐全，沟通成本最低</t>
        </is>
      </c>
      <c r="I7" s="3" t="inlineStr">
        <is>
          <t>他们已有亚洲供应</t>
        </is>
      </c>
      <c r="J7" s="3" t="inlineStr">
        <is>
          <t>⭐⭐</t>
        </is>
      </c>
    </row>
    <row r="8">
      <c r="A8" s="3" t="n">
        <v>7</v>
      </c>
      <c r="B8" s="3" t="inlineStr">
        <is>
          <t>Deltaco (DistIT → Aurdel)</t>
        </is>
      </c>
      <c r="C8" s="3" t="inlineStr">
        <is>
          <t>瑞典</t>
        </is>
      </c>
      <c r="D8" s="3" t="inlineStr">
        <is>
          <t>官网 B2B</t>
        </is>
      </c>
      <c r="E8" s="3" t="inlineStr">
        <is>
          <t>含 switches/转换器/光纤，偏北欧零售 SOHO</t>
        </is>
      </c>
      <c r="F8" s="3" t="inlineStr">
        <is>
          <t>可管理 PoE 与工业线薄弱</t>
        </is>
      </c>
      <c r="G8" s="3" t="inlineStr">
        <is>
          <t>北欧 PoE+ / 工业线</t>
        </is>
      </c>
      <c r="H8" s="3" t="inlineStr">
        <is>
          <t>从台湾进口到自有品牌的这条路我们熟</t>
        </is>
      </c>
      <c r="I8" s="3" t="inlineStr">
        <is>
          <t>集团合并期，决策链变化</t>
        </is>
      </c>
      <c r="J8" s="3" t="inlineStr">
        <is>
          <t>⭐</t>
        </is>
      </c>
    </row>
    <row r="9">
      <c r="A9" s="3" t="n">
        <v>8</v>
      </c>
      <c r="B9" s="3" t="inlineStr">
        <is>
          <t>StarTech.com</t>
        </is>
      </c>
      <c r="C9" s="3" t="inlineStr">
        <is>
          <t>加拿大多伦多</t>
        </is>
      </c>
      <c r="D9" s="3" t="inlineStr">
        <is>
          <t>官网供应商入口（⚠️ 不要发冷邮件，CASL）</t>
        </is>
      </c>
      <c r="E9" s="3" t="inlineStr">
        <is>
          <t>IES61002POE / IES81000PoE(TAA) / IESC1G50UP / IES1G52UPDIN / IES5102 —— 全部非管理</t>
        </is>
      </c>
      <c r="F9" s="3" t="inlineStr">
        <is>
          <t>没有可管理工业交换机、无 PoE++、无环网</t>
        </is>
      </c>
      <c r="G9" s="3" t="inlineStr">
        <is>
          <t>可管理工业线</t>
        </is>
      </c>
      <c r="H9" s="3" t="inlineStr">
        <is>
          <t>你们的工业交换机全是非管理型</t>
        </is>
      </c>
      <c r="I9" s="3" t="inlineStr">
        <is>
          <t>⚠️ TAA SKU 不能碰（中国原产）</t>
        </is>
      </c>
      <c r="J9" s="3" t="inlineStr">
        <is>
          <t>⭐</t>
        </is>
      </c>
    </row>
    <row r="10">
      <c r="A10" s="3" t="n">
        <v>9</v>
      </c>
      <c r="B10" s="3" t="inlineStr">
        <is>
          <t>Intelbras</t>
        </is>
      </c>
      <c r="C10" s="3" t="inlineStr">
        <is>
          <t>巴西</t>
        </is>
      </c>
      <c r="D10" s="3" t="inlineStr">
        <is>
          <t>Amilcar Scheffer（网络方案与产品总监）/ Elton Thiesen（企业线经理）</t>
        </is>
      </c>
      <c r="E10" s="3" t="inlineStr">
        <is>
          <t>SG 5204 MR L2+、S3028G-PB Max(L3,380W)、SG 2404 PoE L2+ 等；与 H3C 合作本地化生产</t>
        </is>
      </c>
      <c r="F10" s="3" t="inlineStr">
        <is>
          <t>接入层低价位 / PoE++ / 工业宽温；SKD/CKD 机会</t>
        </is>
      </c>
      <c r="G10" s="3" t="inlineStr">
        <is>
          <t>接入层 + SKD/CKD 散件</t>
        </is>
      </c>
      <c r="H10" s="3" t="inlineStr">
        <is>
          <t>H3C 覆盖核心，接入层与本地组装是空间</t>
        </is>
      </c>
      <c r="I10" s="3" t="inlineStr">
        <is>
          <t>H3C 关系深；需葡语与 ANATEL 确认</t>
        </is>
      </c>
      <c r="J10" s="3" t="inlineStr">
        <is>
          <t>⭐</t>
        </is>
      </c>
    </row>
    <row r="11">
      <c r="A11" s="3" t="n">
        <v>10</v>
      </c>
      <c r="B11" s="3" t="inlineStr">
        <is>
          <t>Antaira</t>
        </is>
      </c>
      <c r="C11" s="3" t="inlineStr">
        <is>
          <t>美国(台系供应链)</t>
        </is>
      </c>
      <c r="D11" s="3" t="inlineStr">
        <is>
          <t>其合作方：Switch SFP(UK)、Things Embedded</t>
        </is>
      </c>
      <c r="E11" s="3" t="inlineStr">
        <is>
          <t>工业以太网为主</t>
        </is>
      </c>
      <c r="F11" s="3" t="inlineStr">
        <is>
          <t>同价位下规格与质保</t>
        </is>
      </c>
      <c r="G11" s="3" t="inlineStr">
        <is>
          <t>4×10G + PoE++ + ERPS</t>
        </is>
      </c>
      <c r="H11" s="3" t="inlineStr">
        <is>
          <t>项目要更大规格时他们够不着</t>
        </is>
      </c>
      <c r="I11" s="3" t="inlineStr">
        <is>
          <t>主要是竞品；打其渠道</t>
        </is>
      </c>
      <c r="J11" s="3" t="inlineStr">
        <is>
          <t>B</t>
        </is>
      </c>
    </row>
    <row r="12">
      <c r="A12" s="3" t="n">
        <v>11</v>
      </c>
      <c r="B12" s="3" t="inlineStr">
        <is>
          <t>ComNet (ACRE)</t>
        </is>
      </c>
      <c r="C12" s="3" t="inlineStr">
        <is>
          <t>美国 Danbury CT</t>
        </is>
      </c>
      <c r="D12" s="3" t="inlineStr">
        <is>
          <t>+1 203 796 5300；comnetcustomercare@acresecurity.com</t>
        </is>
      </c>
      <c r="E12" s="3" t="inlineStr">
        <is>
          <t>光纤/铜缆/无线传输，有限终身质保，IEC61850-3 产品线</t>
        </is>
      </c>
      <c r="F12" s="3" t="inlineStr">
        <is>
          <t>ITS/电力集成商渠道；非核心网段第二供应源</t>
        </is>
      </c>
      <c r="G12" s="3" t="inlineStr">
        <is>
          <t>ITS 与电力项目配套</t>
        </is>
      </c>
      <c r="H12" s="3" t="inlineStr">
        <is>
          <t>打其下游集成商</t>
        </is>
      </c>
      <c r="I12" s="3" t="inlineStr">
        <is>
          <t>美国本土制造，本地保护</t>
        </is>
      </c>
      <c r="J12" s="3" t="inlineStr">
        <is>
          <t>B</t>
        </is>
      </c>
    </row>
    <row r="13">
      <c r="A13" s="3" t="n">
        <v>12</v>
      </c>
      <c r="B13" s="3" t="inlineStr">
        <is>
          <t>Teltonika Networks</t>
        </is>
      </c>
      <c r="C13" s="3" t="inlineStr">
        <is>
          <t>立陶宛</t>
        </is>
      </c>
      <c r="D13" s="3" t="inlineStr">
        <is>
          <t>其各国分销商（如英国 Diamond 分销商 Millbeck）</t>
        </is>
      </c>
      <c r="E13" s="3" t="inlineStr">
        <is>
          <t>TSW202/TSW212（8×GE+2SFP，8K MAC/512KB，MSRP $129），开放 SDK 可自写固件</t>
        </is>
      </c>
      <c r="F13" s="3" t="inlineStr">
        <is>
          <t>无 10G 上行、无 PoE++、无 ERPS、只有 8 口</t>
        </is>
      </c>
      <c r="G13" s="3" t="inlineStr">
        <is>
          <t>LT-IS6312XG 正面对冲</t>
        </is>
      </c>
      <c r="H13" s="3" t="inlineStr">
        <is>
          <t>8 口以上他们没有</t>
        </is>
      </c>
      <c r="I13" s="3" t="inlineStr">
        <is>
          <t>有 SDK + RMS 云，工程师粘性高</t>
        </is>
      </c>
      <c r="J13" s="3" t="inlineStr">
        <is>
          <t>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24" customWidth="1" min="4" max="4"/>
    <col width="18" customWidth="1" min="5" max="5"/>
    <col width="32" customWidth="1" min="6" max="6"/>
    <col width="12" customWidth="1" min="7" max="7"/>
    <col width="34" customWidth="1" min="8" max="8"/>
    <col width="24" customWidth="1" min="9" max="9"/>
    <col width="30" customWidth="1" min="10" max="10"/>
    <col width="8" customWidth="1" min="11" max="11"/>
    <col width="10" customWidth="1" min="12" max="12"/>
    <col width="18" customWidth="1" min="13" max="13"/>
    <col width="12" customWidth="1" min="14" max="14"/>
    <col width="12" customWidth="1" min="15" max="15"/>
    <col width="12" customWidth="1" min="16" max="16"/>
    <col width="30" customWidth="1" min="17" max="17"/>
  </cols>
  <sheetData>
    <row r="1">
      <c r="A1" s="2" t="inlineStr">
        <is>
          <t>公司名</t>
        </is>
      </c>
      <c r="B1" s="2" t="inlineStr">
        <is>
          <t>国家</t>
        </is>
      </c>
      <c r="C1" s="2" t="inlineStr">
        <is>
          <t>城市</t>
        </is>
      </c>
      <c r="D1" s="2" t="inlineStr">
        <is>
          <t>网站</t>
        </is>
      </c>
      <c r="E1" s="2" t="inlineStr">
        <is>
          <t>类型</t>
        </is>
      </c>
      <c r="F1" s="2" t="inlineStr">
        <is>
          <t>信号（在卖什么品牌）</t>
        </is>
      </c>
      <c r="G1" s="2" t="inlineStr">
        <is>
          <t>是否自有品牌</t>
        </is>
      </c>
      <c r="H1" s="2" t="inlineStr">
        <is>
          <t>切入点</t>
        </is>
      </c>
      <c r="I1" s="2" t="inlineStr">
        <is>
          <t>首推SmartByte型号</t>
        </is>
      </c>
      <c r="J1" s="2" t="inlineStr">
        <is>
          <t>入口/联系方式</t>
        </is>
      </c>
      <c r="K1" s="2" t="inlineStr">
        <is>
          <t>优先级</t>
        </is>
      </c>
      <c r="L1" s="2" t="inlineStr">
        <is>
          <t>状态</t>
        </is>
      </c>
      <c r="M1" s="2" t="inlineStr">
        <is>
          <t>来源</t>
        </is>
      </c>
      <c r="N1" s="2" t="inlineStr">
        <is>
          <t>首次触达日</t>
        </is>
      </c>
      <c r="O1" s="2" t="inlineStr">
        <is>
          <t>最后互动日</t>
        </is>
      </c>
      <c r="P1" s="2" t="inlineStr">
        <is>
          <t>下次跟进日</t>
        </is>
      </c>
      <c r="Q1" s="2" t="inlineStr">
        <is>
          <t>备注</t>
        </is>
      </c>
    </row>
    <row r="2">
      <c r="A2" s="3" t="inlineStr">
        <is>
          <t>Spectra (oring.spectra.de)</t>
        </is>
      </c>
      <c r="B2" s="3" t="inlineStr">
        <is>
          <t>德国</t>
        </is>
      </c>
      <c r="C2" s="3" t="inlineStr"/>
      <c r="D2" s="3" t="inlineStr">
        <is>
          <t>oring.spectra.de</t>
        </is>
      </c>
      <c r="E2" s="3" t="inlineStr">
        <is>
          <t>分销+网店</t>
        </is>
      </c>
      <c r="F2" s="3" t="inlineStr">
        <is>
          <t>ORing（全系，公开欧元价）</t>
        </is>
      </c>
      <c r="G2" s="3" t="inlineStr">
        <is>
          <t>否</t>
        </is>
      </c>
      <c r="H2" s="3" t="inlineStr">
        <is>
          <t>ORing价格高→1/3价做第二供应源</t>
        </is>
      </c>
      <c r="I2" s="3" t="inlineStr">
        <is>
          <t>LT-IS6312XGP-4XS8GT</t>
        </is>
      </c>
      <c r="J2" s="3" t="inlineStr">
        <is>
          <t>官网表单（德：不冷邮件）+LinkedIn</t>
        </is>
      </c>
      <c r="K2" s="3" t="inlineStr">
        <is>
          <t>★★★</t>
        </is>
      </c>
      <c r="L2" s="3" t="inlineStr">
        <is>
          <t>未触达</t>
        </is>
      </c>
      <c r="M2" s="3" t="inlineStr">
        <is>
          <t>反向信号/2026-09</t>
        </is>
      </c>
      <c r="N2" s="3" t="inlineStr"/>
      <c r="O2" s="3" t="inlineStr"/>
      <c r="P2" s="3" t="inlineStr"/>
      <c r="Q2" s="3" t="inlineStr">
        <is>
          <t>价格锚点最有用</t>
        </is>
      </c>
    </row>
    <row r="3">
      <c r="A3" s="3" t="inlineStr">
        <is>
          <t>Fiber24</t>
        </is>
      </c>
      <c r="B3" s="3" t="inlineStr">
        <is>
          <t>德国</t>
        </is>
      </c>
      <c r="C3" s="3" t="inlineStr"/>
      <c r="D3" s="3" t="inlineStr">
        <is>
          <t>shop.fiber24.net</t>
        </is>
      </c>
      <c r="E3" s="3" t="inlineStr">
        <is>
          <t>光通信/网络网店</t>
        </is>
      </c>
      <c r="F3" s="3" t="inlineStr">
        <is>
          <t>PLANET IGS-5225 全系</t>
        </is>
      </c>
      <c r="G3" s="3" t="inlineStr">
        <is>
          <t>否</t>
        </is>
      </c>
      <c r="H3" s="3" t="inlineStr">
        <is>
          <t>同做网店，中性货接受度最高</t>
        </is>
      </c>
      <c r="I3" s="3" t="inlineStr">
        <is>
          <t>LT-IS6312XG-4XS8GT</t>
        </is>
      </c>
      <c r="J3" s="3" t="inlineStr">
        <is>
          <t>官网表单+LinkedIn</t>
        </is>
      </c>
      <c r="K3" s="3" t="inlineStr">
        <is>
          <t>★★★</t>
        </is>
      </c>
      <c r="L3" s="3" t="inlineStr">
        <is>
          <t>未触达</t>
        </is>
      </c>
      <c r="M3" s="3" t="inlineStr">
        <is>
          <t>反向信号/2026-09</t>
        </is>
      </c>
      <c r="N3" s="3" t="inlineStr"/>
      <c r="O3" s="3" t="inlineStr"/>
      <c r="P3" s="3" t="inlineStr"/>
      <c r="Q3" s="3" t="inlineStr"/>
    </row>
    <row r="4">
      <c r="A4" s="3" t="inlineStr">
        <is>
          <t>IC Intracom (Intellinet/Manhattan)</t>
        </is>
      </c>
      <c r="B4" s="3" t="inlineStr">
        <is>
          <t>德国</t>
        </is>
      </c>
      <c r="C4" s="3" t="inlineStr">
        <is>
          <t>Halver</t>
        </is>
      </c>
      <c r="D4" s="3" t="inlineStr">
        <is>
          <t>icintracom.eu</t>
        </is>
      </c>
      <c r="E4" s="3" t="inlineStr">
        <is>
          <t>自有品牌制造商</t>
        </is>
      </c>
      <c r="F4" s="3" t="inlineStr">
        <is>
          <t>Intellinet/Manhattan</t>
        </is>
      </c>
      <c r="G4" s="3" t="inlineStr">
        <is>
          <t>是</t>
        </is>
      </c>
      <c r="H4" s="3" t="inlineStr">
        <is>
          <t>亚洲有QC、欧盟合规号齐全，沟通成本最低</t>
        </is>
      </c>
      <c r="I4" s="3" t="inlineStr">
        <is>
          <t>LT-S8328XG-4XS24GT-S</t>
        </is>
      </c>
      <c r="J4" s="3" t="inlineStr">
        <is>
          <t>sales@intellinetnetwork.eu / +49 2353 7007 0</t>
        </is>
      </c>
      <c r="K4" s="3" t="inlineStr">
        <is>
          <t>★★★</t>
        </is>
      </c>
      <c r="L4" s="3" t="inlineStr">
        <is>
          <t>未触达</t>
        </is>
      </c>
      <c r="M4" s="3" t="inlineStr">
        <is>
          <t>重点客户/2026-09</t>
        </is>
      </c>
      <c r="N4" s="3" t="inlineStr"/>
      <c r="O4" s="3" t="inlineStr"/>
      <c r="P4" s="3" t="inlineStr"/>
      <c r="Q4" s="3" t="inlineStr">
        <is>
          <t>WEEE DE40753042 / LUCID DE2489084505093</t>
        </is>
      </c>
    </row>
    <row r="5">
      <c r="A5" s="3" t="inlineStr">
        <is>
          <t>Lantech Communications Europe GmbH</t>
        </is>
      </c>
      <c r="B5" s="3" t="inlineStr">
        <is>
          <t>德国</t>
        </is>
      </c>
      <c r="C5" s="3" t="inlineStr"/>
      <c r="D5" s="3" t="inlineStr">
        <is>
          <t>—</t>
        </is>
      </c>
      <c r="E5" s="3" t="inlineStr">
        <is>
          <t>台厂德国实体</t>
        </is>
      </c>
      <c r="F5" s="3" t="inlineStr">
        <is>
          <t>Lantech（EN50155/铁路强）</t>
        </is>
      </c>
      <c r="G5" s="3" t="inlineStr">
        <is>
          <t>是</t>
        </is>
      </c>
      <c r="H5" s="3" t="inlineStr">
        <is>
          <t>不打产品，铁路/EN50155让出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✕</t>
        </is>
      </c>
      <c r="L5" s="3" t="inlineStr">
        <is>
          <t>未触达</t>
        </is>
      </c>
      <c r="M5" s="3" t="inlineStr">
        <is>
          <t>反向信号/2026-09</t>
        </is>
      </c>
      <c r="N5" s="3" t="inlineStr"/>
      <c r="O5" s="3" t="inlineStr"/>
      <c r="P5" s="3" t="inlineStr"/>
      <c r="Q5" s="3" t="inlineStr"/>
    </row>
    <row r="6">
      <c r="A6" s="3" t="inlineStr">
        <is>
          <t>Microsens</t>
        </is>
      </c>
      <c r="B6" s="3" t="inlineStr">
        <is>
          <t>德国</t>
        </is>
      </c>
      <c r="C6" s="3" t="inlineStr"/>
      <c r="D6" s="3" t="inlineStr">
        <is>
          <t>—</t>
        </is>
      </c>
      <c r="E6" s="3" t="inlineStr">
        <is>
          <t>工业网络品牌</t>
        </is>
      </c>
      <c r="F6" s="3" t="inlineStr">
        <is>
          <t>Microsens</t>
        </is>
      </c>
      <c r="G6" s="3" t="inlineStr">
        <is>
          <t>是</t>
        </is>
      </c>
      <c r="H6" s="3" t="inlineStr">
        <is>
          <t>高端锚，只做备件与项目配套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✕</t>
        </is>
      </c>
      <c r="L6" s="3" t="inlineStr">
        <is>
          <t>未触达</t>
        </is>
      </c>
      <c r="M6" s="3" t="inlineStr">
        <is>
          <t>反向信号/2026-09</t>
        </is>
      </c>
      <c r="N6" s="3" t="inlineStr"/>
      <c r="O6" s="3" t="inlineStr"/>
      <c r="P6" s="3" t="inlineStr"/>
      <c r="Q6" s="3" t="inlineStr"/>
    </row>
    <row r="7">
      <c r="A7" s="3" t="inlineStr">
        <is>
          <t>Conrad / Reichelt / Distrelec</t>
        </is>
      </c>
      <c r="B7" s="3" t="inlineStr">
        <is>
          <t>德国/瑞士</t>
        </is>
      </c>
      <c r="C7" s="3" t="inlineStr"/>
      <c r="D7" s="3" t="inlineStr">
        <is>
          <t>platform.conrad.de</t>
        </is>
      </c>
      <c r="E7" s="3" t="inlineStr">
        <is>
          <t>大分销+自有品牌</t>
        </is>
      </c>
      <c r="F7" s="3" t="inlineStr">
        <is>
          <t>RND 等</t>
        </is>
      </c>
      <c r="G7" s="3" t="inlineStr">
        <is>
          <t>部分</t>
        </is>
      </c>
      <c r="H7" s="3" t="inlineStr">
        <is>
          <t>Conrad走Mirakl入驻；Distrelec供应商onboarding</t>
        </is>
      </c>
      <c r="I7" s="3" t="inlineStr">
        <is>
          <t>LT-S8328XGP-4XS24GT-S</t>
        </is>
      </c>
      <c r="J7" s="3" t="inlineStr">
        <is>
          <t>各官网入驻入口</t>
        </is>
      </c>
      <c r="K7" s="3" t="inlineStr">
        <is>
          <t>★★★</t>
        </is>
      </c>
      <c r="L7" s="3" t="inlineStr">
        <is>
          <t>未触达</t>
        </is>
      </c>
      <c r="M7" s="3" t="inlineStr">
        <is>
          <t>重点客户/2026-09</t>
        </is>
      </c>
      <c r="N7" s="3" t="inlineStr"/>
      <c r="O7" s="3" t="inlineStr"/>
      <c r="P7" s="3" t="inlineStr"/>
      <c r="Q7" s="3" t="inlineStr">
        <is>
          <t>最快出单路径</t>
        </is>
      </c>
    </row>
    <row r="8">
      <c r="A8" s="3" t="inlineStr">
        <is>
          <t>shop4power.nl</t>
        </is>
      </c>
      <c r="B8" s="3" t="inlineStr">
        <is>
          <t>荷兰</t>
        </is>
      </c>
      <c r="C8" s="3" t="inlineStr"/>
      <c r="D8" s="3" t="inlineStr">
        <is>
          <t>shop4power.nl</t>
        </is>
      </c>
      <c r="E8" s="3" t="inlineStr">
        <is>
          <t>分销+自有品牌</t>
        </is>
      </c>
      <c r="F8" s="3" t="inlineStr">
        <is>
          <t>PLANET + E-Link</t>
        </is>
      </c>
      <c r="G8" s="3" t="inlineStr">
        <is>
          <t>是</t>
        </is>
      </c>
      <c r="H8" s="3" t="inlineStr">
        <is>
          <t>已做OEM/贴牌，最容易谈中性货</t>
        </is>
      </c>
      <c r="I8" s="3" t="inlineStr">
        <is>
          <t>LT-S8328XGP-4XS24GT-S</t>
        </is>
      </c>
      <c r="J8" s="3" t="inlineStr">
        <is>
          <t>官网表单+邮件</t>
        </is>
      </c>
      <c r="K8" s="3" t="inlineStr">
        <is>
          <t>★★★</t>
        </is>
      </c>
      <c r="L8" s="3" t="inlineStr">
        <is>
          <t>未触达</t>
        </is>
      </c>
      <c r="M8" s="3" t="inlineStr">
        <is>
          <t>反向信号/2026-09</t>
        </is>
      </c>
      <c r="N8" s="3" t="inlineStr"/>
      <c r="O8" s="3" t="inlineStr"/>
      <c r="P8" s="3" t="inlineStr"/>
      <c r="Q8" s="3" t="inlineStr">
        <is>
          <t>Benelux Planet Partner</t>
        </is>
      </c>
    </row>
    <row r="9">
      <c r="A9" s="3" t="inlineStr">
        <is>
          <t>Nedis</t>
        </is>
      </c>
      <c r="B9" s="3" t="inlineStr">
        <is>
          <t>荷兰</t>
        </is>
      </c>
      <c r="C9" s="3" t="inlineStr">
        <is>
          <t>'s-Hertogenbosch</t>
        </is>
      </c>
      <c r="D9" s="3" t="inlineStr">
        <is>
          <t>nedis.com</t>
        </is>
      </c>
      <c r="E9" s="3" t="inlineStr">
        <is>
          <t>自有品牌分销</t>
        </is>
      </c>
      <c r="F9" s="3" t="inlineStr">
        <is>
          <t>Nedis（交换机仅非管理）</t>
        </is>
      </c>
      <c r="G9" s="3" t="inlineStr">
        <is>
          <t>是</t>
        </is>
      </c>
      <c r="H9" s="3" t="inlineStr">
        <is>
          <t>补可管理/24口/PoE++</t>
        </is>
      </c>
      <c r="I9" s="3" t="inlineStr">
        <is>
          <t>LT-S8328XGP-4XS24GT-S</t>
        </is>
      </c>
      <c r="J9" s="3" t="inlineStr">
        <is>
          <t>+31 73 599 1055 / become-a-partner表单</t>
        </is>
      </c>
      <c r="K9" s="3" t="inlineStr">
        <is>
          <t>★★</t>
        </is>
      </c>
      <c r="L9" s="3" t="inlineStr">
        <is>
          <t>未触达</t>
        </is>
      </c>
      <c r="M9" s="3" t="inlineStr">
        <is>
          <t>重点客户/2026-09</t>
        </is>
      </c>
      <c r="N9" s="3" t="inlineStr"/>
      <c r="O9" s="3" t="inlineStr"/>
      <c r="P9" s="3" t="inlineStr"/>
      <c r="Q9" s="3" t="inlineStr">
        <is>
          <t>Chaitanya Mhatre (Director Sales Asia)</t>
        </is>
      </c>
    </row>
    <row r="10">
      <c r="A10" s="3" t="inlineStr">
        <is>
          <t>TME (Transfer Multisort Elektronik)</t>
        </is>
      </c>
      <c r="B10" s="3" t="inlineStr">
        <is>
          <t>波兰</t>
        </is>
      </c>
      <c r="C10" s="3" t="inlineStr"/>
      <c r="D10" s="3" t="inlineStr">
        <is>
          <t>tme.eu</t>
        </is>
      </c>
      <c r="E10" s="3" t="inlineStr">
        <is>
          <t>大分销</t>
        </is>
      </c>
      <c r="F10" s="3" t="inlineStr">
        <is>
          <t>Moxa（EDS-405A €429）</t>
        </is>
      </c>
      <c r="G10" s="3" t="inlineStr">
        <is>
          <t>否</t>
        </is>
      </c>
      <c r="H10" s="3" t="inlineStr">
        <is>
          <t>体量大流程长，先做1个型号试单</t>
        </is>
      </c>
      <c r="I10" s="3" t="inlineStr">
        <is>
          <t>LT-IS6312XG-4XS8GT</t>
        </is>
      </c>
      <c r="J10" s="3" t="inlineStr">
        <is>
          <t>官网B2B</t>
        </is>
      </c>
      <c r="K10" s="3" t="inlineStr">
        <is>
          <t>★★</t>
        </is>
      </c>
      <c r="L10" s="3" t="inlineStr">
        <is>
          <t>未触达</t>
        </is>
      </c>
      <c r="M10" s="3" t="inlineStr">
        <is>
          <t>反向信号/2026-09</t>
        </is>
      </c>
      <c r="N10" s="3" t="inlineStr"/>
      <c r="O10" s="3" t="inlineStr"/>
      <c r="P10" s="3" t="inlineStr"/>
      <c r="Q10" s="3" t="inlineStr"/>
    </row>
    <row r="11">
      <c r="A11" s="3" t="inlineStr">
        <is>
          <t>Cyberbajt</t>
        </is>
      </c>
      <c r="B11" s="3" t="inlineStr">
        <is>
          <t>波兰</t>
        </is>
      </c>
      <c r="C11" s="3" t="inlineStr"/>
      <c r="D11" s="3" t="inlineStr">
        <is>
          <t>cyberbajt.pl</t>
        </is>
      </c>
      <c r="E11" s="3" t="inlineStr">
        <is>
          <t>集成/分销</t>
        </is>
      </c>
      <c r="F11" s="3" t="inlineStr">
        <is>
          <t>Moxa 工业交换机</t>
        </is>
      </c>
      <c r="G11" s="3" t="inlineStr">
        <is>
          <t>否</t>
        </is>
      </c>
      <c r="H11" s="3" t="inlineStr">
        <is>
          <t>波兰T1，用LT-IS打价格</t>
        </is>
      </c>
      <c r="I11" s="3" t="inlineStr">
        <is>
          <t>LT-IS6312XGP-4XS8GT</t>
        </is>
      </c>
      <c r="J11" s="3" t="inlineStr">
        <is>
          <t>官网kontakt</t>
        </is>
      </c>
      <c r="K11" s="3" t="inlineStr">
        <is>
          <t>★★★</t>
        </is>
      </c>
      <c r="L11" s="3" t="inlineStr">
        <is>
          <t>未触达</t>
        </is>
      </c>
      <c r="M11" s="3" t="inlineStr">
        <is>
          <t>反向信号/2026-09</t>
        </is>
      </c>
      <c r="N11" s="3" t="inlineStr"/>
      <c r="O11" s="3" t="inlineStr"/>
      <c r="P11" s="3" t="inlineStr"/>
      <c r="Q11" s="3" t="inlineStr"/>
    </row>
    <row r="12">
      <c r="A12" s="3" t="inlineStr">
        <is>
          <t>BCS</t>
        </is>
      </c>
      <c r="B12" s="3" t="inlineStr">
        <is>
          <t>波兰/捷克</t>
        </is>
      </c>
      <c r="C12" s="3" t="inlineStr"/>
      <c r="D12" s="3" t="inlineStr">
        <is>
          <t>—</t>
        </is>
      </c>
      <c r="E12" s="3" t="inlineStr">
        <is>
          <t>CCTV自有品牌</t>
        </is>
      </c>
      <c r="F12" s="3" t="inlineStr">
        <is>
          <t>BCS（工业PoE交换机）</t>
        </is>
      </c>
      <c r="G12" s="3" t="inlineStr">
        <is>
          <t>是</t>
        </is>
      </c>
      <c r="H12" s="3" t="inlineStr">
        <is>
          <t>⭐OEM目标：安防品牌补工业线</t>
        </is>
      </c>
      <c r="I12" s="3" t="inlineStr">
        <is>
          <t>LT-IS6312XGP-4XS8GT</t>
        </is>
      </c>
      <c r="J12" s="3" t="inlineStr">
        <is>
          <t>官网</t>
        </is>
      </c>
      <c r="K12" s="3" t="inlineStr">
        <is>
          <t>★★★</t>
        </is>
      </c>
      <c r="L12" s="3" t="inlineStr">
        <is>
          <t>未触达</t>
        </is>
      </c>
      <c r="M12" s="3" t="inlineStr">
        <is>
          <t>反向信号/2026-09</t>
        </is>
      </c>
      <c r="N12" s="3" t="inlineStr"/>
      <c r="O12" s="3" t="inlineStr"/>
      <c r="P12" s="3" t="inlineStr"/>
      <c r="Q12" s="3" t="inlineStr">
        <is>
          <t>待查具体联系人</t>
        </is>
      </c>
    </row>
    <row r="13">
      <c r="A13" s="3" t="inlineStr">
        <is>
          <t>Proficomms</t>
        </is>
      </c>
      <c r="B13" s="3" t="inlineStr">
        <is>
          <t>捷克</t>
        </is>
      </c>
      <c r="C13" s="3" t="inlineStr"/>
      <c r="D13" s="3" t="inlineStr">
        <is>
          <t>proficomms.cz</t>
        </is>
      </c>
      <c r="E13" s="3" t="inlineStr">
        <is>
          <t>专业分销</t>
        </is>
      </c>
      <c r="F13" s="3" t="inlineStr">
        <is>
          <t>ComNet/Microsens/AMG/PLANET/Cisco IE/TRENDnet</t>
        </is>
      </c>
      <c r="G13" s="3" t="inlineStr">
        <is>
          <t>否</t>
        </is>
      </c>
      <c r="H13" s="3" t="inlineStr">
        <is>
          <t>已代理6个品牌，加第7个阻力小</t>
        </is>
      </c>
      <c r="I13" s="3" t="inlineStr">
        <is>
          <t>LT-IS6320G-4GX16GT-D</t>
        </is>
      </c>
      <c r="J13" s="3" t="inlineStr">
        <is>
          <t>官网kontakt</t>
        </is>
      </c>
      <c r="K13" s="3" t="inlineStr">
        <is>
          <t>★★★</t>
        </is>
      </c>
      <c r="L13" s="3" t="inlineStr">
        <is>
          <t>未触达</t>
        </is>
      </c>
      <c r="M13" s="3" t="inlineStr">
        <is>
          <t>反向信号/2026-09</t>
        </is>
      </c>
      <c r="N13" s="3" t="inlineStr"/>
      <c r="O13" s="3" t="inlineStr"/>
      <c r="P13" s="3" t="inlineStr"/>
      <c r="Q13" s="3" t="inlineStr"/>
    </row>
    <row r="14">
      <c r="A14" s="3" t="inlineStr">
        <is>
          <t>SECOMP</t>
        </is>
      </c>
      <c r="B14" s="3" t="inlineStr">
        <is>
          <t>捷克</t>
        </is>
      </c>
      <c r="C14" s="3" t="inlineStr"/>
      <c r="D14" s="3" t="inlineStr">
        <is>
          <t>secomp.cz</t>
        </is>
      </c>
      <c r="E14" s="3" t="inlineStr">
        <is>
          <t>分销</t>
        </is>
      </c>
      <c r="F14" s="3" t="inlineStr">
        <is>
          <t>TRENDnet TI-PG102 等</t>
        </is>
      </c>
      <c r="G14" s="3" t="inlineStr">
        <is>
          <t>否</t>
        </is>
      </c>
      <c r="H14" s="3" t="inlineStr">
        <is>
          <t>第二供应源</t>
        </is>
      </c>
      <c r="I14" s="3" t="inlineStr">
        <is>
          <t>LT-IS6318GP-2GX16GT</t>
        </is>
      </c>
      <c r="J14" s="3" t="inlineStr">
        <is>
          <t>官网</t>
        </is>
      </c>
      <c r="K14" s="3" t="inlineStr">
        <is>
          <t>★★</t>
        </is>
      </c>
      <c r="L14" s="3" t="inlineStr">
        <is>
          <t>未触达</t>
        </is>
      </c>
      <c r="M14" s="3" t="inlineStr">
        <is>
          <t>反向信号/2026-09</t>
        </is>
      </c>
      <c r="N14" s="3" t="inlineStr"/>
      <c r="O14" s="3" t="inlineStr"/>
      <c r="P14" s="3" t="inlineStr"/>
      <c r="Q14" s="3" t="inlineStr"/>
    </row>
    <row r="15">
      <c r="A15" s="3" t="inlineStr">
        <is>
          <t>TS Bohemia</t>
        </is>
      </c>
      <c r="B15" s="3" t="inlineStr">
        <is>
          <t>捷克</t>
        </is>
      </c>
      <c r="C15" s="3" t="inlineStr"/>
      <c r="D15" s="3" t="inlineStr">
        <is>
          <t>tsbohemia.cz</t>
        </is>
      </c>
      <c r="E15" s="3" t="inlineStr">
        <is>
          <t>零售/电商</t>
        </is>
      </c>
      <c r="F15" s="3" t="inlineStr">
        <is>
          <t>Conexpro（捷克自有品牌）</t>
        </is>
      </c>
      <c r="G15" s="3" t="inlineStr">
        <is>
          <t>否</t>
        </is>
      </c>
      <c r="H15" s="3" t="inlineStr">
        <is>
          <t>说明捷克接受自有品牌</t>
        </is>
      </c>
      <c r="I15" s="3" t="inlineStr">
        <is>
          <t>—</t>
        </is>
      </c>
      <c r="J15" s="3" t="inlineStr">
        <is>
          <t>官网</t>
        </is>
      </c>
      <c r="K15" s="3" t="inlineStr">
        <is>
          <t>★★</t>
        </is>
      </c>
      <c r="L15" s="3" t="inlineStr">
        <is>
          <t>未触达</t>
        </is>
      </c>
      <c r="M15" s="3" t="inlineStr">
        <is>
          <t>反向信号/2026-09</t>
        </is>
      </c>
      <c r="N15" s="3" t="inlineStr"/>
      <c r="O15" s="3" t="inlineStr"/>
      <c r="P15" s="3" t="inlineStr"/>
      <c r="Q15" s="3" t="inlineStr"/>
    </row>
    <row r="16">
      <c r="A16" s="3" t="inlineStr">
        <is>
          <t>Conexpro (GNT-IG 系列)</t>
        </is>
      </c>
      <c r="B16" s="3" t="inlineStr">
        <is>
          <t>捷克</t>
        </is>
      </c>
      <c r="C16" s="3" t="inlineStr"/>
      <c r="D16" s="3" t="inlineStr">
        <is>
          <t>—</t>
        </is>
      </c>
      <c r="E16" s="3" t="inlineStr">
        <is>
          <t>自有品牌</t>
        </is>
      </c>
      <c r="F16" s="3" t="inlineStr">
        <is>
          <t>Conexpro</t>
        </is>
      </c>
      <c r="G16" s="3" t="inlineStr">
        <is>
          <t>是</t>
        </is>
      </c>
      <c r="H16" s="3" t="inlineStr">
        <is>
          <t>⚠️价格地板（8口PoE DIN≈€55），别硬拼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✕</t>
        </is>
      </c>
      <c r="L16" s="3" t="inlineStr">
        <is>
          <t>未触达</t>
        </is>
      </c>
      <c r="M16" s="3" t="inlineStr">
        <is>
          <t>反向信号/2026-09</t>
        </is>
      </c>
      <c r="N16" s="3" t="inlineStr"/>
      <c r="O16" s="3" t="inlineStr"/>
      <c r="P16" s="3" t="inlineStr"/>
      <c r="Q16" s="3" t="inlineStr"/>
    </row>
    <row r="17">
      <c r="A17" s="3" t="inlineStr">
        <is>
          <t>MADER.cz</t>
        </is>
      </c>
      <c r="B17" s="3" t="inlineStr">
        <is>
          <t>捷克</t>
        </is>
      </c>
      <c r="C17" s="3" t="inlineStr"/>
      <c r="D17" s="3" t="inlineStr">
        <is>
          <t>mader.cz</t>
        </is>
      </c>
      <c r="E17" s="3" t="inlineStr">
        <is>
          <t>电商</t>
        </is>
      </c>
      <c r="F17" s="3" t="inlineStr">
        <is>
          <t>工业PoE</t>
        </is>
      </c>
      <c r="G17" s="3" t="inlineStr">
        <is>
          <t>否</t>
        </is>
      </c>
      <c r="H17" s="3" t="inlineStr">
        <is>
          <t>中性货试单</t>
        </is>
      </c>
      <c r="I17" s="3" t="inlineStr">
        <is>
          <t>LT-IS6310GP-2GX8GT</t>
        </is>
      </c>
      <c r="J17" s="3" t="inlineStr">
        <is>
          <t>官网</t>
        </is>
      </c>
      <c r="K17" s="3" t="inlineStr">
        <is>
          <t>★★</t>
        </is>
      </c>
      <c r="L17" s="3" t="inlineStr">
        <is>
          <t>未触达</t>
        </is>
      </c>
      <c r="M17" s="3" t="inlineStr">
        <is>
          <t>反向信号/2026-09</t>
        </is>
      </c>
      <c r="N17" s="3" t="inlineStr"/>
      <c r="O17" s="3" t="inlineStr"/>
      <c r="P17" s="3" t="inlineStr"/>
      <c r="Q17" s="3" t="inlineStr"/>
    </row>
    <row r="18">
      <c r="A18" s="3" t="inlineStr">
        <is>
          <t>IndustrialComms</t>
        </is>
      </c>
      <c r="B18" s="3" t="inlineStr">
        <is>
          <t>英国</t>
        </is>
      </c>
      <c r="C18" s="3" t="inlineStr"/>
      <c r="D18" s="3" t="inlineStr">
        <is>
          <t>industrialcomms.com</t>
        </is>
      </c>
      <c r="E18" s="3" t="inlineStr">
        <is>
          <t>专业分销</t>
        </is>
      </c>
      <c r="F18" s="3" t="inlineStr">
        <is>
          <t>EtherWAN</t>
        </is>
      </c>
      <c r="G18" s="3" t="inlineStr">
        <is>
          <t>否</t>
        </is>
      </c>
      <c r="H18" s="3" t="inlineStr">
        <is>
          <t>⭐英国T1：熟悉工业交换机，缺低价第二供应源</t>
        </is>
      </c>
      <c r="I18" s="3" t="inlineStr">
        <is>
          <t>LT-IS6312XG-4XS8GT</t>
        </is>
      </c>
      <c r="J18" s="3" t="inlineStr">
        <is>
          <t>官网+LinkedIn</t>
        </is>
      </c>
      <c r="K18" s="3" t="inlineStr">
        <is>
          <t>★★★</t>
        </is>
      </c>
      <c r="L18" s="3" t="inlineStr">
        <is>
          <t>未触达</t>
        </is>
      </c>
      <c r="M18" s="3" t="inlineStr">
        <is>
          <t>反向信号/2026-09</t>
        </is>
      </c>
      <c r="N18" s="3" t="inlineStr"/>
      <c r="O18" s="3" t="inlineStr"/>
      <c r="P18" s="3" t="inlineStr"/>
      <c r="Q18" s="3" t="inlineStr">
        <is>
          <t>交通/公用事业/监控</t>
        </is>
      </c>
    </row>
    <row r="19">
      <c r="A19" s="3" t="inlineStr">
        <is>
          <t>AMG Systems</t>
        </is>
      </c>
      <c r="B19" s="3" t="inlineStr">
        <is>
          <t>英国</t>
        </is>
      </c>
      <c r="C19" s="3" t="inlineStr"/>
      <c r="D19" s="3" t="inlineStr">
        <is>
          <t>—</t>
        </is>
      </c>
      <c r="E19" s="3" t="inlineStr">
        <is>
          <t>品牌（竞品）</t>
        </is>
      </c>
      <c r="F19" s="3" t="inlineStr">
        <is>
          <t>AMG</t>
        </is>
      </c>
      <c r="G19" s="3" t="inlineStr">
        <is>
          <t>是</t>
        </is>
      </c>
      <c r="H19" s="3" t="inlineStr">
        <is>
          <t>打其下游集成商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★</t>
        </is>
      </c>
      <c r="L19" s="3" t="inlineStr">
        <is>
          <t>未触达</t>
        </is>
      </c>
      <c r="M19" s="3" t="inlineStr">
        <is>
          <t>反向信号/2026-09</t>
        </is>
      </c>
      <c r="N19" s="3" t="inlineStr"/>
      <c r="O19" s="3" t="inlineStr"/>
      <c r="P19" s="3" t="inlineStr"/>
      <c r="Q19" s="3" t="inlineStr"/>
    </row>
    <row r="20">
      <c r="A20" s="3" t="inlineStr">
        <is>
          <t>Switch SFP</t>
        </is>
      </c>
      <c r="B20" s="3" t="inlineStr">
        <is>
          <t>英国</t>
        </is>
      </c>
      <c r="C20" s="3" t="inlineStr"/>
      <c r="D20" s="3" t="inlineStr">
        <is>
          <t>switchsfp.com</t>
        </is>
      </c>
      <c r="E20" s="3" t="inlineStr">
        <is>
          <t>分销</t>
        </is>
      </c>
      <c r="F20" s="3" t="inlineStr">
        <is>
          <t>Antaira</t>
        </is>
      </c>
      <c r="G20" s="3" t="inlineStr">
        <is>
          <t>否</t>
        </is>
      </c>
      <c r="H20" s="3" t="inlineStr">
        <is>
          <t>同价位替代</t>
        </is>
      </c>
      <c r="I20" s="3" t="inlineStr">
        <is>
          <t>LT-IS6312XG-4XS8GT</t>
        </is>
      </c>
      <c r="J20" s="3" t="inlineStr">
        <is>
          <t>sales@switchsfp.com</t>
        </is>
      </c>
      <c r="K20" s="3" t="inlineStr">
        <is>
          <t>★★</t>
        </is>
      </c>
      <c r="L20" s="3" t="inlineStr">
        <is>
          <t>未触达</t>
        </is>
      </c>
      <c r="M20" s="3" t="inlineStr">
        <is>
          <t>反向信号/2026-09</t>
        </is>
      </c>
      <c r="N20" s="3" t="inlineStr"/>
      <c r="O20" s="3" t="inlineStr"/>
      <c r="P20" s="3" t="inlineStr"/>
      <c r="Q20" s="3" t="inlineStr"/>
    </row>
    <row r="21">
      <c r="A21" s="3" t="inlineStr">
        <is>
          <t>Millbeck</t>
        </is>
      </c>
      <c r="B21" s="3" t="inlineStr">
        <is>
          <t>英国</t>
        </is>
      </c>
      <c r="C21" s="3" t="inlineStr"/>
      <c r="D21" s="3" t="inlineStr">
        <is>
          <t>millbeck.co.uk</t>
        </is>
      </c>
      <c r="E21" s="3" t="inlineStr">
        <is>
          <t>分销</t>
        </is>
      </c>
      <c r="F21" s="3" t="inlineStr">
        <is>
          <t>Teltonika（Diamond 最高级）</t>
        </is>
      </c>
      <c r="G21" s="3" t="inlineStr">
        <is>
          <t>否</t>
        </is>
      </c>
      <c r="H21" s="3" t="inlineStr">
        <is>
          <t>他们只有8口→补16/24口与10G</t>
        </is>
      </c>
      <c r="I21" s="3" t="inlineStr">
        <is>
          <t>LT-IS6318XG-2XS16GT</t>
        </is>
      </c>
      <c r="J21" s="3" t="inlineStr">
        <is>
          <t>官网</t>
        </is>
      </c>
      <c r="K21" s="3" t="inlineStr">
        <is>
          <t>★★★</t>
        </is>
      </c>
      <c r="L21" s="3" t="inlineStr">
        <is>
          <t>未触达</t>
        </is>
      </c>
      <c r="M21" s="3" t="inlineStr">
        <is>
          <t>反向信号/2026-09</t>
        </is>
      </c>
      <c r="N21" s="3" t="inlineStr"/>
      <c r="O21" s="3" t="inlineStr"/>
      <c r="P21" s="3" t="inlineStr"/>
      <c r="Q21" s="3" t="inlineStr"/>
    </row>
    <row r="22">
      <c r="A22" s="3" t="inlineStr">
        <is>
          <t>RSP Supply</t>
        </is>
      </c>
      <c r="B22" s="3" t="inlineStr">
        <is>
          <t>美国</t>
        </is>
      </c>
      <c r="C22" s="3" t="inlineStr"/>
      <c r="D22" s="3" t="inlineStr">
        <is>
          <t>rspsupply.com</t>
        </is>
      </c>
      <c r="E22" s="3" t="inlineStr">
        <is>
          <t>分销</t>
        </is>
      </c>
      <c r="F22" s="3" t="inlineStr">
        <is>
          <t>Moxa 授权</t>
        </is>
      </c>
      <c r="G22" s="3" t="inlineStr">
        <is>
          <t>否</t>
        </is>
      </c>
      <c r="H22" s="3" t="inlineStr">
        <is>
          <t>中性货+价格；⚠️TAA项目不碰</t>
        </is>
      </c>
      <c r="I22" s="3" t="inlineStr">
        <is>
          <t>LT-IS6312XGP-4XS8GT</t>
        </is>
      </c>
      <c r="J22" s="3" t="inlineStr">
        <is>
          <t>官网</t>
        </is>
      </c>
      <c r="K22" s="3" t="inlineStr">
        <is>
          <t>★★</t>
        </is>
      </c>
      <c r="L22" s="3" t="inlineStr">
        <is>
          <t>未触达</t>
        </is>
      </c>
      <c r="M22" s="3" t="inlineStr">
        <is>
          <t>反向信号/2026-09</t>
        </is>
      </c>
      <c r="N22" s="3" t="inlineStr"/>
      <c r="O22" s="3" t="inlineStr"/>
      <c r="P22" s="3" t="inlineStr"/>
      <c r="Q22" s="3" t="inlineStr"/>
    </row>
    <row r="23">
      <c r="A23" s="3" t="inlineStr">
        <is>
          <t>4D Controls</t>
        </is>
      </c>
      <c r="B23" s="3" t="inlineStr">
        <is>
          <t>美国</t>
        </is>
      </c>
      <c r="C23" s="3" t="inlineStr"/>
      <c r="D23" s="3" t="inlineStr">
        <is>
          <t>4dcontrols.com</t>
        </is>
      </c>
      <c r="E23" s="3" t="inlineStr">
        <is>
          <t>工控二手/维修</t>
        </is>
      </c>
      <c r="F23" s="3" t="inlineStr">
        <is>
          <t>Moxa（新机/二手/维修）</t>
        </is>
      </c>
      <c r="G23" s="3" t="inlineStr">
        <is>
          <t>否</t>
        </is>
      </c>
      <c r="H23" s="3" t="inlineStr">
        <is>
          <t>⭐二手商缺新品供应，中性货最易成交</t>
        </is>
      </c>
      <c r="I23" s="3" t="inlineStr">
        <is>
          <t>LT-IS6312XG-4XS8GT</t>
        </is>
      </c>
      <c r="J23" s="3" t="inlineStr">
        <is>
          <t>官网</t>
        </is>
      </c>
      <c r="K23" s="3" t="inlineStr">
        <is>
          <t>★★★</t>
        </is>
      </c>
      <c r="L23" s="3" t="inlineStr">
        <is>
          <t>未触达</t>
        </is>
      </c>
      <c r="M23" s="3" t="inlineStr">
        <is>
          <t>反向信号/2026-09</t>
        </is>
      </c>
      <c r="N23" s="3" t="inlineStr"/>
      <c r="O23" s="3" t="inlineStr"/>
      <c r="P23" s="3" t="inlineStr"/>
      <c r="Q23" s="3" t="inlineStr">
        <is>
          <t>工程师自营</t>
        </is>
      </c>
    </row>
    <row r="24">
      <c r="A24" s="3" t="inlineStr">
        <is>
          <t>Motion (motionworld.com)</t>
        </is>
      </c>
      <c r="B24" s="3" t="inlineStr">
        <is>
          <t>美国</t>
        </is>
      </c>
      <c r="C24" s="3" t="inlineStr"/>
      <c r="D24" s="3" t="inlineStr">
        <is>
          <t>motionworld.com</t>
        </is>
      </c>
      <c r="E24" s="3" t="inlineStr">
        <is>
          <t>大分销</t>
        </is>
      </c>
      <c r="F24" s="3" t="inlineStr">
        <is>
          <t>Moxa</t>
        </is>
      </c>
      <c r="G24" s="3" t="inlineStr">
        <is>
          <t>否</t>
        </is>
      </c>
      <c r="H24" s="3" t="inlineStr">
        <is>
          <t>流程长，慢跟</t>
        </is>
      </c>
      <c r="I24" s="3" t="inlineStr">
        <is>
          <t>LT-IS6312XG-4XS8GT</t>
        </is>
      </c>
      <c r="J24" s="3" t="inlineStr">
        <is>
          <t>官网</t>
        </is>
      </c>
      <c r="K24" s="3" t="inlineStr">
        <is>
          <t>★</t>
        </is>
      </c>
      <c r="L24" s="3" t="inlineStr">
        <is>
          <t>未触达</t>
        </is>
      </c>
      <c r="M24" s="3" t="inlineStr">
        <is>
          <t>反向信号/2026-09</t>
        </is>
      </c>
      <c r="N24" s="3" t="inlineStr"/>
      <c r="O24" s="3" t="inlineStr"/>
      <c r="P24" s="3" t="inlineStr"/>
      <c r="Q24" s="3" t="inlineStr"/>
    </row>
    <row r="25">
      <c r="A25" s="3" t="inlineStr">
        <is>
          <t>Wireless Professional Solutions</t>
        </is>
      </c>
      <c r="B25" s="3" t="inlineStr">
        <is>
          <t>澳洲</t>
        </is>
      </c>
      <c r="C25" s="3" t="inlineStr"/>
      <c r="D25" s="3" t="inlineStr">
        <is>
          <t>wisp.net.au</t>
        </is>
      </c>
      <c r="E25" s="3" t="inlineStr">
        <is>
          <t>分销</t>
        </is>
      </c>
      <c r="F25" s="3" t="inlineStr">
        <is>
          <t>PLANET 官方</t>
        </is>
      </c>
      <c r="G25" s="3" t="inlineStr">
        <is>
          <t>否</t>
        </is>
      </c>
      <c r="H25" s="3" t="inlineStr">
        <is>
          <t>ANZ（T2）慢慢做</t>
        </is>
      </c>
      <c r="I25" s="3" t="inlineStr">
        <is>
          <t>LT-IS6312XG-4XS8GT</t>
        </is>
      </c>
      <c r="J25" s="3" t="inlineStr">
        <is>
          <t>shop@wisp.net.au</t>
        </is>
      </c>
      <c r="K25" s="3" t="inlineStr">
        <is>
          <t>★★</t>
        </is>
      </c>
      <c r="L25" s="3" t="inlineStr">
        <is>
          <t>未触达</t>
        </is>
      </c>
      <c r="M25" s="3" t="inlineStr">
        <is>
          <t>反向信号/2026-09</t>
        </is>
      </c>
      <c r="N25" s="3" t="inlineStr"/>
      <c r="O25" s="3" t="inlineStr"/>
      <c r="P25" s="3" t="inlineStr"/>
      <c r="Q25" s="3" t="inlineStr"/>
    </row>
    <row r="26">
      <c r="A26" s="3" t="inlineStr">
        <is>
          <t>eWorldMe</t>
        </is>
      </c>
      <c r="B26" s="3" t="inlineStr">
        <is>
          <t>阿联酋</t>
        </is>
      </c>
      <c r="C26" s="3" t="inlineStr"/>
      <c r="D26" s="3" t="inlineStr">
        <is>
          <t>moxa.eworldme.com</t>
        </is>
      </c>
      <c r="E26" s="3" t="inlineStr">
        <is>
          <t>分销</t>
        </is>
      </c>
      <c r="F26" s="3" t="inlineStr">
        <is>
          <t>Moxa</t>
        </is>
      </c>
      <c r="G26" s="3" t="inlineStr">
        <is>
          <t>否</t>
        </is>
      </c>
      <c r="H26" s="3" t="inlineStr">
        <is>
          <t>MEA渠道（T2）</t>
        </is>
      </c>
      <c r="I26" s="3" t="inlineStr">
        <is>
          <t>LT-IS6312XG-4XS8GT</t>
        </is>
      </c>
      <c r="J26" s="3" t="inlineStr">
        <is>
          <t>官网</t>
        </is>
      </c>
      <c r="K26" s="3" t="inlineStr">
        <is>
          <t>★★</t>
        </is>
      </c>
      <c r="L26" s="3" t="inlineStr">
        <is>
          <t>未触达</t>
        </is>
      </c>
      <c r="M26" s="3" t="inlineStr">
        <is>
          <t>反向信号/2026-09</t>
        </is>
      </c>
      <c r="N26" s="3" t="inlineStr"/>
      <c r="O26" s="3" t="inlineStr"/>
      <c r="P26" s="3" t="inlineStr"/>
      <c r="Q26" s="3" t="inlineStr"/>
    </row>
    <row r="27">
      <c r="A27" s="3" t="inlineStr">
        <is>
          <t>Gigamedia</t>
        </is>
      </c>
      <c r="B27" s="3" t="inlineStr">
        <is>
          <t>法国</t>
        </is>
      </c>
      <c r="C27" s="3" t="inlineStr"/>
      <c r="D27" s="3" t="inlineStr">
        <is>
          <t>gigamedia.net</t>
        </is>
      </c>
      <c r="E27" s="3" t="inlineStr">
        <is>
          <t>自有品牌（经Rexel销售）</t>
        </is>
      </c>
      <c r="F27" s="3" t="inlineStr">
        <is>
          <t>GGM 工业DIN系列</t>
        </is>
      </c>
      <c r="G27" s="3" t="inlineStr">
        <is>
          <t>是</t>
        </is>
      </c>
      <c r="H27" s="3" t="inlineStr">
        <is>
          <t>⭐OEM目标：明显不自产，走Rexel渠道</t>
        </is>
      </c>
      <c r="I27" s="3" t="inlineStr">
        <is>
          <t>LT-IS6312XGP-4XS8GT</t>
        </is>
      </c>
      <c r="J27" s="3" t="inlineStr">
        <is>
          <t>官网contact</t>
        </is>
      </c>
      <c r="K27" s="3" t="inlineStr">
        <is>
          <t>★★★</t>
        </is>
      </c>
      <c r="L27" s="3" t="inlineStr">
        <is>
          <t>未触达</t>
        </is>
      </c>
      <c r="M27" s="3" t="inlineStr">
        <is>
          <t>反向信号/2026-09</t>
        </is>
      </c>
      <c r="N27" s="3" t="inlineStr"/>
      <c r="O27" s="3" t="inlineStr"/>
      <c r="P27" s="3" t="inlineStr"/>
      <c r="Q27" s="3" t="inlineStr">
        <is>
          <t>100+员工、30年经验</t>
        </is>
      </c>
    </row>
    <row r="28">
      <c r="A28" s="3" t="inlineStr">
        <is>
          <t>Rexel</t>
        </is>
      </c>
      <c r="B28" s="3" t="inlineStr">
        <is>
          <t>法国/意大利</t>
        </is>
      </c>
      <c r="C28" s="3" t="inlineStr"/>
      <c r="D28" s="3" t="inlineStr">
        <is>
          <t>rexel.fr / rexel.it</t>
        </is>
      </c>
      <c r="E28" s="3" t="inlineStr">
        <is>
          <t>大分销</t>
        </is>
      </c>
      <c r="F28" s="3" t="inlineStr">
        <is>
          <t>Gigamedia</t>
        </is>
      </c>
      <c r="G28" s="3" t="inlineStr">
        <is>
          <t>否</t>
        </is>
      </c>
      <c r="H28" s="3" t="inlineStr">
        <is>
          <t>渠道（通过Gigamedia或直供）</t>
        </is>
      </c>
      <c r="I28" s="3" t="inlineStr">
        <is>
          <t>LT-IS6328XGP-4XS24GT</t>
        </is>
      </c>
      <c r="J28" s="3" t="inlineStr">
        <is>
          <t>官网</t>
        </is>
      </c>
      <c r="K28" s="3" t="inlineStr">
        <is>
          <t>★★</t>
        </is>
      </c>
      <c r="L28" s="3" t="inlineStr">
        <is>
          <t>未触达</t>
        </is>
      </c>
      <c r="M28" s="3" t="inlineStr">
        <is>
          <t>反向信号/2026-09</t>
        </is>
      </c>
      <c r="N28" s="3" t="inlineStr"/>
      <c r="O28" s="3" t="inlineStr"/>
      <c r="P28" s="3" t="inlineStr"/>
      <c r="Q28" s="3" t="inlineStr">
        <is>
          <t>电气分销巨头</t>
        </is>
      </c>
    </row>
    <row r="29">
      <c r="A29" s="3" t="inlineStr">
        <is>
          <t>Sphinx France</t>
        </is>
      </c>
      <c r="B29" s="3" t="inlineStr">
        <is>
          <t>法国</t>
        </is>
      </c>
      <c r="C29" s="3" t="inlineStr"/>
      <c r="D29" s="3" t="inlineStr">
        <is>
          <t>sphinxfrance.com</t>
        </is>
      </c>
      <c r="E29" s="3" t="inlineStr">
        <is>
          <t>专业分销</t>
        </is>
      </c>
      <c r="F29" s="3" t="inlineStr">
        <is>
          <t>Moxa/Advantech/Perle/Terz</t>
        </is>
      </c>
      <c r="G29" s="3" t="inlineStr">
        <is>
          <t>否</t>
        </is>
      </c>
      <c r="H29" s="3" t="inlineStr">
        <is>
          <t>第二供应源，48h交付+技术支持</t>
        </is>
      </c>
      <c r="I29" s="3" t="inlineStr">
        <is>
          <t>LT-IS6328XGP-4XS24GT</t>
        </is>
      </c>
      <c r="J29" s="3" t="inlineStr">
        <is>
          <t>官网</t>
        </is>
      </c>
      <c r="K29" s="3" t="inlineStr">
        <is>
          <t>★★★</t>
        </is>
      </c>
      <c r="L29" s="3" t="inlineStr">
        <is>
          <t>未触达</t>
        </is>
      </c>
      <c r="M29" s="3" t="inlineStr">
        <is>
          <t>反向信号/2026-09</t>
        </is>
      </c>
      <c r="N29" s="3" t="inlineStr"/>
      <c r="O29" s="3" t="inlineStr"/>
      <c r="P29" s="3" t="inlineStr"/>
      <c r="Q29" s="3" t="inlineStr"/>
    </row>
    <row r="30">
      <c r="A30" s="3" t="inlineStr">
        <is>
          <t>Inmac Wstore</t>
        </is>
      </c>
      <c r="B30" s="3" t="inlineStr">
        <is>
          <t>法国</t>
        </is>
      </c>
      <c r="C30" s="3" t="inlineStr"/>
      <c r="D30" s="3" t="inlineStr">
        <is>
          <t>inmac-wstore.com</t>
        </is>
      </c>
      <c r="E30" s="3" t="inlineStr">
        <is>
          <t>B2B IT分销</t>
        </is>
      </c>
      <c r="F30" s="3" t="inlineStr">
        <is>
          <t>STONET/PLANET/TRENDnet/Moxa/StarTech</t>
        </is>
      </c>
      <c r="G30" s="3" t="inlineStr">
        <is>
          <t>否</t>
        </is>
      </c>
      <c r="H30" s="3" t="inlineStr">
        <is>
          <t>上架/中性货，SKU多</t>
        </is>
      </c>
      <c r="I30" s="3" t="inlineStr">
        <is>
          <t>LT-IS6312XGP-4XS8GT</t>
        </is>
      </c>
      <c r="J30" s="3" t="inlineStr">
        <is>
          <t>官网</t>
        </is>
      </c>
      <c r="K30" s="3" t="inlineStr">
        <is>
          <t>★★★</t>
        </is>
      </c>
      <c r="L30" s="3" t="inlineStr">
        <is>
          <t>未触达</t>
        </is>
      </c>
      <c r="M30" s="3" t="inlineStr">
        <is>
          <t>反向信号/2026-09</t>
        </is>
      </c>
      <c r="N30" s="3" t="inlineStr"/>
      <c r="O30" s="3" t="inlineStr"/>
      <c r="P30" s="3" t="inlineStr"/>
      <c r="Q30" s="3" t="inlineStr">
        <is>
          <t>Moxa EDS-G308 €298</t>
        </is>
      </c>
    </row>
    <row r="31">
      <c r="A31" s="3" t="inlineStr">
        <is>
          <t>Direktronik AB</t>
        </is>
      </c>
      <c r="B31" s="3" t="inlineStr">
        <is>
          <t>瑞典</t>
        </is>
      </c>
      <c r="C31" s="3" t="inlineStr"/>
      <c r="D31" s="3" t="inlineStr">
        <is>
          <t>direktronik.se</t>
        </is>
      </c>
      <c r="E31" s="3" t="inlineStr">
        <is>
          <t>分销（品牌独立）</t>
        </is>
      </c>
      <c r="F31" s="3" t="inlineStr">
        <is>
          <t>N-net 等；已在卖带ERPS/SNMPv3的管理型</t>
        </is>
      </c>
      <c r="G31" s="3" t="inlineStr">
        <is>
          <t>否</t>
        </is>
      </c>
      <c r="H31" s="3" t="inlineStr">
        <is>
          <t>已卖ERPS管理型→补10G上行与PoE++</t>
        </is>
      </c>
      <c r="I31" s="3" t="inlineStr">
        <is>
          <t>LT-IS6312XGP-4XS8GT-2BT</t>
        </is>
      </c>
      <c r="J31" s="3" t="inlineStr">
        <is>
          <t>官网</t>
        </is>
      </c>
      <c r="K31" s="3" t="inlineStr">
        <is>
          <t>★★★</t>
        </is>
      </c>
      <c r="L31" s="3" t="inlineStr">
        <is>
          <t>未触达</t>
        </is>
      </c>
      <c r="M31" s="3" t="inlineStr">
        <is>
          <t>反向信号/2026-09</t>
        </is>
      </c>
      <c r="N31" s="3" t="inlineStr"/>
      <c r="O31" s="3" t="inlineStr"/>
      <c r="P31" s="3" t="inlineStr"/>
      <c r="Q31" s="3" t="inlineStr">
        <is>
          <t>30+年，8口PoE管理型约€127</t>
        </is>
      </c>
    </row>
    <row r="32">
      <c r="A32" s="3" t="inlineStr">
        <is>
          <t>Danbit</t>
        </is>
      </c>
      <c r="B32" s="3" t="inlineStr">
        <is>
          <t>丹麦</t>
        </is>
      </c>
      <c r="C32" s="3" t="inlineStr"/>
      <c r="D32" s="3" t="inlineStr">
        <is>
          <t>danbit.dk</t>
        </is>
      </c>
      <c r="E32" s="3" t="inlineStr">
        <is>
          <t>分销</t>
        </is>
      </c>
      <c r="F32" s="3" t="inlineStr">
        <is>
          <t>自有 + Moxa EDS-205</t>
        </is>
      </c>
      <c r="G32" s="3" t="inlineStr">
        <is>
          <t>部分</t>
        </is>
      </c>
      <c r="H32" s="3" t="inlineStr">
        <is>
          <t>已有PoE++(95W/口)线→补10G与24口</t>
        </is>
      </c>
      <c r="I32" s="3" t="inlineStr">
        <is>
          <t>LT-IS6328XGP-4XS24GT-4BT</t>
        </is>
      </c>
      <c r="J32" s="3" t="inlineStr">
        <is>
          <t>官网</t>
        </is>
      </c>
      <c r="K32" s="3" t="inlineStr">
        <is>
          <t>★★★</t>
        </is>
      </c>
      <c r="L32" s="3" t="inlineStr">
        <is>
          <t>未触达</t>
        </is>
      </c>
      <c r="M32" s="3" t="inlineStr">
        <is>
          <t>反向信号/2026-09</t>
        </is>
      </c>
      <c r="N32" s="3" t="inlineStr"/>
      <c r="O32" s="3" t="inlineStr"/>
      <c r="P32" s="3" t="inlineStr"/>
      <c r="Q32" s="3" t="inlineStr"/>
    </row>
    <row r="33">
      <c r="A33" s="3" t="inlineStr">
        <is>
          <t>Ditecom</t>
        </is>
      </c>
      <c r="B33" s="3" t="inlineStr">
        <is>
          <t>西班牙</t>
        </is>
      </c>
      <c r="C33" s="3" t="inlineStr">
        <is>
          <t>马德里</t>
        </is>
      </c>
      <c r="D33" s="3" t="inlineStr">
        <is>
          <t>ditecom.com</t>
        </is>
      </c>
      <c r="E33" s="3" t="inlineStr">
        <is>
          <t>分销+网店</t>
        </is>
      </c>
      <c r="F33" s="3" t="inlineStr">
        <is>
          <t>工业管理型（EX-9911M环网）</t>
        </is>
      </c>
      <c r="G33" s="3" t="inlineStr">
        <is>
          <t>否</t>
        </is>
      </c>
      <c r="H33" s="3" t="inlineStr">
        <is>
          <t>第二供应源；公开电话与邮箱</t>
        </is>
      </c>
      <c r="I33" s="3" t="inlineStr">
        <is>
          <t>LT-IS6312XG-4XS8GT</t>
        </is>
      </c>
      <c r="J33" s="3" t="inlineStr">
        <is>
          <t>+34 91 528 54 37 / info@ditecom.com</t>
        </is>
      </c>
      <c r="K33" s="3" t="inlineStr">
        <is>
          <t>★★★</t>
        </is>
      </c>
      <c r="L33" s="3" t="inlineStr">
        <is>
          <t>未触达</t>
        </is>
      </c>
      <c r="M33" s="3" t="inlineStr">
        <is>
          <t>反向信号/2026-09</t>
        </is>
      </c>
      <c r="N33" s="3" t="inlineStr"/>
      <c r="O33" s="3" t="inlineStr"/>
      <c r="P33" s="3" t="inlineStr"/>
      <c r="Q33" s="3" t="inlineStr"/>
    </row>
    <row r="34">
      <c r="A34" s="3" t="inlineStr">
        <is>
          <t>Ekanet</t>
        </is>
      </c>
      <c r="B34" s="3" t="inlineStr">
        <is>
          <t>西班牙</t>
        </is>
      </c>
      <c r="C34" s="3" t="inlineStr"/>
      <c r="D34" s="3" t="inlineStr">
        <is>
          <t>ekanet.es</t>
        </is>
      </c>
      <c r="E34" s="3" t="inlineStr">
        <is>
          <t>分销</t>
        </is>
      </c>
      <c r="F34" s="3" t="inlineStr">
        <is>
          <t>PLANET 工业DIN（4–16口）</t>
        </is>
      </c>
      <c r="G34" s="3" t="inlineStr">
        <is>
          <t>否</t>
        </is>
      </c>
      <c r="H34" s="3" t="inlineStr">
        <is>
          <t>中性货；他们价格带很低(€34–139)</t>
        </is>
      </c>
      <c r="I34" s="3" t="inlineStr">
        <is>
          <t>LT-IS6310GP-2GX8GT</t>
        </is>
      </c>
      <c r="J34" s="3" t="inlineStr">
        <is>
          <t>官网</t>
        </is>
      </c>
      <c r="K34" s="3" t="inlineStr">
        <is>
          <t>★★★</t>
        </is>
      </c>
      <c r="L34" s="3" t="inlineStr">
        <is>
          <t>未触达</t>
        </is>
      </c>
      <c r="M34" s="3" t="inlineStr">
        <is>
          <t>反向信号/2026-09</t>
        </is>
      </c>
      <c r="N34" s="3" t="inlineStr"/>
      <c r="O34" s="3" t="inlineStr"/>
      <c r="P34" s="3" t="inlineStr"/>
      <c r="Q34" s="3" t="inlineStr"/>
    </row>
    <row r="35">
      <c r="A35" s="3" t="inlineStr">
        <is>
          <t>ecomshop</t>
        </is>
      </c>
      <c r="B35" s="3" t="inlineStr">
        <is>
          <t>西班牙</t>
        </is>
      </c>
      <c r="C35" s="3" t="inlineStr"/>
      <c r="D35" s="3" t="inlineStr">
        <is>
          <t>ecomshop.es</t>
        </is>
      </c>
      <c r="E35" s="3" t="inlineStr">
        <is>
          <t>B2B批发</t>
        </is>
      </c>
      <c r="F35" s="3" t="inlineStr">
        <is>
          <t>STONET/Teltonika/WI-TEK/Tachyon</t>
        </is>
      </c>
      <c r="G35" s="3" t="inlineStr">
        <is>
          <t>否</t>
        </is>
      </c>
      <c r="H35" s="3" t="inlineStr">
        <is>
          <t>批发渠道，已在卖中国系品牌→可切</t>
        </is>
      </c>
      <c r="I35" s="3" t="inlineStr">
        <is>
          <t>LT-IS6312XGP-4XS8GT</t>
        </is>
      </c>
      <c r="J35" s="3" t="inlineStr">
        <is>
          <t>官网</t>
        </is>
      </c>
      <c r="K35" s="3" t="inlineStr">
        <is>
          <t>★★★</t>
        </is>
      </c>
      <c r="L35" s="3" t="inlineStr">
        <is>
          <t>未触达</t>
        </is>
      </c>
      <c r="M35" s="3" t="inlineStr">
        <is>
          <t>反向信号/2026-09</t>
        </is>
      </c>
      <c r="N35" s="3" t="inlineStr"/>
      <c r="O35" s="3" t="inlineStr"/>
      <c r="P35" s="3" t="inlineStr"/>
      <c r="Q35" s="3" t="inlineStr">
        <is>
          <t>B2B Mayoristas</t>
        </is>
      </c>
    </row>
    <row r="36">
      <c r="A36" s="3" t="inlineStr">
        <is>
          <t>Cablewindow</t>
        </is>
      </c>
      <c r="B36" s="3" t="inlineStr">
        <is>
          <t>西班牙</t>
        </is>
      </c>
      <c r="C36" s="3" t="inlineStr">
        <is>
          <t>马德里</t>
        </is>
      </c>
      <c r="D36" s="3" t="inlineStr">
        <is>
          <t>cablewindow.com</t>
        </is>
      </c>
      <c r="E36" s="3" t="inlineStr">
        <is>
          <t>分销</t>
        </is>
      </c>
      <c r="F36" s="3" t="inlineStr">
        <is>
          <t>工业DIN（管理型/PoE）</t>
        </is>
      </c>
      <c r="G36" s="3" t="inlineStr">
        <is>
          <t>否</t>
        </is>
      </c>
      <c r="H36" s="3" t="inlineStr">
        <is>
          <t>第二供应源</t>
        </is>
      </c>
      <c r="I36" s="3" t="inlineStr">
        <is>
          <t>LT-IS6312XGP-4XS8GT</t>
        </is>
      </c>
      <c r="J36" s="3" t="inlineStr">
        <is>
          <t>+34 917987780</t>
        </is>
      </c>
      <c r="K36" s="3" t="inlineStr">
        <is>
          <t>★★</t>
        </is>
      </c>
      <c r="L36" s="3" t="inlineStr">
        <is>
          <t>未触达</t>
        </is>
      </c>
      <c r="M36" s="3" t="inlineStr">
        <is>
          <t>反向信号/2026-09</t>
        </is>
      </c>
      <c r="N36" s="3" t="inlineStr"/>
      <c r="O36" s="3" t="inlineStr"/>
      <c r="P36" s="3" t="inlineStr"/>
      <c r="Q36" s="3" t="inlineStr">
        <is>
          <t>Calle Laguna del Marquesado 12</t>
        </is>
      </c>
    </row>
    <row r="37">
      <c r="A37" s="3" t="inlineStr">
        <is>
          <t>atecnica.it</t>
        </is>
      </c>
      <c r="B37" s="3" t="inlineStr">
        <is>
          <t>意大利</t>
        </is>
      </c>
      <c r="C37" s="3" t="inlineStr"/>
      <c r="D37" s="3" t="inlineStr">
        <is>
          <t>atecnica.it</t>
        </is>
      </c>
      <c r="E37" s="3" t="inlineStr">
        <is>
          <t>电商</t>
        </is>
      </c>
      <c r="F37" s="3" t="inlineStr">
        <is>
          <t>自有 SF- 系列工业PoE</t>
        </is>
      </c>
      <c r="G37" s="3" t="inlineStr">
        <is>
          <t>部分</t>
        </is>
      </c>
      <c r="H37" s="3" t="inlineStr">
        <is>
          <t>中性货/低价竞争（8口PoE 130W €71）</t>
        </is>
      </c>
      <c r="I37" s="3" t="inlineStr">
        <is>
          <t>LT-IS6312XGP-4XS8GT</t>
        </is>
      </c>
      <c r="J37" s="3" t="inlineStr">
        <is>
          <t>官网</t>
        </is>
      </c>
      <c r="K37" s="3" t="inlineStr">
        <is>
          <t>★★</t>
        </is>
      </c>
      <c r="L37" s="3" t="inlineStr">
        <is>
          <t>未触达</t>
        </is>
      </c>
      <c r="M37" s="3" t="inlineStr">
        <is>
          <t>反向信号/2026-09</t>
        </is>
      </c>
      <c r="N37" s="3" t="inlineStr"/>
      <c r="O37" s="3" t="inlineStr"/>
      <c r="P37" s="3" t="inlineStr"/>
      <c r="Q37" s="3" t="inlineStr"/>
    </row>
    <row r="38">
      <c r="A38" s="3" t="inlineStr">
        <is>
          <t>Rexel Italia</t>
        </is>
      </c>
      <c r="B38" s="3" t="inlineStr">
        <is>
          <t>意大利</t>
        </is>
      </c>
      <c r="C38" s="3" t="inlineStr"/>
      <c r="D38" s="3" t="inlineStr">
        <is>
          <t>rexel.it</t>
        </is>
      </c>
      <c r="E38" s="3" t="inlineStr">
        <is>
          <t>大分销</t>
        </is>
      </c>
      <c r="F38" s="3" t="inlineStr">
        <is>
          <t>Gigamedia</t>
        </is>
      </c>
      <c r="G38" s="3" t="inlineStr">
        <is>
          <t>否</t>
        </is>
      </c>
      <c r="H38" s="3" t="inlineStr">
        <is>
          <t>渠道</t>
        </is>
      </c>
      <c r="I38" s="3" t="inlineStr">
        <is>
          <t>LT-IS6328XGP-4XS24GT</t>
        </is>
      </c>
      <c r="J38" s="3" t="inlineStr">
        <is>
          <t>官网</t>
        </is>
      </c>
      <c r="K38" s="3" t="inlineStr">
        <is>
          <t>★★</t>
        </is>
      </c>
      <c r="L38" s="3" t="inlineStr">
        <is>
          <t>未触达</t>
        </is>
      </c>
      <c r="M38" s="3" t="inlineStr">
        <is>
          <t>反向信号/2026-09</t>
        </is>
      </c>
      <c r="N38" s="3" t="inlineStr"/>
      <c r="O38" s="3" t="inlineStr"/>
      <c r="P38" s="3" t="inlineStr"/>
      <c r="Q38" s="3" t="inlineStr"/>
    </row>
    <row r="39">
      <c r="A39" s="3" t="inlineStr">
        <is>
          <t>STONET / Netis</t>
        </is>
      </c>
      <c r="B39" s="3" t="inlineStr">
        <is>
          <t>中国（在欧销售）</t>
        </is>
      </c>
      <c r="C39" s="3" t="inlineStr"/>
      <c r="D39" s="3" t="inlineStr">
        <is>
          <t>—</t>
        </is>
      </c>
      <c r="E39" s="3" t="inlineStr">
        <is>
          <t>竞品（中国低价）</t>
        </is>
      </c>
      <c r="F39" s="3" t="inlineStr">
        <is>
          <t>STONET NIS 系列</t>
        </is>
      </c>
      <c r="G39" s="3" t="inlineStr">
        <is>
          <t>是</t>
        </is>
      </c>
      <c r="H39" s="3" t="inlineStr">
        <is>
          <t>⚠️价格地板；卖他们的欧洲商家=你的客户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观察</t>
        </is>
      </c>
      <c r="L39" s="3" t="inlineStr">
        <is>
          <t>未触达</t>
        </is>
      </c>
      <c r="M39" s="3" t="inlineStr">
        <is>
          <t>反向信号/2026-09</t>
        </is>
      </c>
      <c r="N39" s="3" t="inlineStr"/>
      <c r="O39" s="3" t="inlineStr"/>
      <c r="P39" s="3" t="inlineStr"/>
      <c r="Q39" s="3" t="inlineStr">
        <is>
          <t>经 ecomshop(ES)、Inmac(FR)</t>
        </is>
      </c>
    </row>
    <row r="40">
      <c r="A40" s="3" t="inlineStr">
        <is>
          <t>WI-TEK</t>
        </is>
      </c>
      <c r="B40" s="3" t="inlineStr">
        <is>
          <t>中国（在欧销售）</t>
        </is>
      </c>
      <c r="C40" s="3" t="inlineStr"/>
      <c r="D40" s="3" t="inlineStr">
        <is>
          <t>—</t>
        </is>
      </c>
      <c r="E40" s="3" t="inlineStr">
        <is>
          <t>竞品（中国低价）</t>
        </is>
      </c>
      <c r="F40" s="3" t="inlineStr">
        <is>
          <t>WI-PMS310GF（8GE PoE+2SFP，300W）</t>
        </is>
      </c>
      <c r="G40" s="3" t="inlineStr">
        <is>
          <t>是</t>
        </is>
      </c>
      <c r="H40" s="3" t="inlineStr">
        <is>
          <t>⚠️同上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观察</t>
        </is>
      </c>
      <c r="L40" s="3" t="inlineStr">
        <is>
          <t>未触达</t>
        </is>
      </c>
      <c r="M40" s="3" t="inlineStr">
        <is>
          <t>反向信号/2026-09</t>
        </is>
      </c>
      <c r="N40" s="3" t="inlineStr"/>
      <c r="O40" s="3" t="inlineStr"/>
      <c r="P40" s="3" t="inlineStr"/>
      <c r="Q40" s="3" t="inlineStr">
        <is>
          <t>经 ecomshop(ES)</t>
        </is>
      </c>
    </row>
    <row r="41">
      <c r="A41" s="3" t="inlineStr">
        <is>
          <t>Tachyon Networks</t>
        </is>
      </c>
      <c r="B41" s="3" t="inlineStr">
        <is>
          <t>中国（在欧销售）</t>
        </is>
      </c>
      <c r="C41" s="3" t="inlineStr"/>
      <c r="D41" s="3" t="inlineStr">
        <is>
          <t>—</t>
        </is>
      </c>
      <c r="E41" s="3" t="inlineStr">
        <is>
          <t>竞品（中国低价）</t>
        </is>
      </c>
      <c r="F41" s="3" t="inlineStr">
        <is>
          <t>TNS-100（被动PoE 160W+10G SFP+）</t>
        </is>
      </c>
      <c r="G41" s="3" t="inlineStr">
        <is>
          <t>是</t>
        </is>
      </c>
      <c r="H41" s="3" t="inlineStr">
        <is>
          <t>⚠️同上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观察</t>
        </is>
      </c>
      <c r="L41" s="3" t="inlineStr">
        <is>
          <t>未触达</t>
        </is>
      </c>
      <c r="M41" s="3" t="inlineStr">
        <is>
          <t>反向信号/2026-09</t>
        </is>
      </c>
      <c r="N41" s="3" t="inlineStr"/>
      <c r="O41" s="3" t="inlineStr"/>
      <c r="P41" s="3" t="inlineStr"/>
      <c r="Q41" s="3" t="inlineStr">
        <is>
          <t>经 ecomshop(ES)</t>
        </is>
      </c>
    </row>
    <row r="42">
      <c r="A42" s="3" t="inlineStr">
        <is>
          <t>N-net</t>
        </is>
      </c>
      <c r="B42" s="3" t="inlineStr">
        <is>
          <t>中国（在欧销售）</t>
        </is>
      </c>
      <c r="C42" s="3" t="inlineStr"/>
      <c r="D42" s="3" t="inlineStr">
        <is>
          <t>—</t>
        </is>
      </c>
      <c r="E42" s="3" t="inlineStr">
        <is>
          <t>竞品（中国低价）</t>
        </is>
      </c>
      <c r="F42" s="3" t="inlineStr">
        <is>
          <t>工业PoE（经Direktronik）</t>
        </is>
      </c>
      <c r="G42" s="3" t="inlineStr">
        <is>
          <t>是</t>
        </is>
      </c>
      <c r="H42" s="3" t="inlineStr">
        <is>
          <t>⚠️同上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观察</t>
        </is>
      </c>
      <c r="L42" s="3" t="inlineStr">
        <is>
          <t>未触达</t>
        </is>
      </c>
      <c r="M42" s="3" t="inlineStr">
        <is>
          <t>反向信号/2026-09</t>
        </is>
      </c>
      <c r="N42" s="3" t="inlineStr"/>
      <c r="O42" s="3" t="inlineStr"/>
      <c r="P42" s="3" t="inlineStr"/>
      <c r="Q42" s="3" t="inlineStr">
        <is>
          <t>经 Direktronik(SE)</t>
        </is>
      </c>
    </row>
    <row r="43">
      <c r="A43" s="3" t="inlineStr">
        <is>
          <t>keepLiNK / YuLinca / Binardat</t>
        </is>
      </c>
      <c r="B43" s="3" t="inlineStr">
        <is>
          <t>中国（在欧销售）</t>
        </is>
      </c>
      <c r="C43" s="3" t="inlineStr"/>
      <c r="D43" s="3" t="inlineStr">
        <is>
          <t>—</t>
        </is>
      </c>
      <c r="E43" s="3" t="inlineStr">
        <is>
          <t>竞品（中国低价）</t>
        </is>
      </c>
      <c r="F43" s="3" t="inlineStr">
        <is>
          <t>亚马逊意大利/德国工业PoE</t>
        </is>
      </c>
      <c r="G43" s="3" t="inlineStr">
        <is>
          <t>是</t>
        </is>
      </c>
      <c r="H43" s="3" t="inlineStr">
        <is>
          <t>⚠️电商低价地板（€50–90）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观察</t>
        </is>
      </c>
      <c r="L43" s="3" t="inlineStr">
        <is>
          <t>未触达</t>
        </is>
      </c>
      <c r="M43" s="3" t="inlineStr">
        <is>
          <t>反向信号/2026-09</t>
        </is>
      </c>
      <c r="N43" s="3" t="inlineStr"/>
      <c r="O43" s="3" t="inlineStr"/>
      <c r="P43" s="3" t="inlineStr"/>
      <c r="Q43" s="3" t="inlineStr">
        <is>
          <t>Amazon IT/DE</t>
        </is>
      </c>
    </row>
    <row r="44">
      <c r="A44" s="3" t="inlineStr">
        <is>
          <t>Spectra GmbH (Niederlassung Österreich)</t>
        </is>
      </c>
      <c r="B44" s="3" t="inlineStr">
        <is>
          <t>奥地利</t>
        </is>
      </c>
      <c r="C44" s="3" t="inlineStr"/>
      <c r="D44" s="3" t="inlineStr">
        <is>
          <t>spectra-austria.at</t>
        </is>
      </c>
      <c r="E44" s="3" t="inlineStr">
        <is>
          <t>分销（ORing 授权）</t>
        </is>
      </c>
      <c r="F44" s="3" t="inlineStr">
        <is>
          <t>ORing</t>
        </is>
      </c>
      <c r="G44" s="3" t="inlineStr">
        <is>
          <t>否</t>
        </is>
      </c>
      <c r="H44" s="3" t="inlineStr">
        <is>
          <t>ORing高价→同规格1/3价第二供应源</t>
        </is>
      </c>
      <c r="I44" s="3" t="inlineStr">
        <is>
          <t>LT-IS6312XGP-4XS8GT</t>
        </is>
      </c>
      <c r="J44" s="3" t="inlineStr">
        <is>
          <t>+43 (0) 7240 20190</t>
        </is>
      </c>
      <c r="K44" s="3" t="inlineStr">
        <is>
          <t>★★★</t>
        </is>
      </c>
      <c r="L44" s="3" t="inlineStr">
        <is>
          <t>未触达</t>
        </is>
      </c>
      <c r="M44" s="3" t="inlineStr">
        <is>
          <t>ORing经销商名录/2026-09</t>
        </is>
      </c>
      <c r="N44" s="3" t="inlineStr"/>
      <c r="O44" s="3" t="inlineStr"/>
      <c r="P44" s="3" t="inlineStr"/>
      <c r="Q44" s="3" t="inlineStr">
        <is>
          <t>Spectra集团奥地利分支</t>
        </is>
      </c>
    </row>
    <row r="45">
      <c r="A45" s="3" t="inlineStr">
        <is>
          <t>Koning &amp; Hartman B.V.</t>
        </is>
      </c>
      <c r="B45" s="3" t="inlineStr">
        <is>
          <t>荷兰/比利时</t>
        </is>
      </c>
      <c r="C45" s="3" t="inlineStr"/>
      <c r="D45" s="3" t="inlineStr">
        <is>
          <t>koningenhartman.com</t>
        </is>
      </c>
      <c r="E45" s="3" t="inlineStr">
        <is>
          <t>分销（ORing 授权）</t>
        </is>
      </c>
      <c r="F45" s="3" t="inlineStr">
        <is>
          <t>ORing</t>
        </is>
      </c>
      <c r="G45" s="3" t="inlineStr">
        <is>
          <t>否</t>
        </is>
      </c>
      <c r="H45" s="3" t="inlineStr">
        <is>
          <t>Benelux 工业网络分销，第二供应源</t>
        </is>
      </c>
      <c r="I45" s="3" t="inlineStr">
        <is>
          <t>LT-IS6312XG-4XS8GT</t>
        </is>
      </c>
      <c r="J45" s="3" t="inlineStr">
        <is>
          <t>+31-88-1818 666 / +32 2 257 02 00</t>
        </is>
      </c>
      <c r="K45" s="3" t="inlineStr">
        <is>
          <t>★★★</t>
        </is>
      </c>
      <c r="L45" s="3" t="inlineStr">
        <is>
          <t>未触达</t>
        </is>
      </c>
      <c r="M45" s="3" t="inlineStr">
        <is>
          <t>ORing经销商名录/2026-09</t>
        </is>
      </c>
      <c r="N45" s="3" t="inlineStr"/>
      <c r="O45" s="3" t="inlineStr"/>
      <c r="P45" s="3" t="inlineStr"/>
      <c r="Q45" s="3" t="inlineStr">
        <is>
          <t>比荷卢全覆盖</t>
        </is>
      </c>
    </row>
    <row r="46">
      <c r="A46" s="3" t="inlineStr">
        <is>
          <t>Tesla Networks</t>
        </is>
      </c>
      <c r="B46" s="3" t="inlineStr">
        <is>
          <t>比利时</t>
        </is>
      </c>
      <c r="C46" s="3" t="inlineStr"/>
      <c r="D46" s="3" t="inlineStr">
        <is>
          <t>teslanetworks.com</t>
        </is>
      </c>
      <c r="E46" s="3" t="inlineStr">
        <is>
          <t>分销（ORing 授权）</t>
        </is>
      </c>
      <c r="F46" s="3" t="inlineStr">
        <is>
          <t>ORing</t>
        </is>
      </c>
      <c r="G46" s="3" t="inlineStr">
        <is>
          <t>否</t>
        </is>
      </c>
      <c r="H46" s="3" t="inlineStr">
        <is>
          <t>比利时工业网络分销</t>
        </is>
      </c>
      <c r="I46" s="3" t="inlineStr">
        <is>
          <t>LT-IS6312XGP-4XS8GT</t>
        </is>
      </c>
      <c r="J46" s="3" t="inlineStr">
        <is>
          <t>+32 (0)15 24 7007</t>
        </is>
      </c>
      <c r="K46" s="3" t="inlineStr">
        <is>
          <t>★★★</t>
        </is>
      </c>
      <c r="L46" s="3" t="inlineStr">
        <is>
          <t>未触达</t>
        </is>
      </c>
      <c r="M46" s="3" t="inlineStr">
        <is>
          <t>ORing经销商名录/2026-09</t>
        </is>
      </c>
      <c r="N46" s="3" t="inlineStr"/>
      <c r="O46" s="3" t="inlineStr"/>
      <c r="P46" s="3" t="inlineStr"/>
      <c r="Q46" s="3" t="inlineStr"/>
    </row>
    <row r="47">
      <c r="A47" s="3" t="inlineStr">
        <is>
          <t>Alternetivo s.r.o.</t>
        </is>
      </c>
      <c r="B47" s="3" t="inlineStr">
        <is>
          <t>捷克</t>
        </is>
      </c>
      <c r="C47" s="3" t="inlineStr"/>
      <c r="D47" s="3" t="inlineStr">
        <is>
          <t>alternetivo.cz</t>
        </is>
      </c>
      <c r="E47" s="3" t="inlineStr">
        <is>
          <t>分销（ORing 授权）</t>
        </is>
      </c>
      <c r="F47" s="3" t="inlineStr">
        <is>
          <t>ORing</t>
        </is>
      </c>
      <c r="G47" s="3" t="inlineStr">
        <is>
          <t>否</t>
        </is>
      </c>
      <c r="H47" s="3" t="inlineStr">
        <is>
          <t>捷克 T1，第二供应源</t>
        </is>
      </c>
      <c r="I47" s="3" t="inlineStr">
        <is>
          <t>LT-IS6312XG-4XS8GT</t>
        </is>
      </c>
      <c r="J47" s="3" t="inlineStr">
        <is>
          <t>+420 221 771 881</t>
        </is>
      </c>
      <c r="K47" s="3" t="inlineStr">
        <is>
          <t>★★★</t>
        </is>
      </c>
      <c r="L47" s="3" t="inlineStr">
        <is>
          <t>未触达</t>
        </is>
      </c>
      <c r="M47" s="3" t="inlineStr">
        <is>
          <t>ORing经销商名录/2026-09</t>
        </is>
      </c>
      <c r="N47" s="3" t="inlineStr"/>
      <c r="O47" s="3" t="inlineStr"/>
      <c r="P47" s="3" t="inlineStr"/>
      <c r="Q47" s="3" t="inlineStr"/>
    </row>
    <row r="48">
      <c r="A48" s="3" t="inlineStr">
        <is>
          <t>TECON s.r.o.</t>
        </is>
      </c>
      <c r="B48" s="3" t="inlineStr">
        <is>
          <t>捷克</t>
        </is>
      </c>
      <c r="C48" s="3" t="inlineStr"/>
      <c r="D48" s="3" t="inlineStr">
        <is>
          <t>tecon.cz</t>
        </is>
      </c>
      <c r="E48" s="3" t="inlineStr">
        <is>
          <t>分销（ORing 授权）</t>
        </is>
      </c>
      <c r="F48" s="3" t="inlineStr">
        <is>
          <t>ORing</t>
        </is>
      </c>
      <c r="G48" s="3" t="inlineStr">
        <is>
          <t>否</t>
        </is>
      </c>
      <c r="H48" s="3" t="inlineStr">
        <is>
          <t>捷克工业分销</t>
        </is>
      </c>
      <c r="I48" s="3" t="inlineStr">
        <is>
          <t>LT-IS6320G-4GX16GT-D</t>
        </is>
      </c>
      <c r="J48" s="3" t="inlineStr">
        <is>
          <t>+420 499 429 100</t>
        </is>
      </c>
      <c r="K48" s="3" t="inlineStr">
        <is>
          <t>★★★</t>
        </is>
      </c>
      <c r="L48" s="3" t="inlineStr">
        <is>
          <t>未触达</t>
        </is>
      </c>
      <c r="M48" s="3" t="inlineStr">
        <is>
          <t>ORing经销商名录/2026-09</t>
        </is>
      </c>
      <c r="N48" s="3" t="inlineStr"/>
      <c r="O48" s="3" t="inlineStr"/>
      <c r="P48" s="3" t="inlineStr"/>
      <c r="Q48" s="3" t="inlineStr"/>
    </row>
    <row r="49">
      <c r="A49" s="3" t="inlineStr">
        <is>
          <t>LaboTest AB</t>
        </is>
      </c>
      <c r="B49" s="3" t="inlineStr">
        <is>
          <t>瑞典/丹麦</t>
        </is>
      </c>
      <c r="C49" s="3" t="inlineStr"/>
      <c r="D49" s="3" t="inlineStr">
        <is>
          <t>labotest.se</t>
        </is>
      </c>
      <c r="E49" s="3" t="inlineStr">
        <is>
          <t>分销（ORing 授权）</t>
        </is>
      </c>
      <c r="F49" s="3" t="inlineStr">
        <is>
          <t>ORing</t>
        </is>
      </c>
      <c r="G49" s="3" t="inlineStr">
        <is>
          <t>否</t>
        </is>
      </c>
      <c r="H49" s="3" t="inlineStr">
        <is>
          <t>北欧分销（同时覆盖丹麦）</t>
        </is>
      </c>
      <c r="I49" s="3" t="inlineStr">
        <is>
          <t>LT-IS6312XG-4XS8GT</t>
        </is>
      </c>
      <c r="J49" s="3" t="inlineStr">
        <is>
          <t>+46 (0) 8 354360</t>
        </is>
      </c>
      <c r="K49" s="3" t="inlineStr">
        <is>
          <t>★★★</t>
        </is>
      </c>
      <c r="L49" s="3" t="inlineStr">
        <is>
          <t>未触达</t>
        </is>
      </c>
      <c r="M49" s="3" t="inlineStr">
        <is>
          <t>ORing经销商名录/2026-09</t>
        </is>
      </c>
      <c r="N49" s="3" t="inlineStr"/>
      <c r="O49" s="3" t="inlineStr"/>
      <c r="P49" s="3" t="inlineStr"/>
      <c r="Q49" s="3" t="inlineStr"/>
    </row>
    <row r="50">
      <c r="A50" s="3" t="inlineStr">
        <is>
          <t>Data Monitor</t>
        </is>
      </c>
      <c r="B50" s="3" t="inlineStr">
        <is>
          <t>芬兰</t>
        </is>
      </c>
      <c r="C50" s="3" t="inlineStr"/>
      <c r="D50" s="3" t="inlineStr">
        <is>
          <t>datamonitor.fi</t>
        </is>
      </c>
      <c r="E50" s="3" t="inlineStr">
        <is>
          <t>分销（ORing 授权）</t>
        </is>
      </c>
      <c r="F50" s="3" t="inlineStr">
        <is>
          <t>ORing</t>
        </is>
      </c>
      <c r="G50" s="3" t="inlineStr">
        <is>
          <t>否</t>
        </is>
      </c>
      <c r="H50" s="3" t="inlineStr">
        <is>
          <t>芬兰工业网络分销</t>
        </is>
      </c>
      <c r="I50" s="3" t="inlineStr">
        <is>
          <t>LT-IS6312XGP-4XS8GT</t>
        </is>
      </c>
      <c r="J50" s="3" t="inlineStr">
        <is>
          <t>+358 443 553 623</t>
        </is>
      </c>
      <c r="K50" s="3" t="inlineStr">
        <is>
          <t>★★★</t>
        </is>
      </c>
      <c r="L50" s="3" t="inlineStr">
        <is>
          <t>未触达</t>
        </is>
      </c>
      <c r="M50" s="3" t="inlineStr">
        <is>
          <t>ORing经销商名录/2026-09</t>
        </is>
      </c>
      <c r="N50" s="3" t="inlineStr"/>
      <c r="O50" s="3" t="inlineStr"/>
      <c r="P50" s="3" t="inlineStr"/>
      <c r="Q50" s="3" t="inlineStr"/>
    </row>
    <row r="51">
      <c r="A51" s="3" t="inlineStr">
        <is>
          <t>LaboTest Oy</t>
        </is>
      </c>
      <c r="B51" s="3" t="inlineStr">
        <is>
          <t>芬兰</t>
        </is>
      </c>
      <c r="C51" s="3" t="inlineStr"/>
      <c r="D51" s="3" t="inlineStr">
        <is>
          <t>labotest.fi</t>
        </is>
      </c>
      <c r="E51" s="3" t="inlineStr">
        <is>
          <t>分销（ORing 授权）</t>
        </is>
      </c>
      <c r="F51" s="3" t="inlineStr">
        <is>
          <t>ORing</t>
        </is>
      </c>
      <c r="G51" s="3" t="inlineStr">
        <is>
          <t>否</t>
        </is>
      </c>
      <c r="H51" s="3" t="inlineStr">
        <is>
          <t>芬兰分销</t>
        </is>
      </c>
      <c r="I51" s="3" t="inlineStr">
        <is>
          <t>LT-IS6312XG-4XS8GT</t>
        </is>
      </c>
      <c r="J51" s="3" t="inlineStr">
        <is>
          <t>+358 29 0039 600</t>
        </is>
      </c>
      <c r="K51" s="3" t="inlineStr">
        <is>
          <t>★★★</t>
        </is>
      </c>
      <c r="L51" s="3" t="inlineStr">
        <is>
          <t>未触达</t>
        </is>
      </c>
      <c r="M51" s="3" t="inlineStr">
        <is>
          <t>ORing经销商名录/2026-09</t>
        </is>
      </c>
      <c r="N51" s="3" t="inlineStr"/>
      <c r="O51" s="3" t="inlineStr"/>
      <c r="P51" s="3" t="inlineStr"/>
      <c r="Q51" s="3" t="inlineStr"/>
    </row>
    <row r="52">
      <c r="A52" s="3" t="inlineStr">
        <is>
          <t>Phoebe IDF</t>
        </is>
      </c>
      <c r="B52" s="3" t="inlineStr">
        <is>
          <t>法国</t>
        </is>
      </c>
      <c r="C52" s="3" t="inlineStr"/>
      <c r="D52" s="3" t="inlineStr">
        <is>
          <t>distribution.phoebe.fr</t>
        </is>
      </c>
      <c r="E52" s="3" t="inlineStr">
        <is>
          <t>分销（ORing 授权）</t>
        </is>
      </c>
      <c r="F52" s="3" t="inlineStr">
        <is>
          <t>ORing</t>
        </is>
      </c>
      <c r="G52" s="3" t="inlineStr">
        <is>
          <t>否</t>
        </is>
      </c>
      <c r="H52" s="3" t="inlineStr">
        <is>
          <t>法国分销（distribution 部门）</t>
        </is>
      </c>
      <c r="I52" s="3" t="inlineStr">
        <is>
          <t>LT-IS6312XGP-4XS8GT</t>
        </is>
      </c>
      <c r="J52" s="3" t="inlineStr">
        <is>
          <t>+33 1 30 67 69 15</t>
        </is>
      </c>
      <c r="K52" s="3" t="inlineStr">
        <is>
          <t>★★★</t>
        </is>
      </c>
      <c r="L52" s="3" t="inlineStr">
        <is>
          <t>未触达</t>
        </is>
      </c>
      <c r="M52" s="3" t="inlineStr">
        <is>
          <t>ORing经销商名录/2026-09</t>
        </is>
      </c>
      <c r="N52" s="3" t="inlineStr"/>
      <c r="O52" s="3" t="inlineStr"/>
      <c r="P52" s="3" t="inlineStr"/>
      <c r="Q52" s="3" t="inlineStr"/>
    </row>
    <row r="53">
      <c r="A53" s="3" t="inlineStr">
        <is>
          <t>APLUS Systeme Automation</t>
        </is>
      </c>
      <c r="B53" s="3" t="inlineStr">
        <is>
          <t>法国</t>
        </is>
      </c>
      <c r="C53" s="3" t="inlineStr"/>
      <c r="D53" s="3" t="inlineStr">
        <is>
          <t>aplus-sa.com</t>
        </is>
      </c>
      <c r="E53" s="3" t="inlineStr">
        <is>
          <t>分销（ORing 授权）</t>
        </is>
      </c>
      <c r="F53" s="3" t="inlineStr">
        <is>
          <t>ORing</t>
        </is>
      </c>
      <c r="G53" s="3" t="inlineStr">
        <is>
          <t>否</t>
        </is>
      </c>
      <c r="H53" s="3" t="inlineStr">
        <is>
          <t>法国工业自动化分销</t>
        </is>
      </c>
      <c r="I53" s="3" t="inlineStr">
        <is>
          <t>LT-IS6320G-4GX16GT-D</t>
        </is>
      </c>
      <c r="J53" s="3" t="inlineStr">
        <is>
          <t>+33 1 69884300</t>
        </is>
      </c>
      <c r="K53" s="3" t="inlineStr">
        <is>
          <t>★★★</t>
        </is>
      </c>
      <c r="L53" s="3" t="inlineStr">
        <is>
          <t>未触达</t>
        </is>
      </c>
      <c r="M53" s="3" t="inlineStr">
        <is>
          <t>ORing经销商名录/2026-09</t>
        </is>
      </c>
      <c r="N53" s="3" t="inlineStr"/>
      <c r="O53" s="3" t="inlineStr"/>
      <c r="P53" s="3" t="inlineStr"/>
      <c r="Q53" s="3" t="inlineStr"/>
    </row>
    <row r="54">
      <c r="A54" s="3" t="inlineStr">
        <is>
          <t>Equipements Scientifiques</t>
        </is>
      </c>
      <c r="B54" s="3" t="inlineStr">
        <is>
          <t>法国</t>
        </is>
      </c>
      <c r="C54" s="3" t="inlineStr"/>
      <c r="D54" s="3" t="inlineStr">
        <is>
          <t>es-france.com</t>
        </is>
      </c>
      <c r="E54" s="3" t="inlineStr">
        <is>
          <t>分销（ORing 授权）</t>
        </is>
      </c>
      <c r="F54" s="3" t="inlineStr">
        <is>
          <t>ORing</t>
        </is>
      </c>
      <c r="G54" s="3" t="inlineStr">
        <is>
          <t>否</t>
        </is>
      </c>
      <c r="H54" s="3" t="inlineStr">
        <is>
          <t>法国分销</t>
        </is>
      </c>
      <c r="I54" s="3" t="inlineStr">
        <is>
          <t>LT-IS6312XG-4XS8GT</t>
        </is>
      </c>
      <c r="J54" s="3" t="inlineStr">
        <is>
          <t>+33 1 47 95 99 81</t>
        </is>
      </c>
      <c r="K54" s="3" t="inlineStr">
        <is>
          <t>★★★</t>
        </is>
      </c>
      <c r="L54" s="3" t="inlineStr">
        <is>
          <t>未触达</t>
        </is>
      </c>
      <c r="M54" s="3" t="inlineStr">
        <is>
          <t>ORing经销商名录/2026-09</t>
        </is>
      </c>
      <c r="N54" s="3" t="inlineStr"/>
      <c r="O54" s="3" t="inlineStr"/>
      <c r="P54" s="3" t="inlineStr"/>
      <c r="Q54" s="3" t="inlineStr"/>
    </row>
    <row r="55">
      <c r="A55" s="3" t="inlineStr">
        <is>
          <t>Acceed GmbH</t>
        </is>
      </c>
      <c r="B55" s="3" t="inlineStr">
        <is>
          <t>德国</t>
        </is>
      </c>
      <c r="C55" s="3" t="inlineStr"/>
      <c r="D55" s="3" t="inlineStr">
        <is>
          <t>acceed.de</t>
        </is>
      </c>
      <c r="E55" s="3" t="inlineStr">
        <is>
          <t>分销（ORing 授权）</t>
        </is>
      </c>
      <c r="F55" s="3" t="inlineStr">
        <is>
          <t>ORing</t>
        </is>
      </c>
      <c r="G55" s="3" t="inlineStr">
        <is>
          <t>否</t>
        </is>
      </c>
      <c r="H55" s="3" t="inlineStr">
        <is>
          <t>德国工业物联网/网络分销</t>
        </is>
      </c>
      <c r="I55" s="3" t="inlineStr">
        <is>
          <t>LT-IS6312XG-4XS8GT</t>
        </is>
      </c>
      <c r="J55" s="3" t="inlineStr">
        <is>
          <t>+49 211 938898-0</t>
        </is>
      </c>
      <c r="K55" s="3" t="inlineStr">
        <is>
          <t>★★★</t>
        </is>
      </c>
      <c r="L55" s="3" t="inlineStr">
        <is>
          <t>未触达</t>
        </is>
      </c>
      <c r="M55" s="3" t="inlineStr">
        <is>
          <t>ORing经销商名录/2026-09</t>
        </is>
      </c>
      <c r="N55" s="3" t="inlineStr"/>
      <c r="O55" s="3" t="inlineStr"/>
      <c r="P55" s="3" t="inlineStr"/>
      <c r="Q55" s="3" t="inlineStr">
        <is>
          <t>德国不冷邮件，走表单/电话</t>
        </is>
      </c>
    </row>
    <row r="56">
      <c r="A56" s="3" t="inlineStr">
        <is>
          <t>ALIDEX ITALIA</t>
        </is>
      </c>
      <c r="B56" s="3" t="inlineStr">
        <is>
          <t>意大利</t>
        </is>
      </c>
      <c r="C56" s="3" t="inlineStr"/>
      <c r="D56" s="3" t="inlineStr">
        <is>
          <t>alidex.it</t>
        </is>
      </c>
      <c r="E56" s="3" t="inlineStr">
        <is>
          <t>分销（ORing 授权）</t>
        </is>
      </c>
      <c r="F56" s="3" t="inlineStr">
        <is>
          <t>ORing</t>
        </is>
      </c>
      <c r="G56" s="3" t="inlineStr">
        <is>
          <t>否</t>
        </is>
      </c>
      <c r="H56" s="3" t="inlineStr">
        <is>
          <t>意大利分销</t>
        </is>
      </c>
      <c r="I56" s="3" t="inlineStr">
        <is>
          <t>LT-IS6312XGP-4XS8GT</t>
        </is>
      </c>
      <c r="J56" s="3" t="inlineStr">
        <is>
          <t>+39 392 8499296</t>
        </is>
      </c>
      <c r="K56" s="3" t="inlineStr">
        <is>
          <t>★★★</t>
        </is>
      </c>
      <c r="L56" s="3" t="inlineStr">
        <is>
          <t>未触达</t>
        </is>
      </c>
      <c r="M56" s="3" t="inlineStr">
        <is>
          <t>ORing经销商名录/2026-09</t>
        </is>
      </c>
      <c r="N56" s="3" t="inlineStr"/>
      <c r="O56" s="3" t="inlineStr"/>
      <c r="P56" s="3" t="inlineStr"/>
      <c r="Q56" s="3" t="inlineStr"/>
    </row>
    <row r="57">
      <c r="A57" s="3" t="inlineStr">
        <is>
          <t>GOMA ELETTRONICA SPA</t>
        </is>
      </c>
      <c r="B57" s="3" t="inlineStr">
        <is>
          <t>意大利</t>
        </is>
      </c>
      <c r="C57" s="3" t="inlineStr">
        <is>
          <t>都灵</t>
        </is>
      </c>
      <c r="D57" s="3" t="inlineStr">
        <is>
          <t>goma.it</t>
        </is>
      </c>
      <c r="E57" s="3" t="inlineStr">
        <is>
          <t>分销（ORing 授权）</t>
        </is>
      </c>
      <c r="F57" s="3" t="inlineStr">
        <is>
          <t>ORing</t>
        </is>
      </c>
      <c r="G57" s="3" t="inlineStr">
        <is>
          <t>否</t>
        </is>
      </c>
      <c r="H57" s="3" t="inlineStr">
        <is>
          <t>意大利电子分销</t>
        </is>
      </c>
      <c r="I57" s="3" t="inlineStr">
        <is>
          <t>LT-IS6312XG-4XS8GT</t>
        </is>
      </c>
      <c r="J57" s="3" t="inlineStr">
        <is>
          <t>+39 011 7725024</t>
        </is>
      </c>
      <c r="K57" s="3" t="inlineStr">
        <is>
          <t>★★★</t>
        </is>
      </c>
      <c r="L57" s="3" t="inlineStr">
        <is>
          <t>未触达</t>
        </is>
      </c>
      <c r="M57" s="3" t="inlineStr">
        <is>
          <t>ORing经销商名录/2026-09</t>
        </is>
      </c>
      <c r="N57" s="3" t="inlineStr"/>
      <c r="O57" s="3" t="inlineStr"/>
      <c r="P57" s="3" t="inlineStr"/>
      <c r="Q57" s="3" t="inlineStr">
        <is>
          <t>Strada Antica di Collegno 225</t>
        </is>
      </c>
    </row>
    <row r="58">
      <c r="A58" s="3" t="inlineStr">
        <is>
          <t>DIGIMAX S.r.l.</t>
        </is>
      </c>
      <c r="B58" s="3" t="inlineStr">
        <is>
          <t>意大利</t>
        </is>
      </c>
      <c r="C58" s="3" t="inlineStr"/>
      <c r="D58" s="3" t="inlineStr">
        <is>
          <t>digimax.it</t>
        </is>
      </c>
      <c r="E58" s="3" t="inlineStr">
        <is>
          <t>分销（ORing 授权）</t>
        </is>
      </c>
      <c r="F58" s="3" t="inlineStr">
        <is>
          <t>ORing</t>
        </is>
      </c>
      <c r="G58" s="3" t="inlineStr">
        <is>
          <t>否</t>
        </is>
      </c>
      <c r="H58" s="3" t="inlineStr">
        <is>
          <t>意大利分销</t>
        </is>
      </c>
      <c r="I58" s="3" t="inlineStr">
        <is>
          <t>LT-IS6310GP-2GX8GT</t>
        </is>
      </c>
      <c r="J58" s="3" t="inlineStr">
        <is>
          <t>+39 0444 574066</t>
        </is>
      </c>
      <c r="K58" s="3" t="inlineStr">
        <is>
          <t>★★★</t>
        </is>
      </c>
      <c r="L58" s="3" t="inlineStr">
        <is>
          <t>未触达</t>
        </is>
      </c>
      <c r="M58" s="3" t="inlineStr">
        <is>
          <t>ORing经销商名录/2026-09</t>
        </is>
      </c>
      <c r="N58" s="3" t="inlineStr"/>
      <c r="O58" s="3" t="inlineStr"/>
      <c r="P58" s="3" t="inlineStr"/>
      <c r="Q58" s="3" t="inlineStr"/>
    </row>
    <row r="59">
      <c r="A59" s="3" t="inlineStr">
        <is>
          <t>DataLink Communications</t>
        </is>
      </c>
      <c r="B59" s="3" t="inlineStr">
        <is>
          <t>爱尔兰/英国</t>
        </is>
      </c>
      <c r="C59" s="3" t="inlineStr"/>
      <c r="D59" s="3" t="inlineStr">
        <is>
          <t>datalinkcom.net</t>
        </is>
      </c>
      <c r="E59" s="3" t="inlineStr">
        <is>
          <t>分销（ORing 授权）</t>
        </is>
      </c>
      <c r="F59" s="3" t="inlineStr">
        <is>
          <t>ORing</t>
        </is>
      </c>
      <c r="G59" s="3" t="inlineStr">
        <is>
          <t>否</t>
        </is>
      </c>
      <c r="H59" s="3" t="inlineStr">
        <is>
          <t>爱尔兰 + 英国双覆盖</t>
        </is>
      </c>
      <c r="I59" s="3" t="inlineStr">
        <is>
          <t>LT-IS6312XGP-4XS8GT</t>
        </is>
      </c>
      <c r="J59" s="3" t="inlineStr">
        <is>
          <t>+353-91-840838 / UK +01214680041</t>
        </is>
      </c>
      <c r="K59" s="3" t="inlineStr">
        <is>
          <t>★★★</t>
        </is>
      </c>
      <c r="L59" s="3" t="inlineStr">
        <is>
          <t>未触达</t>
        </is>
      </c>
      <c r="M59" s="3" t="inlineStr">
        <is>
          <t>ORing经销商名录/2026-09</t>
        </is>
      </c>
      <c r="N59" s="3" t="inlineStr"/>
      <c r="O59" s="3" t="inlineStr"/>
      <c r="P59" s="3" t="inlineStr"/>
      <c r="Q59" s="3" t="inlineStr"/>
    </row>
    <row r="60">
      <c r="A60" s="3" t="inlineStr">
        <is>
          <t>Lextron B.V.</t>
        </is>
      </c>
      <c r="B60" s="3" t="inlineStr">
        <is>
          <t>荷兰</t>
        </is>
      </c>
      <c r="C60" s="3" t="inlineStr"/>
      <c r="D60" s="3" t="inlineStr">
        <is>
          <t>lextron.nl</t>
        </is>
      </c>
      <c r="E60" s="3" t="inlineStr">
        <is>
          <t>分销（ORing 授权）</t>
        </is>
      </c>
      <c r="F60" s="3" t="inlineStr">
        <is>
          <t>ORing</t>
        </is>
      </c>
      <c r="G60" s="3" t="inlineStr">
        <is>
          <t>否</t>
        </is>
      </c>
      <c r="H60" s="3" t="inlineStr">
        <is>
          <t>荷兰工业网络分销</t>
        </is>
      </c>
      <c r="I60" s="3" t="inlineStr">
        <is>
          <t>LT-IS6312XG-4XS8GT</t>
        </is>
      </c>
      <c r="J60" s="3" t="inlineStr">
        <is>
          <t>+31 162 220229</t>
        </is>
      </c>
      <c r="K60" s="3" t="inlineStr">
        <is>
          <t>★★★</t>
        </is>
      </c>
      <c r="L60" s="3" t="inlineStr">
        <is>
          <t>未触达</t>
        </is>
      </c>
      <c r="M60" s="3" t="inlineStr">
        <is>
          <t>ORing经销商名录/2026-09</t>
        </is>
      </c>
      <c r="N60" s="3" t="inlineStr"/>
      <c r="O60" s="3" t="inlineStr"/>
      <c r="P60" s="3" t="inlineStr"/>
      <c r="Q60" s="3" t="inlineStr"/>
    </row>
    <row r="61">
      <c r="A61" s="3" t="inlineStr">
        <is>
          <t>SATEL NORGE AS</t>
        </is>
      </c>
      <c r="B61" s="3" t="inlineStr">
        <is>
          <t>挪威</t>
        </is>
      </c>
      <c r="C61" s="3" t="inlineStr"/>
      <c r="D61" s="3" t="inlineStr">
        <is>
          <t>satel.no</t>
        </is>
      </c>
      <c r="E61" s="3" t="inlineStr">
        <is>
          <t>分销（ORing 授权）</t>
        </is>
      </c>
      <c r="F61" s="3" t="inlineStr">
        <is>
          <t>ORing</t>
        </is>
      </c>
      <c r="G61" s="3" t="inlineStr">
        <is>
          <t>否</t>
        </is>
      </c>
      <c r="H61" s="3" t="inlineStr">
        <is>
          <t>挪威工业无线通信分销</t>
        </is>
      </c>
      <c r="I61" s="3" t="inlineStr">
        <is>
          <t>LT-IS6312XGP-4XS8GT</t>
        </is>
      </c>
      <c r="J61" s="3" t="inlineStr">
        <is>
          <t>+47 69 27 70 40</t>
        </is>
      </c>
      <c r="K61" s="3" t="inlineStr">
        <is>
          <t>★★★</t>
        </is>
      </c>
      <c r="L61" s="3" t="inlineStr">
        <is>
          <t>未触达</t>
        </is>
      </c>
      <c r="M61" s="3" t="inlineStr">
        <is>
          <t>ORing经销商名录/2026-09</t>
        </is>
      </c>
      <c r="N61" s="3" t="inlineStr"/>
      <c r="O61" s="3" t="inlineStr"/>
      <c r="P61" s="3" t="inlineStr"/>
      <c r="Q61" s="3" t="inlineStr"/>
    </row>
    <row r="62">
      <c r="A62" s="3" t="inlineStr">
        <is>
          <t>Fiberworks AS</t>
        </is>
      </c>
      <c r="B62" s="3" t="inlineStr">
        <is>
          <t>挪威</t>
        </is>
      </c>
      <c r="C62" s="3" t="inlineStr"/>
      <c r="D62" s="3" t="inlineStr">
        <is>
          <t>fiberworks.no</t>
        </is>
      </c>
      <c r="E62" s="3" t="inlineStr">
        <is>
          <t>分销（ORing 授权）</t>
        </is>
      </c>
      <c r="F62" s="3" t="inlineStr">
        <is>
          <t>ORing</t>
        </is>
      </c>
      <c r="G62" s="3" t="inlineStr">
        <is>
          <t>否</t>
        </is>
      </c>
      <c r="H62" s="3" t="inlineStr">
        <is>
          <t>挪威光纤/网络分销</t>
        </is>
      </c>
      <c r="I62" s="3" t="inlineStr">
        <is>
          <t>LT-IS6312XG-4XS8GT</t>
        </is>
      </c>
      <c r="J62" s="3" t="inlineStr">
        <is>
          <t>+47 23 03 53 30</t>
        </is>
      </c>
      <c r="K62" s="3" t="inlineStr">
        <is>
          <t>★★★</t>
        </is>
      </c>
      <c r="L62" s="3" t="inlineStr">
        <is>
          <t>未触达</t>
        </is>
      </c>
      <c r="M62" s="3" t="inlineStr">
        <is>
          <t>ORing经销商名录/2026-09</t>
        </is>
      </c>
      <c r="N62" s="3" t="inlineStr"/>
      <c r="O62" s="3" t="inlineStr"/>
      <c r="P62" s="3" t="inlineStr"/>
      <c r="Q62" s="3" t="inlineStr"/>
    </row>
    <row r="63">
      <c r="A63" s="3" t="inlineStr">
        <is>
          <t>Atel Electronics</t>
        </is>
      </c>
      <c r="B63" s="3" t="inlineStr">
        <is>
          <t>波兰</t>
        </is>
      </c>
      <c r="C63" s="3" t="inlineStr"/>
      <c r="D63" s="3" t="inlineStr">
        <is>
          <t>atel.com.pl</t>
        </is>
      </c>
      <c r="E63" s="3" t="inlineStr">
        <is>
          <t>分销（ORing 授权）</t>
        </is>
      </c>
      <c r="F63" s="3" t="inlineStr">
        <is>
          <t>ORing</t>
        </is>
      </c>
      <c r="G63" s="3" t="inlineStr">
        <is>
          <t>否</t>
        </is>
      </c>
      <c r="H63" s="3" t="inlineStr">
        <is>
          <t>波兰 T1，第二供应源</t>
        </is>
      </c>
      <c r="I63" s="3" t="inlineStr">
        <is>
          <t>LT-IS6312XGP-4XS8GT</t>
        </is>
      </c>
      <c r="J63" s="3" t="inlineStr">
        <is>
          <t>+48 77 455 60 76</t>
        </is>
      </c>
      <c r="K63" s="3" t="inlineStr">
        <is>
          <t>★★★</t>
        </is>
      </c>
      <c r="L63" s="3" t="inlineStr">
        <is>
          <t>未触达</t>
        </is>
      </c>
      <c r="M63" s="3" t="inlineStr">
        <is>
          <t>ORing经销商名录/2026-09</t>
        </is>
      </c>
      <c r="N63" s="3" t="inlineStr"/>
      <c r="O63" s="3" t="inlineStr"/>
      <c r="P63" s="3" t="inlineStr"/>
      <c r="Q63" s="3" t="inlineStr"/>
    </row>
    <row r="64">
      <c r="A64" s="3" t="inlineStr">
        <is>
          <t>Maritex Leszek Łosin Sp.j.</t>
        </is>
      </c>
      <c r="B64" s="3" t="inlineStr">
        <is>
          <t>波兰</t>
        </is>
      </c>
      <c r="C64" s="3" t="inlineStr"/>
      <c r="D64" s="3" t="inlineStr">
        <is>
          <t>maritex.eu</t>
        </is>
      </c>
      <c r="E64" s="3" t="inlineStr">
        <is>
          <t>分销（ORing 授权）</t>
        </is>
      </c>
      <c r="F64" s="3" t="inlineStr">
        <is>
          <t>ORing</t>
        </is>
      </c>
      <c r="G64" s="3" t="inlineStr">
        <is>
          <t>否</t>
        </is>
      </c>
      <c r="H64" s="3" t="inlineStr">
        <is>
          <t>波兰工业/电信分销</t>
        </is>
      </c>
      <c r="I64" s="3" t="inlineStr">
        <is>
          <t>LT-IS6320G-4GX16GT-D</t>
        </is>
      </c>
      <c r="J64" s="3" t="inlineStr">
        <is>
          <t>+48 58 622 89 00</t>
        </is>
      </c>
      <c r="K64" s="3" t="inlineStr">
        <is>
          <t>★★★</t>
        </is>
      </c>
      <c r="L64" s="3" t="inlineStr">
        <is>
          <t>未触达</t>
        </is>
      </c>
      <c r="M64" s="3" t="inlineStr">
        <is>
          <t>ORing经销商名录/2026-09</t>
        </is>
      </c>
      <c r="N64" s="3" t="inlineStr"/>
      <c r="O64" s="3" t="inlineStr"/>
      <c r="P64" s="3" t="inlineStr"/>
      <c r="Q64" s="3" t="inlineStr"/>
    </row>
    <row r="65">
      <c r="A65" s="3" t="inlineStr">
        <is>
          <t>Tempel Group</t>
        </is>
      </c>
      <c r="B65" s="3" t="inlineStr">
        <is>
          <t>葡萄牙</t>
        </is>
      </c>
      <c r="C65" s="3" t="inlineStr"/>
      <c r="D65" s="3" t="inlineStr">
        <is>
          <t>tempelgroup.pt</t>
        </is>
      </c>
      <c r="E65" s="3" t="inlineStr">
        <is>
          <t>分销（ORing 授权）</t>
        </is>
      </c>
      <c r="F65" s="3" t="inlineStr">
        <is>
          <t>ORing</t>
        </is>
      </c>
      <c r="G65" s="3" t="inlineStr">
        <is>
          <t>否</t>
        </is>
      </c>
      <c r="H65" s="3" t="inlineStr">
        <is>
          <t>葡萄牙分销</t>
        </is>
      </c>
      <c r="I65" s="3" t="inlineStr">
        <is>
          <t>LT-IS6312XG-4XS8GT</t>
        </is>
      </c>
      <c r="J65" s="3" t="inlineStr">
        <is>
          <t>+351 214220540</t>
        </is>
      </c>
      <c r="K65" s="3" t="inlineStr">
        <is>
          <t>★★</t>
        </is>
      </c>
      <c r="L65" s="3" t="inlineStr">
        <is>
          <t>未触达</t>
        </is>
      </c>
      <c r="M65" s="3" t="inlineStr">
        <is>
          <t>ORing经销商名录/2026-09</t>
        </is>
      </c>
      <c r="N65" s="3" t="inlineStr"/>
      <c r="O65" s="3" t="inlineStr"/>
      <c r="P65" s="3" t="inlineStr"/>
      <c r="Q65" s="3" t="inlineStr"/>
    </row>
    <row r="66">
      <c r="A66" s="3" t="inlineStr">
        <is>
          <t>ALIDEX IBERIA</t>
        </is>
      </c>
      <c r="B66" s="3" t="inlineStr">
        <is>
          <t>西班牙/葡萄牙</t>
        </is>
      </c>
      <c r="C66" s="3" t="inlineStr"/>
      <c r="D66" s="3" t="inlineStr">
        <is>
          <t>alidex.es</t>
        </is>
      </c>
      <c r="E66" s="3" t="inlineStr">
        <is>
          <t>分销（ORing 授权）</t>
        </is>
      </c>
      <c r="F66" s="3" t="inlineStr">
        <is>
          <t>ORing</t>
        </is>
      </c>
      <c r="G66" s="3" t="inlineStr">
        <is>
          <t>否</t>
        </is>
      </c>
      <c r="H66" s="3" t="inlineStr">
        <is>
          <t>伊比利亚半岛分销</t>
        </is>
      </c>
      <c r="I66" s="3" t="inlineStr">
        <is>
          <t>LT-IS6312XGP-4XS8GT</t>
        </is>
      </c>
      <c r="J66" s="3" t="inlineStr">
        <is>
          <t>+34 639 13 22 03</t>
        </is>
      </c>
      <c r="K66" s="3" t="inlineStr">
        <is>
          <t>★★★</t>
        </is>
      </c>
      <c r="L66" s="3" t="inlineStr">
        <is>
          <t>未触达</t>
        </is>
      </c>
      <c r="M66" s="3" t="inlineStr">
        <is>
          <t>ORing经销商名录/2026-09</t>
        </is>
      </c>
      <c r="N66" s="3" t="inlineStr"/>
      <c r="O66" s="3" t="inlineStr"/>
      <c r="P66" s="3" t="inlineStr"/>
      <c r="Q66" s="3" t="inlineStr"/>
    </row>
    <row r="67">
      <c r="A67" s="3" t="inlineStr">
        <is>
          <t>Tempel Group</t>
        </is>
      </c>
      <c r="B67" s="3" t="inlineStr">
        <is>
          <t>西班牙</t>
        </is>
      </c>
      <c r="C67" s="3" t="inlineStr"/>
      <c r="D67" s="3" t="inlineStr">
        <is>
          <t>tempelgroup.com</t>
        </is>
      </c>
      <c r="E67" s="3" t="inlineStr">
        <is>
          <t>分销（ORing 授权）</t>
        </is>
      </c>
      <c r="F67" s="3" t="inlineStr">
        <is>
          <t>ORing</t>
        </is>
      </c>
      <c r="G67" s="3" t="inlineStr">
        <is>
          <t>否</t>
        </is>
      </c>
      <c r="H67" s="3" t="inlineStr">
        <is>
          <t>西班牙分销（与葡萄牙同集团）</t>
        </is>
      </c>
      <c r="I67" s="3" t="inlineStr">
        <is>
          <t>LT-IS6312XG-4XS8GT</t>
        </is>
      </c>
      <c r="J67" s="3" t="inlineStr">
        <is>
          <t>+34 936003600</t>
        </is>
      </c>
      <c r="K67" s="3" t="inlineStr">
        <is>
          <t>★★★</t>
        </is>
      </c>
      <c r="L67" s="3" t="inlineStr">
        <is>
          <t>未触达</t>
        </is>
      </c>
      <c r="M67" s="3" t="inlineStr">
        <is>
          <t>ORing经销商名录/2026-09</t>
        </is>
      </c>
      <c r="N67" s="3" t="inlineStr"/>
      <c r="O67" s="3" t="inlineStr"/>
      <c r="P67" s="3" t="inlineStr"/>
      <c r="Q67" s="3" t="inlineStr"/>
    </row>
    <row r="68">
      <c r="A68" s="3" t="inlineStr">
        <is>
          <t>IMPERIAL ELECTRIC S.A.</t>
        </is>
      </c>
      <c r="B68" s="3" t="inlineStr">
        <is>
          <t>罗马尼亚</t>
        </is>
      </c>
      <c r="C68" s="3" t="inlineStr"/>
      <c r="D68" s="3" t="inlineStr">
        <is>
          <t>imperialelectric.ro</t>
        </is>
      </c>
      <c r="E68" s="3" t="inlineStr">
        <is>
          <t>分销（ORing 授权）</t>
        </is>
      </c>
      <c r="F68" s="3" t="inlineStr">
        <is>
          <t>ORing</t>
        </is>
      </c>
      <c r="G68" s="3" t="inlineStr">
        <is>
          <t>否</t>
        </is>
      </c>
      <c r="H68" s="3" t="inlineStr">
        <is>
          <t>罗马尼亚电气/工业分销</t>
        </is>
      </c>
      <c r="I68" s="3" t="inlineStr">
        <is>
          <t>LT-IS6312XGP-4XS8GT</t>
        </is>
      </c>
      <c r="J68" s="3" t="inlineStr">
        <is>
          <t>+40 213240417</t>
        </is>
      </c>
      <c r="K68" s="3" t="inlineStr">
        <is>
          <t>★★</t>
        </is>
      </c>
      <c r="L68" s="3" t="inlineStr">
        <is>
          <t>未触达</t>
        </is>
      </c>
      <c r="M68" s="3" t="inlineStr">
        <is>
          <t>ORing经销商名录/2026-09</t>
        </is>
      </c>
      <c r="N68" s="3" t="inlineStr"/>
      <c r="O68" s="3" t="inlineStr"/>
      <c r="P68" s="3" t="inlineStr"/>
      <c r="Q68" s="3" t="inlineStr">
        <is>
          <t>中东欧增量市场</t>
        </is>
      </c>
    </row>
    <row r="69">
      <c r="A69" s="3" t="inlineStr">
        <is>
          <t>HighTech Nordic AB</t>
        </is>
      </c>
      <c r="B69" s="3" t="inlineStr">
        <is>
          <t>瑞典</t>
        </is>
      </c>
      <c r="C69" s="3" t="inlineStr"/>
      <c r="D69" s="3" t="inlineStr">
        <is>
          <t>hightechnordic.com</t>
        </is>
      </c>
      <c r="E69" s="3" t="inlineStr">
        <is>
          <t>分销（ORing 授权）</t>
        </is>
      </c>
      <c r="F69" s="3" t="inlineStr">
        <is>
          <t>ORing</t>
        </is>
      </c>
      <c r="G69" s="3" t="inlineStr">
        <is>
          <t>否</t>
        </is>
      </c>
      <c r="H69" s="3" t="inlineStr">
        <is>
          <t>瑞典工业分销</t>
        </is>
      </c>
      <c r="I69" s="3" t="inlineStr">
        <is>
          <t>LT-IS6312XG-4XS8GT</t>
        </is>
      </c>
      <c r="J69" s="3" t="inlineStr">
        <is>
          <t>+46 101775800</t>
        </is>
      </c>
      <c r="K69" s="3" t="inlineStr">
        <is>
          <t>★★★</t>
        </is>
      </c>
      <c r="L69" s="3" t="inlineStr">
        <is>
          <t>未触达</t>
        </is>
      </c>
      <c r="M69" s="3" t="inlineStr">
        <is>
          <t>ORing经销商名录/2026-09</t>
        </is>
      </c>
      <c r="N69" s="3" t="inlineStr"/>
      <c r="O69" s="3" t="inlineStr"/>
      <c r="P69" s="3" t="inlineStr"/>
      <c r="Q69" s="3" t="inlineStr"/>
    </row>
    <row r="70">
      <c r="A70" s="3" t="inlineStr">
        <is>
          <t>MPI Technologies AG</t>
        </is>
      </c>
      <c r="B70" s="3" t="inlineStr">
        <is>
          <t>瑞士</t>
        </is>
      </c>
      <c r="C70" s="3" t="inlineStr"/>
      <c r="D70" s="3" t="inlineStr">
        <is>
          <t>mpi.ch</t>
        </is>
      </c>
      <c r="E70" s="3" t="inlineStr">
        <is>
          <t>分销（ORing 授权）</t>
        </is>
      </c>
      <c r="F70" s="3" t="inlineStr">
        <is>
          <t>ORing</t>
        </is>
      </c>
      <c r="G70" s="3" t="inlineStr">
        <is>
          <t>否</t>
        </is>
      </c>
      <c r="H70" s="3" t="inlineStr">
        <is>
          <t>瑞士工业网络分销</t>
        </is>
      </c>
      <c r="I70" s="3" t="inlineStr">
        <is>
          <t>LT-IS6312XGP-4XS8GT</t>
        </is>
      </c>
      <c r="J70" s="3" t="inlineStr">
        <is>
          <t>+41 564 83 34 44</t>
        </is>
      </c>
      <c r="K70" s="3" t="inlineStr">
        <is>
          <t>★★★</t>
        </is>
      </c>
      <c r="L70" s="3" t="inlineStr">
        <is>
          <t>未触达</t>
        </is>
      </c>
      <c r="M70" s="3" t="inlineStr">
        <is>
          <t>ORing经销商名录/2026-09</t>
        </is>
      </c>
      <c r="N70" s="3" t="inlineStr"/>
      <c r="O70" s="3" t="inlineStr"/>
      <c r="P70" s="3" t="inlineStr"/>
      <c r="Q70" s="3" t="inlineStr"/>
    </row>
    <row r="71">
      <c r="A71" s="3" t="inlineStr">
        <is>
          <t>Alpha Metronik Ltd</t>
        </is>
      </c>
      <c r="B71" s="3" t="inlineStr">
        <is>
          <t>乌克兰</t>
        </is>
      </c>
      <c r="C71" s="3" t="inlineStr"/>
      <c r="D71" s="3" t="inlineStr">
        <is>
          <t>alfa-metronik.ua</t>
        </is>
      </c>
      <c r="E71" s="3" t="inlineStr">
        <is>
          <t>分销（ORing 授权）</t>
        </is>
      </c>
      <c r="F71" s="3" t="inlineStr">
        <is>
          <t>ORing</t>
        </is>
      </c>
      <c r="G71" s="3" t="inlineStr">
        <is>
          <t>否</t>
        </is>
      </c>
      <c r="H71" s="3" t="inlineStr">
        <is>
          <t>乌克兰分销（MikroTik 出货 T3 市场）</t>
        </is>
      </c>
      <c r="I71" s="3" t="inlineStr">
        <is>
          <t>LT-IS6312XG-4XS8GT</t>
        </is>
      </c>
      <c r="J71" s="3" t="inlineStr">
        <is>
          <t>+380 (44) 501-96-01</t>
        </is>
      </c>
      <c r="K71" s="3" t="inlineStr">
        <is>
          <t>★★</t>
        </is>
      </c>
      <c r="L71" s="3" t="inlineStr">
        <is>
          <t>未触达</t>
        </is>
      </c>
      <c r="M71" s="3" t="inlineStr">
        <is>
          <t>ORing经销商名录/2026-09</t>
        </is>
      </c>
      <c r="N71" s="3" t="inlineStr"/>
      <c r="O71" s="3" t="inlineStr"/>
      <c r="P71" s="3" t="inlineStr"/>
      <c r="Q71" s="3" t="inlineStr">
        <is>
          <t>⚠️ 出货前做制裁与最终用途筛查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2" customWidth="1" min="3" max="3"/>
    <col width="26" customWidth="1" min="4" max="4"/>
    <col width="30" customWidth="1" min="5" max="5"/>
    <col width="16" customWidth="1" min="6" max="6"/>
    <col width="26" customWidth="1" min="7" max="7"/>
  </cols>
  <sheetData>
    <row r="1">
      <c r="A1" s="2" t="inlineStr">
        <is>
          <t>品牌/型号</t>
        </is>
      </c>
      <c r="B1" s="2" t="inlineStr">
        <is>
          <t>规格</t>
        </is>
      </c>
      <c r="C1" s="2" t="inlineStr">
        <is>
          <t>渠道</t>
        </is>
      </c>
      <c r="D1" s="2" t="inlineStr">
        <is>
          <t>街价（含税/未税以渠道为准）</t>
        </is>
      </c>
      <c r="E1" s="2" t="inlineStr">
        <is>
          <t>你的对标 SmartByte 型号</t>
        </is>
      </c>
      <c r="F1" s="2" t="inlineStr">
        <is>
          <t>你的卖价</t>
        </is>
      </c>
      <c r="G1" s="2" t="inlineStr">
        <is>
          <t>倍数</t>
        </is>
      </c>
    </row>
    <row r="2">
      <c r="A2" s="3" t="inlineStr">
        <is>
          <t>ORing 8口 managed DIN（12/24/48V）</t>
        </is>
      </c>
      <c r="B2" s="3" t="inlineStr">
        <is>
          <t>8×FE managed，IP30</t>
        </is>
      </c>
      <c r="C2" s="3" t="inlineStr">
        <is>
          <t>spectra.de（德）</t>
        </is>
      </c>
      <c r="D2" s="3" t="inlineStr">
        <is>
          <t>€343</t>
        </is>
      </c>
      <c r="E2" s="3" t="inlineStr">
        <is>
          <t>LT-IS6306G-2GX4GT（4GE+2SFP）</t>
        </is>
      </c>
      <c r="F2" s="3" t="inlineStr">
        <is>
          <t>$132 ≈ €122</t>
        </is>
      </c>
      <c r="G2" s="3" t="inlineStr">
        <is>
          <t>—</t>
        </is>
      </c>
    </row>
    <row r="3">
      <c r="A3" s="3" t="inlineStr">
        <is>
          <t>ORing 6口 lite-managed PoE</t>
        </is>
      </c>
      <c r="B3" s="3" t="inlineStr">
        <is>
          <t>4FE PoE + 2 SFP</t>
        </is>
      </c>
      <c r="C3" s="3" t="inlineStr">
        <is>
          <t>spectra.de</t>
        </is>
      </c>
      <c r="D3" s="3" t="inlineStr">
        <is>
          <t>€363</t>
        </is>
      </c>
      <c r="E3" s="3" t="inlineStr">
        <is>
          <t>LT-IS6310GP-2GX8GT（8GE PoE+2SFP）</t>
        </is>
      </c>
      <c r="F3" s="3" t="inlineStr">
        <is>
          <t>$143 ≈ €132</t>
        </is>
      </c>
      <c r="G3" s="3" t="inlineStr">
        <is>
          <t>≈1/2.8</t>
        </is>
      </c>
    </row>
    <row r="4">
      <c r="A4" s="3" t="inlineStr">
        <is>
          <t>ORing 12口 Gb PoE managed</t>
        </is>
      </c>
      <c r="B4" s="3" t="inlineStr">
        <is>
          <t>8GE+4GE PoE+2SFP</t>
        </is>
      </c>
      <c r="C4" s="3" t="inlineStr">
        <is>
          <t>spectra.de</t>
        </is>
      </c>
      <c r="D4" s="3" t="inlineStr">
        <is>
          <t>€1,043</t>
        </is>
      </c>
      <c r="E4" s="3" t="inlineStr">
        <is>
          <t>LT-IS6312XGP-4XS8GT（8GE PoE+4×10G）</t>
        </is>
      </c>
      <c r="F4" s="3" t="inlineStr">
        <is>
          <t>$169 ≈ €156</t>
        </is>
      </c>
      <c r="G4" s="3" t="inlineStr">
        <is>
          <t>≈1/6.7</t>
        </is>
      </c>
    </row>
    <row r="5">
      <c r="A5" s="3" t="inlineStr">
        <is>
          <t>ORing EN50155 12口 10G PoE</t>
        </is>
      </c>
      <c r="B5" s="3" t="inlineStr">
        <is>
          <t>M12，IP30</t>
        </is>
      </c>
      <c r="C5" s="3" t="inlineStr">
        <is>
          <t>spectra.de</t>
        </is>
      </c>
      <c r="D5" s="3" t="inlineStr">
        <is>
          <t>€2,718</t>
        </is>
      </c>
      <c r="E5" s="3" t="inlineStr">
        <is>
          <t>—（铁路线不打）</t>
        </is>
      </c>
      <c r="F5" s="3" t="inlineStr">
        <is>
          <t>—</t>
        </is>
      </c>
      <c r="G5" s="3" t="inlineStr">
        <is>
          <t>—</t>
        </is>
      </c>
    </row>
    <row r="6">
      <c r="A6" s="3" t="inlineStr">
        <is>
          <t>PLANET IGS-5225-4T2S</t>
        </is>
      </c>
      <c r="B6" s="3" t="inlineStr">
        <is>
          <t>4GE+2×1G/2.5G SFP</t>
        </is>
      </c>
      <c r="C6" s="3" t="inlineStr">
        <is>
          <t>fiber24 / shop4power</t>
        </is>
      </c>
      <c r="D6" s="3" t="inlineStr">
        <is>
          <t>€252 / €207</t>
        </is>
      </c>
      <c r="E6" s="3" t="inlineStr">
        <is>
          <t>LT-IS6306G-2GX4GT</t>
        </is>
      </c>
      <c r="F6" s="3" t="inlineStr">
        <is>
          <t>$101 ≈ €93</t>
        </is>
      </c>
      <c r="G6" s="3" t="inlineStr">
        <is>
          <t>≈1/2.4</t>
        </is>
      </c>
    </row>
    <row r="7">
      <c r="A7" s="3" t="inlineStr">
        <is>
          <t>PLANET IGS-5225-4P2S</t>
        </is>
      </c>
      <c r="B7" s="3" t="inlineStr">
        <is>
          <t>4GE PoE + 2 SFP</t>
        </is>
      </c>
      <c r="C7" s="3" t="inlineStr">
        <is>
          <t>fiber24</t>
        </is>
      </c>
      <c r="D7" s="3" t="inlineStr">
        <is>
          <t>€293</t>
        </is>
      </c>
      <c r="E7" s="3" t="inlineStr">
        <is>
          <t>LT-IS6310GP-2GX8GT</t>
        </is>
      </c>
      <c r="F7" s="3" t="inlineStr">
        <is>
          <t>$110 ≈ €101</t>
        </is>
      </c>
      <c r="G7" s="3" t="inlineStr">
        <is>
          <t>≈1/2.9</t>
        </is>
      </c>
    </row>
    <row r="8">
      <c r="A8" s="3" t="inlineStr">
        <is>
          <t>PLANET IGS-5225-8P2T2S</t>
        </is>
      </c>
      <c r="B8" s="3" t="inlineStr">
        <is>
          <t>8 PoE</t>
        </is>
      </c>
      <c r="C8" s="3" t="inlineStr">
        <is>
          <t>fiber24</t>
        </is>
      </c>
      <c r="D8" s="3" t="inlineStr">
        <is>
          <t>€469</t>
        </is>
      </c>
      <c r="E8" s="3" t="inlineStr">
        <is>
          <t>LT-IS6312XGP-4XS8GT</t>
        </is>
      </c>
      <c r="F8" s="3" t="inlineStr">
        <is>
          <t>$130 ≈ €120</t>
        </is>
      </c>
      <c r="G8" s="3" t="inlineStr">
        <is>
          <t>≈1/3.9</t>
        </is>
      </c>
    </row>
    <row r="9">
      <c r="A9" s="3" t="inlineStr">
        <is>
          <t>PLANET IGS-5225-8T2S2X</t>
        </is>
      </c>
      <c r="B9" s="3" t="inlineStr">
        <is>
          <t>8GE+2SFP+2×10G SFP+</t>
        </is>
      </c>
      <c r="C9" s="3" t="inlineStr">
        <is>
          <t>fiber24</t>
        </is>
      </c>
      <c r="D9" s="3" t="inlineStr">
        <is>
          <t>€540</t>
        </is>
      </c>
      <c r="E9" s="3" t="inlineStr">
        <is>
          <t>LT-IS6312XG-4XS8GT</t>
        </is>
      </c>
      <c r="F9" s="3" t="inlineStr">
        <is>
          <t>$118 ≈ €109</t>
        </is>
      </c>
      <c r="G9" s="3" t="inlineStr">
        <is>
          <t>≈1/5</t>
        </is>
      </c>
    </row>
    <row r="10">
      <c r="A10" s="3" t="inlineStr">
        <is>
          <t>Moxa EDS-405A</t>
        </is>
      </c>
      <c r="B10" s="3" t="inlineStr">
        <is>
          <t>5×FE managed，Turbo Ring</t>
        </is>
      </c>
      <c r="C10" s="3" t="inlineStr">
        <is>
          <t>TME（波）/ RSP（美）</t>
        </is>
      </c>
      <c r="D10" s="3" t="inlineStr">
        <is>
          <t>€429 / $654</t>
        </is>
      </c>
      <c r="E10" s="3" t="inlineStr">
        <is>
          <t>LT-IS3210G-2GX8GT 或 LT-IS6310G</t>
        </is>
      </c>
      <c r="F10" s="3" t="inlineStr">
        <is>
          <t>$99 ≈ €91</t>
        </is>
      </c>
      <c r="G10" s="3" t="inlineStr">
        <is>
          <t>≈1/4.7</t>
        </is>
      </c>
    </row>
    <row r="11">
      <c r="A11" s="3" t="inlineStr">
        <is>
          <t>StarTech IE-5G-INDUSTRIAL</t>
        </is>
      </c>
      <c r="B11" s="3" t="inlineStr">
        <is>
          <t>5口非管理工业</t>
        </is>
      </c>
      <c r="C11" s="3" t="inlineStr">
        <is>
          <t>捷克电商</t>
        </is>
      </c>
      <c r="D11" s="3" t="inlineStr">
        <is>
          <t>≈€86–100（2,179–2,525 CZK）</t>
        </is>
      </c>
      <c r="E11" s="3" t="inlineStr">
        <is>
          <t>LT-IS3206G-2GX4GT</t>
        </is>
      </c>
      <c r="F11" s="3" t="inlineStr">
        <is>
          <t>$45 ≈ €42</t>
        </is>
      </c>
      <c r="G11" s="3" t="inlineStr">
        <is>
          <t>（非管理，不比）</t>
        </is>
      </c>
    </row>
    <row r="12">
      <c r="A12" s="3" t="inlineStr">
        <is>
          <t>TRENDnet TI-PG102</t>
        </is>
      </c>
      <c r="B12" s="3" t="inlineStr">
        <is>
          <t>PoE++</t>
        </is>
      </c>
      <c r="C12" s="3" t="inlineStr">
        <is>
          <t>捷克电商</t>
        </is>
      </c>
      <c r="D12" s="3" t="inlineStr">
        <is>
          <t>≈€418（10,458 CZK）</t>
        </is>
      </c>
      <c r="E12" s="3" t="inlineStr">
        <is>
          <t>LT-IS6312XGP-4XS8GT-2BT</t>
        </is>
      </c>
      <c r="F12" s="3" t="inlineStr">
        <is>
          <t>$144 ≈ €133</t>
        </is>
      </c>
      <c r="G12" s="3" t="inlineStr">
        <is>
          <t>≈1/3.1</t>
        </is>
      </c>
    </row>
    <row r="13">
      <c r="A13" s="3" t="inlineStr">
        <is>
          <t>Zyxel RGS200-12P</t>
        </is>
      </c>
      <c r="B13" s="3" t="inlineStr">
        <is>
          <t>12口 PoE</t>
        </is>
      </c>
      <c r="C13" s="3" t="inlineStr">
        <is>
          <t>捷克电商</t>
        </is>
      </c>
      <c r="D13" s="3" t="inlineStr">
        <is>
          <t>≈€1,060–1,240（26.6–31k CZK）</t>
        </is>
      </c>
      <c r="E13" s="3" t="inlineStr">
        <is>
          <t>LT-IS6318GP-2GX16GT</t>
        </is>
      </c>
      <c r="F13" s="3" t="inlineStr">
        <is>
          <t>$189 ≈ €174</t>
        </is>
      </c>
      <c r="G13" s="3" t="inlineStr">
        <is>
          <t>≈1/6.5</t>
        </is>
      </c>
    </row>
    <row r="14">
      <c r="A14" s="3" t="inlineStr">
        <is>
          <t>Conexpro GNT-IG1008GP</t>
        </is>
      </c>
      <c r="B14" s="3" t="inlineStr">
        <is>
          <t>8×GE PoE DIN</t>
        </is>
      </c>
      <c r="C14" s="3" t="inlineStr">
        <is>
          <t>TS Bohemia（捷）</t>
        </is>
      </c>
      <c r="D14" s="3" t="inlineStr">
        <is>
          <t>≈€55（1,329–1,468 CZK）</t>
        </is>
      </c>
      <c r="E14" s="3" t="inlineStr">
        <is>
          <t>—</t>
        </is>
      </c>
      <c r="F14" s="3" t="inlineStr">
        <is>
          <t>—</t>
        </is>
      </c>
      <c r="G14" s="3" t="inlineStr">
        <is>
          <t>⚠️ 价格地板，勿硬拼</t>
        </is>
      </c>
    </row>
    <row r="15">
      <c r="A15" s="3" t="inlineStr">
        <is>
          <t>Moxa EDS-G308（8口Gb）</t>
        </is>
      </c>
      <c r="B15" s="3" t="inlineStr">
        <is>
          <t>8×GE 非管理</t>
        </is>
      </c>
      <c r="C15" s="3" t="inlineStr">
        <is>
          <t>Inmac Wstore（法）</t>
        </is>
      </c>
      <c r="D15" s="3" t="inlineStr">
        <is>
          <t>€298</t>
        </is>
      </c>
      <c r="E15" s="3" t="inlineStr">
        <is>
          <t>LT-IS6310G-2GX8GT</t>
        </is>
      </c>
      <c r="F15" s="3" t="inlineStr">
        <is>
          <t>$99 ≈ €91</t>
        </is>
      </c>
      <c r="G15" s="3" t="inlineStr">
        <is>
          <t>≈1/3.3</t>
        </is>
      </c>
    </row>
    <row r="16">
      <c r="A16" s="3" t="inlineStr">
        <is>
          <t>PLANET 工业DIN 8口Gb</t>
        </is>
      </c>
      <c r="B16" s="3" t="inlineStr">
        <is>
          <t>8×GE DIN</t>
        </is>
      </c>
      <c r="C16" s="3" t="inlineStr">
        <is>
          <t>ekanet（西）</t>
        </is>
      </c>
      <c r="D16" s="3" t="inlineStr">
        <is>
          <t>€111（未税）</t>
        </is>
      </c>
      <c r="E16" s="3" t="inlineStr">
        <is>
          <t>LT-IS6310G-2GX8GT</t>
        </is>
      </c>
      <c r="F16" s="3" t="inlineStr">
        <is>
          <t>$99 ≈ €91</t>
        </is>
      </c>
      <c r="G16" s="3" t="inlineStr">
        <is>
          <t>≈1/1.2（需靠10G/管理拉开）</t>
        </is>
      </c>
    </row>
    <row r="17">
      <c r="A17" s="3" t="inlineStr">
        <is>
          <t>PLANET 工业DIN 4口PoE+2SFP</t>
        </is>
      </c>
      <c r="B17" s="3" t="inlineStr">
        <is>
          <t>4GE PoE+2SFP</t>
        </is>
      </c>
      <c r="C17" s="3" t="inlineStr">
        <is>
          <t>ekanet（西）</t>
        </is>
      </c>
      <c r="D17" s="3" t="inlineStr">
        <is>
          <t>€139（未税）</t>
        </is>
      </c>
      <c r="E17" s="3" t="inlineStr">
        <is>
          <t>LT-IS6310GP-2GX8GT</t>
        </is>
      </c>
      <c r="F17" s="3" t="inlineStr">
        <is>
          <t>$110 ≈ €101</t>
        </is>
      </c>
      <c r="G17" s="3" t="inlineStr">
        <is>
          <t>≈1/1.4</t>
        </is>
      </c>
    </row>
    <row r="18">
      <c r="A18" s="3" t="inlineStr">
        <is>
          <t>工业 8口 PoE 130W</t>
        </is>
      </c>
      <c r="B18" s="3" t="inlineStr">
        <is>
          <t>8口PoE DIN</t>
        </is>
      </c>
      <c r="C18" s="3" t="inlineStr">
        <is>
          <t>atecnica（意）</t>
        </is>
      </c>
      <c r="D18" s="3" t="inlineStr">
        <is>
          <t>€71</t>
        </is>
      </c>
      <c r="E18" s="3" t="inlineStr">
        <is>
          <t>LT-IS6312XGP-4XS8GT</t>
        </is>
      </c>
      <c r="F18" s="3" t="inlineStr">
        <is>
          <t>$130 ≈ €120</t>
        </is>
      </c>
      <c r="G18" s="3" t="inlineStr">
        <is>
          <t>⚠️低价对手，不打这款</t>
        </is>
      </c>
    </row>
    <row r="19">
      <c r="A19" s="3" t="inlineStr">
        <is>
          <t>管理型 8口 PoE+2SFP（ERPS/SNMPv3）</t>
        </is>
      </c>
      <c r="B19" s="3" t="inlineStr">
        <is>
          <t>8×1G PoE DIN</t>
        </is>
      </c>
      <c r="C19" s="3" t="inlineStr">
        <is>
          <t>Direktronik（瑞典）</t>
        </is>
      </c>
      <c r="D19" s="3" t="inlineStr">
        <is>
          <t>1,460 SEK ≈ €127</t>
        </is>
      </c>
      <c r="E19" s="3" t="inlineStr">
        <is>
          <t>LT-IS6312XGP-4XS8GT</t>
        </is>
      </c>
      <c r="F19" s="3" t="inlineStr">
        <is>
          <t>$130 ≈ €120</t>
        </is>
      </c>
      <c r="G19" s="3" t="inlineStr">
        <is>
          <t>≈1/1.05 → 必须用10G/PoE++拉开</t>
        </is>
      </c>
    </row>
    <row r="20">
      <c r="A20" s="3" t="inlineStr">
        <is>
          <t>管理型 8×2.5G PoE 90W + 2×10G SFP+</t>
        </is>
      </c>
      <c r="B20" s="3" t="inlineStr">
        <is>
          <t>8口2.5G PoE DIN</t>
        </is>
      </c>
      <c r="C20" s="3" t="inlineStr">
        <is>
          <t>Direktronik（瑞典）</t>
        </is>
      </c>
      <c r="D20" s="3" t="inlineStr">
        <is>
          <t>3,760 SEK ≈ €327</t>
        </is>
      </c>
      <c r="E20" s="3" t="inlineStr">
        <is>
          <t>LT-IS6312XGP-4XS8GT-2BT</t>
        </is>
      </c>
      <c r="F20" s="3" t="inlineStr">
        <is>
          <t>$144 ≈ €133</t>
        </is>
      </c>
      <c r="G20" s="3" t="inlineStr">
        <is>
          <t>≈1/2.5</t>
        </is>
      </c>
    </row>
    <row r="21">
      <c r="A21" s="3" t="inlineStr">
        <is>
          <t>管理型 8口 PoE+ + 12×SFP</t>
        </is>
      </c>
      <c r="B21" s="3" t="inlineStr">
        <is>
          <t>8PoE+12SFP DIN</t>
        </is>
      </c>
      <c r="C21" s="3" t="inlineStr">
        <is>
          <t>Direktronik（瑞典）</t>
        </is>
      </c>
      <c r="D21" s="3" t="inlineStr">
        <is>
          <t>2,850 SEK ≈ €248</t>
        </is>
      </c>
      <c r="E21" s="3" t="inlineStr">
        <is>
          <t>LT-IS6320XG-4XS8GX8GT-D</t>
        </is>
      </c>
      <c r="F21" s="3" t="inlineStr">
        <is>
          <t>$251 ≈ €231</t>
        </is>
      </c>
      <c r="G21" s="3" t="inlineStr">
        <is>
          <t>≈1/1.07</t>
        </is>
      </c>
    </row>
    <row r="22">
      <c r="A22" s="3" t="inlineStr">
        <is>
          <t>TRENDnet TI-E50 / TI-E80</t>
        </is>
      </c>
      <c r="B22" s="3" t="inlineStr">
        <is>
          <t>5/8口FE DIN 非管理（TAA）</t>
        </is>
      </c>
      <c r="C22" s="3" t="inlineStr">
        <is>
          <t>Inmac（法）</t>
        </is>
      </c>
      <c r="D22" s="3" t="inlineStr">
        <is>
          <t>€52 / €70</t>
        </is>
      </c>
      <c r="E22" s="3" t="inlineStr">
        <is>
          <t>—（TAA不碰）</t>
        </is>
      </c>
      <c r="F22" s="3" t="inlineStr">
        <is>
          <t>—</t>
        </is>
      </c>
      <c r="G22" s="3" t="inlineStr">
        <is>
          <t>—</t>
        </is>
      </c>
    </row>
    <row r="23">
      <c r="A23" s="3" t="inlineStr">
        <is>
          <t>StarTech IES51000 / IES5102</t>
        </is>
      </c>
      <c r="B23" s="3" t="inlineStr">
        <is>
          <t>5口Gb / 5口FE 非管理（TAA）</t>
        </is>
      </c>
      <c r="C23" s="3" t="inlineStr">
        <is>
          <t>Inmac（法）</t>
        </is>
      </c>
      <c r="D23" s="3" t="inlineStr">
        <is>
          <t>€182 / €86</t>
        </is>
      </c>
      <c r="E23" s="3" t="inlineStr">
        <is>
          <t>—（TAA不碰）</t>
        </is>
      </c>
      <c r="F23" s="3" t="inlineStr">
        <is>
          <t>—</t>
        </is>
      </c>
      <c r="G23" s="3" t="inlineStr">
        <is>
          <t>—</t>
        </is>
      </c>
    </row>
    <row r="24">
      <c r="A24" s="3" t="inlineStr">
        <is>
          <t>TP-Link Omada IES206GPP</t>
        </is>
      </c>
      <c r="B24" s="3" t="inlineStr">
        <is>
          <t>6口Gb Easy Managed + PoE++，云管理</t>
        </is>
      </c>
      <c r="C24" s="3" t="inlineStr">
        <is>
          <t>Omada 北欧站</t>
        </is>
      </c>
      <c r="D24" s="3" t="inlineStr">
        <is>
          <t>（工业线新进入者）</t>
        </is>
      </c>
      <c r="E24" s="3" t="inlineStr">
        <is>
          <t>LT-IS6310GP-2GX8GT-2BT</t>
        </is>
      </c>
      <c r="F24" s="3" t="inlineStr">
        <is>
          <t>$124 ≈ €114</t>
        </is>
      </c>
      <c r="G24" s="3" t="inlineStr">
        <is>
          <t>⚠️威胁：云+品牌，打ERPS/CLI/无云锁定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12" customWidth="1" min="5" max="5"/>
    <col width="16" customWidth="1" min="6" max="6"/>
    <col width="30" customWidth="1" min="7" max="7"/>
  </cols>
  <sheetData>
    <row r="1">
      <c r="A1" s="2" t="inlineStr">
        <is>
          <t>类别</t>
        </is>
      </c>
      <c r="B1" s="2" t="inlineStr">
        <is>
          <t>SmartByte型号</t>
        </is>
      </c>
      <c r="C1" s="2" t="inlineStr">
        <is>
          <t>关键规格</t>
        </is>
      </c>
      <c r="D1" s="2" t="inlineStr">
        <is>
          <t>¥未税(2026.09.01-12.30)</t>
        </is>
      </c>
      <c r="E1" s="2" t="inlineStr">
        <is>
          <t>$进价(7.1)</t>
        </is>
      </c>
      <c r="F1" s="2" t="inlineStr">
        <is>
          <t>$建议卖价(+30%)</t>
        </is>
      </c>
      <c r="G1" s="2" t="inlineStr">
        <is>
          <t>⭐主推客户</t>
        </is>
      </c>
    </row>
    <row r="2">
      <c r="A2" s="3" t="inlineStr">
        <is>
          <t>商业L2+ 走量</t>
        </is>
      </c>
      <c r="B2" s="3" t="inlineStr">
        <is>
          <t>LT-S8328G-4GX24GT-S</t>
        </is>
      </c>
      <c r="C2" s="3" t="inlineStr">
        <is>
          <t>24×GE + 4×1G/2.5G SFP（AC5爆款）</t>
        </is>
      </c>
      <c r="D2" s="3" t="n">
        <v>460</v>
      </c>
      <c r="E2" s="3" t="n">
        <v>65</v>
      </c>
      <c r="F2" s="3" t="n">
        <v>85</v>
      </c>
      <c r="G2" s="3" t="inlineStr">
        <is>
          <t>2direct / Nedis</t>
        </is>
      </c>
    </row>
    <row r="3">
      <c r="A3" s="3" t="inlineStr">
        <is>
          <t>商业L2+</t>
        </is>
      </c>
      <c r="B3" s="3" t="inlineStr">
        <is>
          <t>LT-S8310GP-2GX8GT</t>
        </is>
      </c>
      <c r="C3" s="3" t="inlineStr">
        <is>
          <t>8×GE PoE + 4 SFP，120W</t>
        </is>
      </c>
      <c r="D3" s="3" t="n">
        <v>450</v>
      </c>
      <c r="E3" s="3" t="n">
        <v>63</v>
      </c>
      <c r="F3" s="3" t="n">
        <v>82</v>
      </c>
      <c r="G3" s="3" t="inlineStr">
        <is>
          <t>Nedis / Intos</t>
        </is>
      </c>
    </row>
    <row r="4">
      <c r="A4" s="3" t="inlineStr">
        <is>
          <t>商业L2+</t>
        </is>
      </c>
      <c r="B4" s="3" t="inlineStr">
        <is>
          <t>LT-S8328GP-4GX24GT-S</t>
        </is>
      </c>
      <c r="C4" s="3" t="inlineStr">
        <is>
          <t>24×GE PoE + 4 SFP，280W</t>
        </is>
      </c>
      <c r="D4" s="3" t="n">
        <v>750</v>
      </c>
      <c r="E4" s="3" t="n">
        <v>106</v>
      </c>
      <c r="F4" s="3" t="n">
        <v>138</v>
      </c>
      <c r="G4" s="3" t="inlineStr">
        <is>
          <t>2direct / Intos</t>
        </is>
      </c>
    </row>
    <row r="5">
      <c r="A5" s="3" t="inlineStr">
        <is>
          <t>商业L2+</t>
        </is>
      </c>
      <c r="B5" s="3" t="inlineStr">
        <is>
          <t>LT-S8328GP-4GX24GT</t>
        </is>
      </c>
      <c r="C5" s="3" t="inlineStr">
        <is>
          <t>24×GE PoE + 4 SFP，440W</t>
        </is>
      </c>
      <c r="D5" s="3" t="n">
        <v>1200</v>
      </c>
      <c r="E5" s="3" t="n">
        <v>169</v>
      </c>
      <c r="F5" s="3" t="n">
        <v>220</v>
      </c>
      <c r="G5" s="3" t="inlineStr">
        <is>
          <t>Intos（对标其380W款）</t>
        </is>
      </c>
    </row>
    <row r="6">
      <c r="A6" s="3" t="inlineStr">
        <is>
          <t>商业L2+ ⭐</t>
        </is>
      </c>
      <c r="B6" s="3" t="inlineStr">
        <is>
          <t>LT-S8328XG-4XS24GT-S</t>
        </is>
      </c>
      <c r="C6" s="3" t="inlineStr">
        <is>
          <t>24×GE + 4×10G SFP+（AC5爆款）</t>
        </is>
      </c>
      <c r="D6" s="3" t="n">
        <v>710</v>
      </c>
      <c r="E6" s="3" t="n">
        <v>100</v>
      </c>
      <c r="F6" s="3" t="n">
        <v>130</v>
      </c>
      <c r="G6" s="3" t="inlineStr">
        <is>
          <t>ASSMANN / Nedis / IC Intracom</t>
        </is>
      </c>
    </row>
    <row r="7">
      <c r="A7" s="3" t="inlineStr">
        <is>
          <t>商业L2+ ⭐</t>
        </is>
      </c>
      <c r="B7" s="3" t="inlineStr">
        <is>
          <t>LT-S8328XGP-4XS24GT-S</t>
        </is>
      </c>
      <c r="C7" s="3" t="inlineStr">
        <is>
          <t>24×GE PoE + 4×10G SFP+，280W</t>
        </is>
      </c>
      <c r="D7" s="3" t="n">
        <v>1010</v>
      </c>
      <c r="E7" s="3" t="n">
        <v>142</v>
      </c>
      <c r="F7" s="3" t="n">
        <v>185</v>
      </c>
      <c r="G7" s="3" t="inlineStr">
        <is>
          <t>ASSMANN / IC Intracom</t>
        </is>
      </c>
    </row>
    <row r="8">
      <c r="A8" s="3" t="inlineStr">
        <is>
          <t>商业L2+</t>
        </is>
      </c>
      <c r="B8" s="3" t="inlineStr">
        <is>
          <t>LT-S8352G-4GX48GT</t>
        </is>
      </c>
      <c r="C8" s="3" t="inlineStr">
        <is>
          <t>48×GE + 4 SFP</t>
        </is>
      </c>
      <c r="D8" s="3" t="n">
        <v>1320</v>
      </c>
      <c r="E8" s="3" t="n">
        <v>186</v>
      </c>
      <c r="F8" s="3" t="n">
        <v>242</v>
      </c>
      <c r="G8" s="3" t="inlineStr">
        <is>
          <t>DDC / Intos</t>
        </is>
      </c>
    </row>
    <row r="9">
      <c r="A9" s="3" t="inlineStr">
        <is>
          <t>商业L2+</t>
        </is>
      </c>
      <c r="B9" s="3" t="inlineStr">
        <is>
          <t>LT-S8352GP-4GX48GT</t>
        </is>
      </c>
      <c r="C9" s="3" t="inlineStr">
        <is>
          <t>48×GE PoE + 4 SFP，440W</t>
        </is>
      </c>
      <c r="D9" s="3" t="n">
        <v>1720</v>
      </c>
      <c r="E9" s="3" t="n">
        <v>242</v>
      </c>
      <c r="F9" s="3" t="n">
        <v>315</v>
      </c>
      <c r="G9" s="3" t="inlineStr">
        <is>
          <t>DDC</t>
        </is>
      </c>
    </row>
    <row r="10">
      <c r="A10" s="3" t="inlineStr">
        <is>
          <t>商业L2+</t>
        </is>
      </c>
      <c r="B10" s="3" t="inlineStr">
        <is>
          <t>LT-S8352XG-4XS48GT</t>
        </is>
      </c>
      <c r="C10" s="3" t="inlineStr">
        <is>
          <t>48×GE + 4×10G SFP+</t>
        </is>
      </c>
      <c r="D10" s="3" t="n">
        <v>1470</v>
      </c>
      <c r="E10" s="3" t="n">
        <v>207</v>
      </c>
      <c r="F10" s="3" t="n">
        <v>269</v>
      </c>
      <c r="G10" s="3" t="inlineStr">
        <is>
          <t>DDC</t>
        </is>
      </c>
    </row>
    <row r="11">
      <c r="A11" s="3" t="inlineStr">
        <is>
          <t>商业L2+</t>
        </is>
      </c>
      <c r="B11" s="3" t="inlineStr">
        <is>
          <t>LT-S8352XGP-4XS48GT</t>
        </is>
      </c>
      <c r="C11" s="3" t="inlineStr">
        <is>
          <t>48×GE PoE + 4×10G，440W/850W</t>
        </is>
      </c>
      <c r="D11" s="3" t="n">
        <v>1870</v>
      </c>
      <c r="E11" s="3" t="n">
        <v>263</v>
      </c>
      <c r="F11" s="3" t="n">
        <v>342</v>
      </c>
      <c r="G11" s="3" t="inlineStr">
        <is>
          <t>DDC / Intos</t>
        </is>
      </c>
    </row>
    <row r="12">
      <c r="A12" s="3" t="inlineStr">
        <is>
          <t>商业L3</t>
        </is>
      </c>
      <c r="B12" s="3" t="inlineStr">
        <is>
          <t>LT-S8528XG-4XS24GT</t>
        </is>
      </c>
      <c r="C12" s="3" t="inlineStr">
        <is>
          <t>L3，24×GE + 4×10G</t>
        </is>
      </c>
      <c r="D12" s="3" t="n">
        <v>1500</v>
      </c>
      <c r="E12" s="3" t="n">
        <v>211</v>
      </c>
      <c r="F12" s="3" t="n">
        <v>274</v>
      </c>
      <c r="G12" s="3" t="inlineStr">
        <is>
          <t>DDC（他们没有L3）</t>
        </is>
      </c>
    </row>
    <row r="13">
      <c r="A13" s="3" t="inlineStr">
        <is>
          <t>商业L3</t>
        </is>
      </c>
      <c r="B13" s="3" t="inlineStr">
        <is>
          <t>LT-S8528XGP-4XS24GT</t>
        </is>
      </c>
      <c r="C13" s="3" t="inlineStr">
        <is>
          <t>L3 PoE，400W</t>
        </is>
      </c>
      <c r="D13" s="3" t="n">
        <v>1900</v>
      </c>
      <c r="E13" s="3" t="n">
        <v>268</v>
      </c>
      <c r="F13" s="3" t="n">
        <v>348</v>
      </c>
      <c r="G13" s="3" t="inlineStr">
        <is>
          <t>DDC</t>
        </is>
      </c>
    </row>
    <row r="14">
      <c r="A14" s="3" t="inlineStr">
        <is>
          <t>商业L3</t>
        </is>
      </c>
      <c r="B14" s="3" t="inlineStr">
        <is>
          <t>LT-S8552XG-4XS48GT</t>
        </is>
      </c>
      <c r="C14" s="3" t="inlineStr">
        <is>
          <t>L3 48×GE + 4×10G</t>
        </is>
      </c>
      <c r="D14" s="3" t="n">
        <v>2600</v>
      </c>
      <c r="E14" s="3" t="n">
        <v>366</v>
      </c>
      <c r="F14" s="3" t="n">
        <v>476</v>
      </c>
      <c r="G14" s="3" t="inlineStr">
        <is>
          <t>DDC</t>
        </is>
      </c>
    </row>
    <row r="15">
      <c r="A15" s="3" t="inlineStr">
        <is>
          <t>商业L3</t>
        </is>
      </c>
      <c r="B15" s="3" t="inlineStr">
        <is>
          <t>LT-S8552XGP-4XS48GT</t>
        </is>
      </c>
      <c r="C15" s="3" t="inlineStr">
        <is>
          <t>L3 48×GE PoE，400W</t>
        </is>
      </c>
      <c r="D15" s="3" t="n">
        <v>3100</v>
      </c>
      <c r="E15" s="3" t="n">
        <v>437</v>
      </c>
      <c r="F15" s="3" t="n">
        <v>568</v>
      </c>
      <c r="G15" s="3" t="inlineStr">
        <is>
          <t>IC Intracom（试探高端）</t>
        </is>
      </c>
    </row>
    <row r="16">
      <c r="A16" s="3" t="inlineStr">
        <is>
          <t>工业L2+</t>
        </is>
      </c>
      <c r="B16" s="3" t="inlineStr">
        <is>
          <t>LT-IS6306GP-2GX4GT</t>
        </is>
      </c>
      <c r="C16" s="3" t="inlineStr">
        <is>
          <t>4×GE PoE + 2 SFP，DC12~58V</t>
        </is>
      </c>
      <c r="D16" s="3" t="n">
        <v>720</v>
      </c>
      <c r="E16" s="3" t="n">
        <v>101</v>
      </c>
      <c r="F16" s="3" t="n">
        <v>132</v>
      </c>
      <c r="G16" s="3" t="inlineStr">
        <is>
          <t>工业入门</t>
        </is>
      </c>
    </row>
    <row r="17">
      <c r="A17" s="3" t="inlineStr">
        <is>
          <t>工业L2+</t>
        </is>
      </c>
      <c r="B17" s="3" t="inlineStr">
        <is>
          <t>LT-IS6310GP-2GX8GT</t>
        </is>
      </c>
      <c r="C17" s="3" t="inlineStr">
        <is>
          <t>8×GE PoE + 2 SFP</t>
        </is>
      </c>
      <c r="D17" s="3" t="n">
        <v>780</v>
      </c>
      <c r="E17" s="3" t="n">
        <v>110</v>
      </c>
      <c r="F17" s="3" t="n">
        <v>143</v>
      </c>
      <c r="G17" s="3" t="inlineStr">
        <is>
          <t>2direct / Nedis</t>
        </is>
      </c>
    </row>
    <row r="18">
      <c r="A18" s="3" t="inlineStr">
        <is>
          <t>工业L2+</t>
        </is>
      </c>
      <c r="B18" s="3" t="inlineStr">
        <is>
          <t>LT-IS6312GP-4GX8GT</t>
        </is>
      </c>
      <c r="C18" s="3" t="inlineStr">
        <is>
          <t>8×GE PoE + 4 SFP</t>
        </is>
      </c>
      <c r="D18" s="3" t="n">
        <v>820</v>
      </c>
      <c r="E18" s="3" t="n">
        <v>115</v>
      </c>
      <c r="F18" s="3" t="n">
        <v>150</v>
      </c>
      <c r="G18" s="3" t="inlineStr">
        <is>
          <t>工业走量</t>
        </is>
      </c>
    </row>
    <row r="19">
      <c r="A19" s="3" t="inlineStr">
        <is>
          <t>工业L2+</t>
        </is>
      </c>
      <c r="B19" s="3" t="inlineStr">
        <is>
          <t>LT-IS6318GP-2GX16GT</t>
        </is>
      </c>
      <c r="C19" s="3" t="inlineStr">
        <is>
          <t>16×GE PoE + 2 SFP</t>
        </is>
      </c>
      <c r="D19" s="3" t="n">
        <v>1340</v>
      </c>
      <c r="E19" s="3" t="n">
        <v>189</v>
      </c>
      <c r="F19" s="3" t="n">
        <v>245</v>
      </c>
      <c r="G19" s="3" t="inlineStr">
        <is>
          <t>集成商</t>
        </is>
      </c>
    </row>
    <row r="20">
      <c r="A20" s="3" t="inlineStr">
        <is>
          <t>工业L2+</t>
        </is>
      </c>
      <c r="B20" s="3" t="inlineStr">
        <is>
          <t>LT-IS6320GP-4GX16GT-D</t>
        </is>
      </c>
      <c r="C20" s="3" t="inlineStr">
        <is>
          <t>16×GE PoE + DI/DO/RS485</t>
        </is>
      </c>
      <c r="D20" s="3" t="n">
        <v>1760</v>
      </c>
      <c r="E20" s="3" t="n">
        <v>248</v>
      </c>
      <c r="F20" s="3" t="n">
        <v>322</v>
      </c>
      <c r="G20" s="3" t="inlineStr">
        <is>
          <t>IC Intracom / ITS集成商</t>
        </is>
      </c>
    </row>
    <row r="21">
      <c r="A21" s="3" t="inlineStr">
        <is>
          <t>工业L2+</t>
        </is>
      </c>
      <c r="B21" s="3" t="inlineStr">
        <is>
          <t>LT-IS6328GP-4GX24GT</t>
        </is>
      </c>
      <c r="C21" s="3" t="inlineStr">
        <is>
          <t>24×GE PoE + DI/DO/RS485</t>
        </is>
      </c>
      <c r="D21" s="3" t="n">
        <v>1900</v>
      </c>
      <c r="E21" s="3" t="n">
        <v>268</v>
      </c>
      <c r="F21" s="3" t="n">
        <v>348</v>
      </c>
      <c r="G21" s="3" t="inlineStr">
        <is>
          <t>ITS / 电力配套</t>
        </is>
      </c>
    </row>
    <row r="22">
      <c r="A22" s="3" t="inlineStr">
        <is>
          <t>工业L2+ 10G ⭐</t>
        </is>
      </c>
      <c r="B22" s="3" t="inlineStr">
        <is>
          <t>LT-IS6312XG-4XS8GT</t>
        </is>
      </c>
      <c r="C22" s="3" t="inlineStr">
        <is>
          <t>8×GE + 4×10G SFP+，-40~75℃</t>
        </is>
      </c>
      <c r="D22" s="3" t="n">
        <v>840</v>
      </c>
      <c r="E22" s="3" t="n">
        <v>118</v>
      </c>
      <c r="F22" s="3" t="n">
        <v>154</v>
      </c>
      <c r="G22" s="3" t="inlineStr">
        <is>
          <t>ASSMANN / Intos</t>
        </is>
      </c>
    </row>
    <row r="23">
      <c r="A23" s="3" t="inlineStr">
        <is>
          <t>工业L2+ 10G ⭐</t>
        </is>
      </c>
      <c r="B23" s="3" t="inlineStr">
        <is>
          <t>LT-IS6312XGP-4XS8GT</t>
        </is>
      </c>
      <c r="C23" s="3" t="inlineStr">
        <is>
          <t>8×GE PoE + 4×10G SFP+</t>
        </is>
      </c>
      <c r="D23" s="3" t="n">
        <v>920</v>
      </c>
      <c r="E23" s="3" t="n">
        <v>130</v>
      </c>
      <c r="F23" s="3" t="n">
        <v>169</v>
      </c>
      <c r="G23" s="3" t="inlineStr">
        <is>
          <t>Intos / 工业PoE项目</t>
        </is>
      </c>
    </row>
    <row r="24">
      <c r="A24" s="3" t="inlineStr">
        <is>
          <t>工业L2+ 10G</t>
        </is>
      </c>
      <c r="B24" s="3" t="inlineStr">
        <is>
          <t>LT-IS6312XGP-4XS8GT-2BT</t>
        </is>
      </c>
      <c r="C24" s="3" t="inlineStr">
        <is>
          <t>+ PoE++（1-2口）</t>
        </is>
      </c>
      <c r="D24" s="3" t="n">
        <v>1020</v>
      </c>
      <c r="E24" s="3" t="n">
        <v>144</v>
      </c>
      <c r="F24" s="3" t="n">
        <v>187</v>
      </c>
      <c r="G24" s="3" t="inlineStr">
        <is>
          <t>PoE++ 场景</t>
        </is>
      </c>
    </row>
    <row r="25">
      <c r="A25" s="3" t="inlineStr">
        <is>
          <t>工业L2+ 10G</t>
        </is>
      </c>
      <c r="B25" s="3" t="inlineStr">
        <is>
          <t>LT-IS6318XGP-2XS16GT</t>
        </is>
      </c>
      <c r="C25" s="3" t="inlineStr">
        <is>
          <t>16×GE PoE + 2×10G</t>
        </is>
      </c>
      <c r="D25" s="3" t="n">
        <v>1660</v>
      </c>
      <c r="E25" s="3" t="n">
        <v>234</v>
      </c>
      <c r="F25" s="3" t="n">
        <v>304</v>
      </c>
      <c r="G25" s="3" t="inlineStr">
        <is>
          <t>集成商</t>
        </is>
      </c>
    </row>
    <row r="26">
      <c r="A26" s="3" t="inlineStr">
        <is>
          <t>工业L2+ 10G</t>
        </is>
      </c>
      <c r="B26" s="3" t="inlineStr">
        <is>
          <t>LT-IS6320XG-4XS8GX8GT-D</t>
        </is>
      </c>
      <c r="C26" s="3" t="inlineStr">
        <is>
          <t>8×GE + 8 SFP + 4×10G，DI/DO/RS485</t>
        </is>
      </c>
      <c r="D26" s="3" t="n">
        <v>1780</v>
      </c>
      <c r="E26" s="3" t="n">
        <v>251</v>
      </c>
      <c r="F26" s="3" t="n">
        <v>326</v>
      </c>
      <c r="G26" s="3" t="inlineStr">
        <is>
          <t>ITS 机柜</t>
        </is>
      </c>
    </row>
    <row r="27">
      <c r="A27" s="3" t="inlineStr">
        <is>
          <t>工业L2+ 10G</t>
        </is>
      </c>
      <c r="B27" s="3" t="inlineStr">
        <is>
          <t>LT-IS6328XGP-4XS24GT</t>
        </is>
      </c>
      <c r="C27" s="3" t="inlineStr">
        <is>
          <t>24×GE PoE + 4×10G</t>
        </is>
      </c>
      <c r="D27" s="3" t="n">
        <v>2200</v>
      </c>
      <c r="E27" s="3" t="n">
        <v>310</v>
      </c>
      <c r="F27" s="3" t="n">
        <v>403</v>
      </c>
      <c r="G27" s="3" t="inlineStr">
        <is>
          <t>DDC</t>
        </is>
      </c>
    </row>
    <row r="28">
      <c r="A28" s="3" t="inlineStr">
        <is>
          <t>工业L2+ 10G</t>
        </is>
      </c>
      <c r="B28" s="3" t="inlineStr">
        <is>
          <t>LT-IS6328XGP-4XS24GT-4BT</t>
        </is>
      </c>
      <c r="C28" s="3" t="inlineStr">
        <is>
          <t>+ PoE++（1-4口）</t>
        </is>
      </c>
      <c r="D28" s="3" t="n">
        <v>2400</v>
      </c>
      <c r="E28" s="3" t="n">
        <v>338</v>
      </c>
      <c r="F28" s="3" t="n">
        <v>439</v>
      </c>
      <c r="G28" s="3" t="inlineStr">
        <is>
          <t>PoE++ 场景</t>
        </is>
      </c>
    </row>
    <row r="29">
      <c r="A29" s="3" t="inlineStr">
        <is>
          <t>工业L3</t>
        </is>
      </c>
      <c r="B29" s="3" t="inlineStr">
        <is>
          <t>LT-IS6520XGP-4XS16GT</t>
        </is>
      </c>
      <c r="C29" s="3" t="inlineStr">
        <is>
          <t>L3 16×GE PoE + 4×10G</t>
        </is>
      </c>
      <c r="D29" s="3" t="n">
        <v>2510</v>
      </c>
      <c r="E29" s="3" t="n">
        <v>354</v>
      </c>
      <c r="F29" s="3" t="n">
        <v>460</v>
      </c>
      <c r="G29" s="3" t="inlineStr">
        <is>
          <t>工业L3项目</t>
        </is>
      </c>
    </row>
    <row r="30">
      <c r="A30" s="3" t="inlineStr">
        <is>
          <t>工业L3</t>
        </is>
      </c>
      <c r="B30" s="3" t="inlineStr">
        <is>
          <t>LT-IS6528XGP-4XS24GT</t>
        </is>
      </c>
      <c r="C30" s="3" t="inlineStr">
        <is>
          <t>L3 24×GE PoE + 4×10G</t>
        </is>
      </c>
      <c r="D30" s="3" t="n">
        <v>2700</v>
      </c>
      <c r="E30" s="3" t="n">
        <v>380</v>
      </c>
      <c r="F30" s="3" t="n">
        <v>494</v>
      </c>
      <c r="G30" s="3" t="inlineStr">
        <is>
          <t>工业L3项目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44" customWidth="1" min="4" max="4"/>
    <col width="14" customWidth="1" min="5" max="5"/>
    <col width="20" customWidth="1" min="6" max="6"/>
    <col width="16" customWidth="1" min="7" max="7"/>
    <col width="18" customWidth="1" min="8" max="8"/>
    <col width="10" customWidth="1" min="9" max="9"/>
    <col width="16" customWidth="1" min="10" max="10"/>
  </cols>
  <sheetData>
    <row r="1">
      <c r="A1" t="inlineStr">
        <is>
          <t>说明：来自仓库 MikroTik_L2Plus_Switches.xlsx 去重后 49 款（抓取值，可能有误）；'实测价' 列为 2026-09 官网核实值。</t>
        </is>
      </c>
    </row>
    <row r="2">
      <c r="A2" s="2" t="inlineStr">
        <is>
          <t>型号</t>
        </is>
      </c>
      <c r="B2" s="2" t="inlineStr">
        <is>
          <t>抓取价格</t>
        </is>
      </c>
      <c r="C2" s="2" t="inlineStr">
        <is>
          <t>实测价 ✅</t>
        </is>
      </c>
      <c r="D2" s="2" t="inlineStr">
        <is>
          <t>端口配置</t>
        </is>
      </c>
      <c r="E2" s="2" t="inlineStr">
        <is>
          <t>交换芯片</t>
        </is>
      </c>
      <c r="F2" s="2" t="inlineStr">
        <is>
          <t>OS</t>
        </is>
      </c>
      <c r="G2" s="2" t="inlineStr">
        <is>
          <t>工作温度</t>
        </is>
      </c>
      <c r="H2" s="2" t="inlineStr">
        <is>
          <t>PoE 输出</t>
        </is>
      </c>
      <c r="I2" s="2" t="inlineStr">
        <is>
          <t>PoE 预算</t>
        </is>
      </c>
      <c r="J2" s="2" t="inlineStr">
        <is>
          <t>分段/备注</t>
        </is>
      </c>
    </row>
    <row r="3">
      <c r="A3" s="3" t="inlineStr">
        <is>
          <t>CRS106-1C-5S</t>
        </is>
      </c>
      <c r="B3" s="3" t="inlineStr">
        <is>
          <t>$89.00</t>
        </is>
      </c>
      <c r="C3" s="3" t="inlineStr"/>
      <c r="D3" s="3" t="inlineStr">
        <is>
          <t>1x Combo (GbE/SFP), 5x SFP (1G)</t>
        </is>
      </c>
      <c r="E3" s="3" t="inlineStr">
        <is>
          <t>QCA8511</t>
        </is>
      </c>
      <c r="F3" s="3" t="inlineStr">
        <is>
          <t>RouterOS v7 / SwOS</t>
        </is>
      </c>
      <c r="G3" s="3" t="inlineStr">
        <is>
          <t>-20°C to +60°C</t>
        </is>
      </c>
      <c r="H3" s="3" t="inlineStr"/>
      <c r="I3" s="3" t="inlineStr"/>
      <c r="J3" s="3" t="inlineStr"/>
    </row>
    <row r="4">
      <c r="A4" s="3" t="inlineStr">
        <is>
          <t>CRS112-8G-4S-IN</t>
        </is>
      </c>
      <c r="B4" s="3" t="inlineStr">
        <is>
          <t>$119.00</t>
        </is>
      </c>
      <c r="C4" s="3" t="inlineStr"/>
      <c r="D4" s="3" t="inlineStr">
        <is>
          <t>8x GbE RJ45, 4x SFP (1G)</t>
        </is>
      </c>
      <c r="E4" s="3" t="inlineStr">
        <is>
          <t>QCA8513</t>
        </is>
      </c>
      <c r="F4" s="3" t="inlineStr">
        <is>
          <t>RouterOS v7 / SwOS</t>
        </is>
      </c>
      <c r="G4" s="3" t="inlineStr">
        <is>
          <t>-20°C to +60°C</t>
        </is>
      </c>
      <c r="H4" s="3" t="inlineStr"/>
      <c r="I4" s="3" t="inlineStr"/>
      <c r="J4" s="3" t="inlineStr"/>
    </row>
    <row r="5">
      <c r="A5" s="3" t="inlineStr">
        <is>
          <t>CRS112-8P-4S-IN</t>
        </is>
      </c>
      <c r="B5" s="3" t="inlineStr">
        <is>
          <t>$209.00</t>
        </is>
      </c>
      <c r="C5" s="3" t="inlineStr"/>
      <c r="D5" s="3" t="inlineStr">
        <is>
          <t>8x GbE RJ45, 4x SFP</t>
        </is>
      </c>
      <c r="E5" s="3" t="inlineStr">
        <is>
          <t>QCA8511</t>
        </is>
      </c>
      <c r="F5" s="3" t="inlineStr">
        <is>
          <t>RouterOS</t>
        </is>
      </c>
      <c r="G5" s="3" t="inlineStr">
        <is>
          <t>-20°C to 60°C</t>
        </is>
      </c>
      <c r="H5" s="3" t="inlineStr">
        <is>
          <t>PoE (802.3af)</t>
        </is>
      </c>
      <c r="I5" s="3" t="inlineStr"/>
      <c r="J5" s="3" t="inlineStr"/>
    </row>
    <row r="6">
      <c r="A6" s="3" t="inlineStr">
        <is>
          <t>CRS210-8G-2S+IN</t>
        </is>
      </c>
      <c r="B6" s="3" t="inlineStr">
        <is>
          <t>$229.00</t>
        </is>
      </c>
      <c r="C6" s="3" t="inlineStr"/>
      <c r="D6" s="3" t="inlineStr">
        <is>
          <t>8x GbE RJ45, 2x SFP+</t>
        </is>
      </c>
      <c r="E6" s="3" t="inlineStr">
        <is>
          <t>QCA8519-AC2C</t>
        </is>
      </c>
      <c r="F6" s="3" t="inlineStr">
        <is>
          <t>RouterOS</t>
        </is>
      </c>
      <c r="G6" s="3" t="inlineStr">
        <is>
          <t>-40°C to 70°C</t>
        </is>
      </c>
      <c r="H6" s="3" t="inlineStr">
        <is>
          <t>PoE (802.3af)</t>
        </is>
      </c>
      <c r="I6" s="3" t="inlineStr"/>
      <c r="J6" s="3" t="inlineStr"/>
    </row>
    <row r="7">
      <c r="A7" s="3" t="inlineStr">
        <is>
          <t>CRS212-1G-10S-1S+IN</t>
        </is>
      </c>
      <c r="B7" s="3" t="inlineStr">
        <is>
          <t>$219.00</t>
        </is>
      </c>
      <c r="C7" s="3" t="inlineStr"/>
      <c r="D7" s="3" t="inlineStr">
        <is>
          <t>1x GbE RJ45, 10x SFP, 1x SFP+</t>
        </is>
      </c>
      <c r="E7" s="3" t="inlineStr">
        <is>
          <t>QCA8519</t>
        </is>
      </c>
      <c r="F7" s="3" t="inlineStr">
        <is>
          <t>RouterOS</t>
        </is>
      </c>
      <c r="G7" s="3" t="inlineStr">
        <is>
          <t>-40°C to 70°C</t>
        </is>
      </c>
      <c r="H7" s="3" t="inlineStr"/>
      <c r="I7" s="3" t="inlineStr"/>
      <c r="J7" s="3" t="inlineStr"/>
    </row>
    <row r="8">
      <c r="A8" s="3" t="inlineStr">
        <is>
          <t>CRS304-4XG-IN</t>
        </is>
      </c>
      <c r="B8" s="3" t="inlineStr">
        <is>
          <t>$199.00</t>
        </is>
      </c>
      <c r="C8" s="3" t="inlineStr"/>
      <c r="D8" s="3" t="inlineStr">
        <is>
          <t>4x 10GbE RJ45</t>
        </is>
      </c>
      <c r="E8" s="3" t="inlineStr">
        <is>
          <t>98DX2528</t>
        </is>
      </c>
      <c r="F8" s="3" t="inlineStr">
        <is>
          <t>RouterOS v7</t>
        </is>
      </c>
      <c r="G8" s="3" t="inlineStr">
        <is>
          <t>-40°C to 70°C</t>
        </is>
      </c>
      <c r="H8" s="3" t="inlineStr">
        <is>
          <t>PoE (802.3af)</t>
        </is>
      </c>
      <c r="I8" s="3" t="inlineStr"/>
      <c r="J8" s="3" t="inlineStr"/>
    </row>
    <row r="9">
      <c r="A9" s="3" t="inlineStr">
        <is>
          <t>CRS305-1G-4S+IN</t>
        </is>
      </c>
      <c r="B9" s="3" t="inlineStr">
        <is>
          <t>$149.00</t>
        </is>
      </c>
      <c r="C9" s="3" t="inlineStr"/>
      <c r="D9" s="3" t="inlineStr">
        <is>
          <t>1x GbE RJ45, 4x SFP+</t>
        </is>
      </c>
      <c r="E9" s="3" t="inlineStr">
        <is>
          <t>98DX3236</t>
        </is>
      </c>
      <c r="F9" s="3" t="inlineStr">
        <is>
          <t>RouterOS / SwitchOS</t>
        </is>
      </c>
      <c r="G9" s="3" t="inlineStr">
        <is>
          <t>-40°C to 70°C</t>
        </is>
      </c>
      <c r="H9" s="3" t="inlineStr">
        <is>
          <t>PoE (802.3af)</t>
        </is>
      </c>
      <c r="I9" s="3" t="inlineStr"/>
      <c r="J9" s="3" t="inlineStr"/>
    </row>
    <row r="10">
      <c r="A10" s="3" t="inlineStr">
        <is>
          <t>CRS305-1G-4S+OUT</t>
        </is>
      </c>
      <c r="B10" s="3" t="inlineStr">
        <is>
          <t>$229.00</t>
        </is>
      </c>
      <c r="C10" s="3" t="inlineStr"/>
      <c r="D10" s="3" t="inlineStr"/>
      <c r="E10" s="3" t="inlineStr">
        <is>
          <t>98DX226S</t>
        </is>
      </c>
      <c r="F10" s="3" t="inlineStr">
        <is>
          <t>RouterOS v7 / SwOS</t>
        </is>
      </c>
      <c r="G10" s="3" t="inlineStr">
        <is>
          <t>-40°C to 70°C</t>
        </is>
      </c>
      <c r="H10" s="3" t="inlineStr">
        <is>
          <t>PoE (802.3af)</t>
        </is>
      </c>
      <c r="I10" s="3" t="inlineStr"/>
      <c r="J10" s="3" t="inlineStr"/>
    </row>
    <row r="11">
      <c r="A11" s="3" t="inlineStr">
        <is>
          <t>CRS309-1G-8S+IN</t>
        </is>
      </c>
      <c r="B11" s="3" t="inlineStr">
        <is>
          <t>$269.00</t>
        </is>
      </c>
      <c r="C11" s="3" t="inlineStr"/>
      <c r="D11" s="3" t="inlineStr">
        <is>
          <t>1x GbE RJ45, 8x SFP+</t>
        </is>
      </c>
      <c r="E11" s="3" t="inlineStr">
        <is>
          <t>98DX8208</t>
        </is>
      </c>
      <c r="F11" s="3" t="inlineStr">
        <is>
          <t>RouterOS / SwitchOS</t>
        </is>
      </c>
      <c r="G11" s="3" t="inlineStr">
        <is>
          <t>-40°C to 70°C</t>
        </is>
      </c>
      <c r="H11" s="3" t="inlineStr">
        <is>
          <t>PoE (802.3af)</t>
        </is>
      </c>
      <c r="I11" s="3" t="inlineStr"/>
      <c r="J11" s="3" t="inlineStr">
        <is>
          <t>全光/高速，不打</t>
        </is>
      </c>
    </row>
    <row r="12">
      <c r="A12" s="3" t="inlineStr">
        <is>
          <t>CRS310-1G-5S-4S+IN</t>
        </is>
      </c>
      <c r="B12" s="3" t="inlineStr">
        <is>
          <t>$199.00</t>
        </is>
      </c>
      <c r="C12" s="3" t="inlineStr"/>
      <c r="D12" s="3" t="inlineStr">
        <is>
          <t>1x GbE RJ45, 5x SFP, 5x SFP+</t>
        </is>
      </c>
      <c r="E12" s="3" t="inlineStr">
        <is>
          <t>98DX226S</t>
        </is>
      </c>
      <c r="F12" s="3" t="inlineStr">
        <is>
          <t>RouterOS v7 / SwitchOS</t>
        </is>
      </c>
      <c r="G12" s="3" t="inlineStr">
        <is>
          <t>-40°C to 70°C</t>
        </is>
      </c>
      <c r="H12" s="3" t="inlineStr">
        <is>
          <t>PoE (802.3af)</t>
        </is>
      </c>
      <c r="I12" s="3" t="inlineStr"/>
      <c r="J12" s="3" t="inlineStr"/>
    </row>
    <row r="13">
      <c r="A13" s="3" t="inlineStr">
        <is>
          <t>CRS310-1G-5S-4S+OUT</t>
        </is>
      </c>
      <c r="B13" s="3" t="inlineStr">
        <is>
          <t>$249.00</t>
        </is>
      </c>
      <c r="C13" s="3" t="inlineStr"/>
      <c r="D13" s="3" t="inlineStr">
        <is>
          <t>5x SFP+</t>
        </is>
      </c>
      <c r="E13" s="3" t="inlineStr">
        <is>
          <t>98DX226S</t>
        </is>
      </c>
      <c r="F13" s="3" t="inlineStr">
        <is>
          <t>RouterOS v7 / SwitchOS</t>
        </is>
      </c>
      <c r="G13" s="3" t="inlineStr">
        <is>
          <t>-40°C to 70°C</t>
        </is>
      </c>
      <c r="H13" s="3" t="inlineStr">
        <is>
          <t>PoE (802.3af)</t>
        </is>
      </c>
      <c r="I13" s="3" t="inlineStr"/>
      <c r="J13" s="3" t="inlineStr"/>
    </row>
    <row r="14">
      <c r="A14" s="3" t="inlineStr">
        <is>
          <t>CRS310-8G+2S+IN</t>
        </is>
      </c>
      <c r="B14" s="3" t="inlineStr">
        <is>
          <t>$149.00</t>
        </is>
      </c>
      <c r="C14" s="3" t="inlineStr"/>
      <c r="D14" s="3" t="inlineStr">
        <is>
          <t>8x 2.5GbE RJ45, 2x SFP+ (10G)</t>
        </is>
      </c>
      <c r="E14" s="3" t="inlineStr">
        <is>
          <t>98DX226S</t>
        </is>
      </c>
      <c r="F14" s="3" t="inlineStr">
        <is>
          <t>RouterOS v7 / SwOS</t>
        </is>
      </c>
      <c r="G14" s="3" t="inlineStr">
        <is>
          <t>-40°C to +60°C</t>
        </is>
      </c>
      <c r="H14" s="3" t="inlineStr"/>
      <c r="I14" s="3" t="inlineStr"/>
      <c r="J14" s="3" t="inlineStr"/>
    </row>
    <row r="15">
      <c r="A15" s="3" t="inlineStr">
        <is>
          <t>CRS312-4C+8XG</t>
        </is>
      </c>
      <c r="B15" s="3" t="inlineStr">
        <is>
          <t>$349.00</t>
        </is>
      </c>
      <c r="C15" s="3" t="inlineStr"/>
      <c r="D15" s="3" t="inlineStr">
        <is>
          <t>4x Combo (10G SFP+/RJ45), 8x 10GbE RJ45</t>
        </is>
      </c>
      <c r="E15" s="3" t="inlineStr">
        <is>
          <t>98DX8212</t>
        </is>
      </c>
      <c r="F15" s="3" t="inlineStr">
        <is>
          <t>RouterOS v7 / SwOS</t>
        </is>
      </c>
      <c r="G15" s="3" t="inlineStr">
        <is>
          <t>-20°C to +60°C</t>
        </is>
      </c>
      <c r="H15" s="3" t="inlineStr"/>
      <c r="I15" s="3" t="inlineStr"/>
      <c r="J15" s="3" t="inlineStr">
        <is>
          <t>全光/高速，不打</t>
        </is>
      </c>
    </row>
    <row r="16">
      <c r="A16" s="3" t="inlineStr">
        <is>
          <t>CRS312-4C+8XG-RM</t>
        </is>
      </c>
      <c r="B16" s="3" t="inlineStr">
        <is>
          <t>$699.00</t>
        </is>
      </c>
      <c r="C16" s="3" t="inlineStr"/>
      <c r="D16" s="3" t="inlineStr">
        <is>
          <t>8x 10GbE RJ45, 4x Combo</t>
        </is>
      </c>
      <c r="E16" s="3" t="inlineStr">
        <is>
          <t>98DX8212</t>
        </is>
      </c>
      <c r="F16" s="3" t="inlineStr">
        <is>
          <t>RouterOS v7 / SwitchOS</t>
        </is>
      </c>
      <c r="G16" s="3" t="inlineStr">
        <is>
          <t>-30°C to 70°C</t>
        </is>
      </c>
      <c r="H16" s="3" t="inlineStr"/>
      <c r="I16" s="3" t="inlineStr"/>
      <c r="J16" s="3" t="inlineStr">
        <is>
          <t>全光/高速，不打</t>
        </is>
      </c>
    </row>
    <row r="17">
      <c r="A17" s="3" t="inlineStr">
        <is>
          <t>CRS317-1G-16S+RM</t>
        </is>
      </c>
      <c r="B17" s="3" t="inlineStr">
        <is>
          <t>$499.00</t>
        </is>
      </c>
      <c r="C17" s="3" t="inlineStr"/>
      <c r="D17" s="3" t="inlineStr">
        <is>
          <t>10x GbE RJ45, 16x SFP+</t>
        </is>
      </c>
      <c r="E17" s="3" t="inlineStr">
        <is>
          <t>98DX8216</t>
        </is>
      </c>
      <c r="F17" s="3" t="inlineStr">
        <is>
          <t>RouterOS / SwitchOS</t>
        </is>
      </c>
      <c r="G17" s="3" t="inlineStr">
        <is>
          <t>-20°C to 60°C</t>
        </is>
      </c>
      <c r="H17" s="3" t="inlineStr"/>
      <c r="I17" s="3" t="inlineStr"/>
      <c r="J17" s="3" t="inlineStr">
        <is>
          <t>全光/高速，不打</t>
        </is>
      </c>
    </row>
    <row r="18">
      <c r="A18" s="3" t="inlineStr">
        <is>
          <t>CRS318-16P-2S+OUT</t>
        </is>
      </c>
      <c r="B18" s="3" t="inlineStr">
        <is>
          <t>$279.00</t>
        </is>
      </c>
      <c r="C18" s="3" t="inlineStr"/>
      <c r="D18" s="3" t="inlineStr">
        <is>
          <t>16x GbE RJ45</t>
        </is>
      </c>
      <c r="E18" s="3" t="inlineStr">
        <is>
          <t>98DX226S</t>
        </is>
      </c>
      <c r="F18" s="3" t="inlineStr">
        <is>
          <t>RouterOS / SwitchOS</t>
        </is>
      </c>
      <c r="G18" s="3" t="inlineStr">
        <is>
          <t>-40°C to 70°C</t>
        </is>
      </c>
      <c r="H18" s="3" t="inlineStr">
        <is>
          <t>PoE (802.3af)</t>
        </is>
      </c>
      <c r="I18" s="3" t="inlineStr"/>
      <c r="J18" s="3" t="inlineStr"/>
    </row>
    <row r="19">
      <c r="A19" s="3" t="inlineStr">
        <is>
          <t>CRS318-16P-2S+RM</t>
        </is>
      </c>
      <c r="B19" s="3" t="inlineStr">
        <is>
          <t>$329.00</t>
        </is>
      </c>
      <c r="C19" s="3" t="inlineStr"/>
      <c r="D19" s="3" t="inlineStr">
        <is>
          <t>16x GbE RJ45 (PoE-out), 2x SFP+ (10G)</t>
        </is>
      </c>
      <c r="E19" s="3" t="inlineStr">
        <is>
          <t>98DX3236</t>
        </is>
      </c>
      <c r="F19" s="3" t="inlineStr">
        <is>
          <t>RouterOS v7 / SwOS</t>
        </is>
      </c>
      <c r="G19" s="3" t="inlineStr">
        <is>
          <t>-20°C to +60°C</t>
        </is>
      </c>
      <c r="H19" s="3" t="inlineStr">
        <is>
          <t>PoE+ (802.3af/at/bt)</t>
        </is>
      </c>
      <c r="I19" s="3" t="inlineStr">
        <is>
          <t>300 W</t>
        </is>
      </c>
      <c r="J19" s="3" t="inlineStr"/>
    </row>
    <row r="20">
      <c r="A20" s="3" t="inlineStr">
        <is>
          <t>CRS318-1F</t>
        </is>
      </c>
      <c r="B20" s="3" t="inlineStr">
        <is>
          <t>$169.00</t>
        </is>
      </c>
      <c r="C20" s="3" t="inlineStr"/>
      <c r="D20" s="3" t="inlineStr">
        <is>
          <t>15x 100M Fiber</t>
        </is>
      </c>
      <c r="E20" s="3" t="inlineStr">
        <is>
          <t>98DX224S</t>
        </is>
      </c>
      <c r="F20" s="3" t="inlineStr">
        <is>
          <t>RouterOS / SwitchOS</t>
        </is>
      </c>
      <c r="G20" s="3" t="inlineStr">
        <is>
          <t>-40°C to 70°C</t>
        </is>
      </c>
      <c r="H20" s="3" t="inlineStr">
        <is>
          <t>Passive PoE</t>
        </is>
      </c>
      <c r="I20" s="3" t="inlineStr"/>
      <c r="J20" s="3" t="inlineStr"/>
    </row>
    <row r="21">
      <c r="A21" s="3" t="inlineStr">
        <is>
          <t>CRS318-1Fi-15Fr-2S</t>
        </is>
      </c>
      <c r="B21" s="3" t="inlineStr">
        <is>
          <t>$225.00</t>
        </is>
      </c>
      <c r="C21" s="3" t="inlineStr"/>
      <c r="D21" s="3" t="inlineStr">
        <is>
          <t>15x 100M Fiber, 1x 1G Fiber, 2x SFP</t>
        </is>
      </c>
      <c r="E21" s="3" t="inlineStr">
        <is>
          <t>98DX3236</t>
        </is>
      </c>
      <c r="F21" s="3" t="inlineStr">
        <is>
          <t>RouterOS v7 / SwOS</t>
        </is>
      </c>
      <c r="G21" s="3" t="inlineStr">
        <is>
          <t>-20°C to +70°C</t>
        </is>
      </c>
      <c r="H21" s="3" t="inlineStr"/>
      <c r="I21" s="3" t="inlineStr"/>
      <c r="J21" s="3" t="inlineStr"/>
    </row>
    <row r="22">
      <c r="A22" s="3" t="inlineStr">
        <is>
          <t>CRS320-8P-8B-4S+RM</t>
        </is>
      </c>
      <c r="B22" s="3" t="inlineStr">
        <is>
          <t>$489.00</t>
        </is>
      </c>
      <c r="C22" s="3" t="inlineStr"/>
      <c r="D22" s="3" t="inlineStr">
        <is>
          <t>17x GbE RJ45, 4x SFP+</t>
        </is>
      </c>
      <c r="E22" s="3" t="inlineStr">
        <is>
          <t>98DX226S</t>
        </is>
      </c>
      <c r="F22" s="3" t="inlineStr">
        <is>
          <t>RouterOS v7 / SwitchOS</t>
        </is>
      </c>
      <c r="G22" s="3" t="inlineStr">
        <is>
          <t>-10°C to 50°C</t>
        </is>
      </c>
      <c r="H22" s="3" t="inlineStr">
        <is>
          <t>PoE+ (802.3bt)</t>
        </is>
      </c>
      <c r="I22" s="3" t="inlineStr"/>
      <c r="J22" s="3" t="inlineStr"/>
    </row>
    <row r="23">
      <c r="A23" s="3" t="inlineStr">
        <is>
          <t>CRS326-24G-2S+IN</t>
        </is>
      </c>
      <c r="B23" s="3" t="inlineStr">
        <is>
          <t>$199.00</t>
        </is>
      </c>
      <c r="C23" s="3" t="inlineStr"/>
      <c r="D23" s="3" t="inlineStr">
        <is>
          <t>24x GbE RJ45, 2x SFP+ (10G)</t>
        </is>
      </c>
      <c r="E23" s="3" t="inlineStr">
        <is>
          <t>98DX3236</t>
        </is>
      </c>
      <c r="F23" s="3" t="inlineStr">
        <is>
          <t>RouterOS v7 / SwOS</t>
        </is>
      </c>
      <c r="G23" s="3" t="inlineStr">
        <is>
          <t>-40°C to +60°C</t>
        </is>
      </c>
      <c r="H23" s="3" t="inlineStr"/>
      <c r="I23" s="3" t="inlineStr"/>
      <c r="J23" s="3" t="inlineStr"/>
    </row>
    <row r="24">
      <c r="A24" s="3" t="inlineStr">
        <is>
          <t>CRS326-24G-2S+RM</t>
        </is>
      </c>
      <c r="B24" s="3" t="inlineStr">
        <is>
          <t>$219.00</t>
        </is>
      </c>
      <c r="C24" s="3" t="n">
        <v>209</v>
      </c>
      <c r="D24" s="3" t="inlineStr">
        <is>
          <t>24x GbE RJ45, 2x SFP+ (10G)</t>
        </is>
      </c>
      <c r="E24" s="3" t="inlineStr">
        <is>
          <t>98DX3236</t>
        </is>
      </c>
      <c r="F24" s="3" t="inlineStr">
        <is>
          <t>RouterOS v7 / SwOS</t>
        </is>
      </c>
      <c r="G24" s="3" t="inlineStr">
        <is>
          <t>-20°C to +60°C</t>
        </is>
      </c>
      <c r="H24" s="3" t="inlineStr"/>
      <c r="I24" s="3" t="inlineStr"/>
      <c r="J24" s="3" t="inlineStr"/>
    </row>
    <row r="25">
      <c r="A25" s="3" t="inlineStr">
        <is>
          <t>CRS326-24S+2Q+RM</t>
        </is>
      </c>
      <c r="B25" s="3" t="inlineStr">
        <is>
          <t>$599.00</t>
        </is>
      </c>
      <c r="C25" s="3" t="inlineStr"/>
      <c r="D25" s="3" t="inlineStr">
        <is>
          <t>24x SFP+</t>
        </is>
      </c>
      <c r="E25" s="3" t="inlineStr">
        <is>
          <t>98DX8332</t>
        </is>
      </c>
      <c r="F25" s="3" t="inlineStr">
        <is>
          <t>RouterOS v7 / SwitchOS</t>
        </is>
      </c>
      <c r="G25" s="3" t="inlineStr">
        <is>
          <t>-20°C to 60°C</t>
        </is>
      </c>
      <c r="H25" s="3" t="inlineStr"/>
      <c r="I25" s="3" t="inlineStr"/>
      <c r="J25" s="3" t="inlineStr">
        <is>
          <t>全光/高速，不打</t>
        </is>
      </c>
    </row>
    <row r="26">
      <c r="A26" s="3" t="inlineStr">
        <is>
          <t>CRS326-4C+20G+2Q+RM</t>
        </is>
      </c>
      <c r="B26" s="3" t="inlineStr">
        <is>
          <t>$999.00</t>
        </is>
      </c>
      <c r="C26" s="3" t="inlineStr"/>
      <c r="D26" s="3" t="inlineStr">
        <is>
          <t>5x GbE RJ45, 20x 2.5GbE, 4x Combo</t>
        </is>
      </c>
      <c r="E26" s="3" t="inlineStr">
        <is>
          <t>98DX8332</t>
        </is>
      </c>
      <c r="F26" s="3" t="inlineStr">
        <is>
          <t>RouterOS v7</t>
        </is>
      </c>
      <c r="G26" s="3" t="inlineStr">
        <is>
          <t>-20°C to 60°C</t>
        </is>
      </c>
      <c r="H26" s="3" t="inlineStr"/>
      <c r="I26" s="3" t="inlineStr"/>
      <c r="J26" s="3" t="inlineStr"/>
    </row>
    <row r="27">
      <c r="A27" s="3" t="inlineStr">
        <is>
          <t>CRS326-4C+20G+2S+RM</t>
        </is>
      </c>
      <c r="B27" s="3" t="inlineStr">
        <is>
          <t>$239.00</t>
        </is>
      </c>
      <c r="C27" s="3" t="inlineStr"/>
      <c r="D27" s="3" t="inlineStr">
        <is>
          <t>4x Combo (GbE/SFP), 20x GbE RJ45, 2x SFP+ (10G)</t>
        </is>
      </c>
      <c r="E27" s="3" t="inlineStr">
        <is>
          <t>98DX3236</t>
        </is>
      </c>
      <c r="F27" s="3" t="inlineStr">
        <is>
          <t>RouterOS v7 / SwOS</t>
        </is>
      </c>
      <c r="G27" s="3" t="inlineStr">
        <is>
          <t>-20°C to +60°C</t>
        </is>
      </c>
      <c r="H27" s="3" t="inlineStr"/>
      <c r="I27" s="3" t="inlineStr"/>
      <c r="J27" s="3" t="inlineStr"/>
    </row>
    <row r="28">
      <c r="A28" s="3" t="inlineStr">
        <is>
          <t>CRS328-24P-4S+RM</t>
        </is>
      </c>
      <c r="B28" s="3" t="inlineStr">
        <is>
          <t>$489.00</t>
        </is>
      </c>
      <c r="C28" s="3" t="n">
        <v>489</v>
      </c>
      <c r="D28" s="3" t="inlineStr">
        <is>
          <t>24x GbE RJ45, 4x SFP+</t>
        </is>
      </c>
      <c r="E28" s="3" t="inlineStr">
        <is>
          <t>98DX3236</t>
        </is>
      </c>
      <c r="F28" s="3" t="inlineStr">
        <is>
          <t>RouterOS / SwitchOS</t>
        </is>
      </c>
      <c r="G28" s="3" t="inlineStr">
        <is>
          <t>-20°C to 60°C</t>
        </is>
      </c>
      <c r="H28" s="3" t="inlineStr">
        <is>
          <t>PoE (802.3af)</t>
        </is>
      </c>
      <c r="I28" s="3" t="inlineStr"/>
      <c r="J28" s="3" t="inlineStr"/>
    </row>
    <row r="29">
      <c r="A29" s="3" t="inlineStr">
        <is>
          <t>CRS328-4C-20S-4S+RM</t>
        </is>
      </c>
      <c r="B29" s="3" t="inlineStr">
        <is>
          <t>$449.00</t>
        </is>
      </c>
      <c r="C29" s="3" t="inlineStr"/>
      <c r="D29" s="3" t="inlineStr">
        <is>
          <t>4x Combo, 20x SFP, 4x SFP+</t>
        </is>
      </c>
      <c r="E29" s="3" t="inlineStr">
        <is>
          <t>98DX3236</t>
        </is>
      </c>
      <c r="F29" s="3" t="inlineStr">
        <is>
          <t>RouterOS / SwitchOS</t>
        </is>
      </c>
      <c r="G29" s="3" t="inlineStr">
        <is>
          <t>-20°C to 60°C</t>
        </is>
      </c>
      <c r="H29" s="3" t="inlineStr"/>
      <c r="I29" s="3" t="inlineStr"/>
      <c r="J29" s="3" t="inlineStr">
        <is>
          <t>全光/高速，不打</t>
        </is>
      </c>
    </row>
    <row r="30">
      <c r="A30" s="3" t="inlineStr">
        <is>
          <t>CRS332-32S+RM</t>
        </is>
      </c>
      <c r="B30" s="3" t="inlineStr">
        <is>
          <t>$749.00</t>
        </is>
      </c>
      <c r="C30" s="3" t="inlineStr"/>
      <c r="D30" s="3" t="inlineStr">
        <is>
          <t>32x SFP+ (10G), 6x Combo (SFP+/RJ45)</t>
        </is>
      </c>
      <c r="E30" s="3" t="inlineStr">
        <is>
          <t>98DX8332</t>
        </is>
      </c>
      <c r="F30" s="3" t="inlineStr">
        <is>
          <t>RouterOS v7 / SwOS</t>
        </is>
      </c>
      <c r="G30" s="3" t="inlineStr">
        <is>
          <t>-20°C to +60°C</t>
        </is>
      </c>
      <c r="H30" s="3" t="inlineStr"/>
      <c r="I30" s="3" t="inlineStr"/>
      <c r="J30" s="3" t="inlineStr">
        <is>
          <t>全光/高速，不打</t>
        </is>
      </c>
    </row>
    <row r="31">
      <c r="A31" s="3" t="inlineStr">
        <is>
          <t>CRS354-48G-4S+2Q+RM</t>
        </is>
      </c>
      <c r="B31" s="3" t="inlineStr">
        <is>
          <t>$599.00</t>
        </is>
      </c>
      <c r="C31" s="3" t="n">
        <v>599</v>
      </c>
      <c r="D31" s="3" t="inlineStr">
        <is>
          <t>48x GbE RJ45, 4x SFP+</t>
        </is>
      </c>
      <c r="E31" s="3" t="inlineStr">
        <is>
          <t>98DX3257</t>
        </is>
      </c>
      <c r="F31" s="3" t="inlineStr">
        <is>
          <t>RouterOS v7 / SwitchOS</t>
        </is>
      </c>
      <c r="G31" s="3" t="inlineStr">
        <is>
          <t>-20°C to 60°C</t>
        </is>
      </c>
      <c r="H31" s="3" t="inlineStr"/>
      <c r="I31" s="3" t="inlineStr"/>
      <c r="J31" s="3" t="inlineStr"/>
    </row>
    <row r="32">
      <c r="A32" s="3" t="inlineStr">
        <is>
          <t>CRS354-48P-4S+2Q+RM</t>
        </is>
      </c>
      <c r="B32" s="3" t="inlineStr">
        <is>
          <t>$999.00</t>
        </is>
      </c>
      <c r="C32" s="3" t="inlineStr"/>
      <c r="D32" s="3" t="inlineStr">
        <is>
          <t>4x SFP+</t>
        </is>
      </c>
      <c r="E32" s="3" t="inlineStr">
        <is>
          <t>98DX3257</t>
        </is>
      </c>
      <c r="F32" s="3" t="inlineStr">
        <is>
          <t>RouterOS v7 / SwitchOS</t>
        </is>
      </c>
      <c r="G32" s="3" t="inlineStr">
        <is>
          <t>-20°C to 60°C</t>
        </is>
      </c>
      <c r="H32" s="3" t="inlineStr">
        <is>
          <t>PoE (802.3af)</t>
        </is>
      </c>
      <c r="I32" s="3" t="inlineStr"/>
      <c r="J32" s="3" t="inlineStr"/>
    </row>
    <row r="33">
      <c r="A33" s="3" t="inlineStr">
        <is>
          <t>CRS418-8P-8G-2S+5</t>
        </is>
      </c>
      <c r="B33" s="3" t="inlineStr">
        <is>
          <t>$499.00</t>
        </is>
      </c>
      <c r="C33" s="3" t="inlineStr"/>
      <c r="D33" s="3" t="inlineStr">
        <is>
          <t>16x GbE RJ45, 2x SFP+</t>
        </is>
      </c>
      <c r="E33" s="3" t="inlineStr">
        <is>
          <t>98DX226S</t>
        </is>
      </c>
      <c r="F33" s="3" t="inlineStr">
        <is>
          <t>RouterOS v7</t>
        </is>
      </c>
      <c r="G33" s="3" t="inlineStr">
        <is>
          <t>-20°C to 70°C</t>
        </is>
      </c>
      <c r="H33" s="3" t="inlineStr">
        <is>
          <t>PoE (802.3af)</t>
        </is>
      </c>
      <c r="I33" s="3" t="inlineStr"/>
      <c r="J33" s="3" t="inlineStr"/>
    </row>
    <row r="34">
      <c r="A34" s="3" t="inlineStr">
        <is>
          <t>CRS418-8P-8G-2S+RM</t>
        </is>
      </c>
      <c r="B34" s="3" t="inlineStr">
        <is>
          <t>$449.00</t>
        </is>
      </c>
      <c r="C34" s="3" t="inlineStr"/>
      <c r="D34" s="3" t="inlineStr">
        <is>
          <t>16x GbE RJ45, 2x SFP+</t>
        </is>
      </c>
      <c r="E34" s="3" t="inlineStr">
        <is>
          <t>98DX226S</t>
        </is>
      </c>
      <c r="F34" s="3" t="inlineStr">
        <is>
          <t>RouterOS v7</t>
        </is>
      </c>
      <c r="G34" s="3" t="inlineStr">
        <is>
          <t>-20°C to 70°C</t>
        </is>
      </c>
      <c r="H34" s="3" t="inlineStr">
        <is>
          <t>PoE (802.3af)</t>
        </is>
      </c>
      <c r="I34" s="3" t="inlineStr"/>
      <c r="J34" s="3" t="inlineStr"/>
    </row>
    <row r="35">
      <c r="A35" s="3" t="inlineStr">
        <is>
          <t>CRS504-4XQ-IN</t>
        </is>
      </c>
      <c r="B35" s="3" t="inlineStr">
        <is>
          <t>$799.00</t>
        </is>
      </c>
      <c r="C35" s="3" t="inlineStr"/>
      <c r="D35" s="3" t="inlineStr">
        <is>
          <t>4x QSFP28</t>
        </is>
      </c>
      <c r="E35" s="3" t="inlineStr">
        <is>
          <t>98DX4310</t>
        </is>
      </c>
      <c r="F35" s="3" t="inlineStr">
        <is>
          <t>RouterOS v7</t>
        </is>
      </c>
      <c r="G35" s="3" t="inlineStr">
        <is>
          <t>-40°C to 70°C</t>
        </is>
      </c>
      <c r="H35" s="3" t="inlineStr"/>
      <c r="I35" s="3" t="inlineStr"/>
      <c r="J35" s="3" t="inlineStr">
        <is>
          <t>全光/高速，不打</t>
        </is>
      </c>
    </row>
    <row r="36">
      <c r="A36" s="3" t="inlineStr">
        <is>
          <t>CRS504-4XQ-OUT</t>
        </is>
      </c>
      <c r="B36" s="3" t="inlineStr">
        <is>
          <t>$899.00</t>
        </is>
      </c>
      <c r="C36" s="3" t="inlineStr"/>
      <c r="D36" s="3" t="inlineStr">
        <is>
          <t>100x GbE RJ45, 4x QSFP28</t>
        </is>
      </c>
      <c r="E36" s="3" t="inlineStr">
        <is>
          <t>98DX4310</t>
        </is>
      </c>
      <c r="F36" s="3" t="inlineStr">
        <is>
          <t>RouterOS v7</t>
        </is>
      </c>
      <c r="G36" s="3" t="inlineStr">
        <is>
          <t>-40°C to 70°C</t>
        </is>
      </c>
      <c r="H36" s="3" t="inlineStr">
        <is>
          <t>PoE+ (802.3bt)</t>
        </is>
      </c>
      <c r="I36" s="3" t="inlineStr"/>
      <c r="J36" s="3" t="inlineStr">
        <is>
          <t>全光/高速，不打</t>
        </is>
      </c>
    </row>
    <row r="37">
      <c r="A37" s="3" t="inlineStr">
        <is>
          <t>CRS510-8XS-2XQ-IN</t>
        </is>
      </c>
      <c r="B37" s="3" t="inlineStr">
        <is>
          <t>$999.00</t>
        </is>
      </c>
      <c r="C37" s="3" t="inlineStr"/>
      <c r="D37" s="3" t="inlineStr">
        <is>
          <t>8x SFP+, 2x QSFP28</t>
        </is>
      </c>
      <c r="E37" s="3" t="inlineStr">
        <is>
          <t>98DX4310</t>
        </is>
      </c>
      <c r="F37" s="3" t="inlineStr">
        <is>
          <t>RouterOS v7</t>
        </is>
      </c>
      <c r="G37" s="3" t="inlineStr">
        <is>
          <t>-40°C to 70°C</t>
        </is>
      </c>
      <c r="H37" s="3" t="inlineStr"/>
      <c r="I37" s="3" t="inlineStr"/>
      <c r="J37" s="3" t="inlineStr">
        <is>
          <t>全光/高速，不打</t>
        </is>
      </c>
    </row>
    <row r="38">
      <c r="A38" s="3" t="inlineStr">
        <is>
          <t>CRS518-16XS-2XQ-RM</t>
        </is>
      </c>
      <c r="B38" s="3" t="inlineStr">
        <is>
          <t>$1595.00</t>
        </is>
      </c>
      <c r="C38" s="3" t="inlineStr"/>
      <c r="D38" s="3" t="inlineStr">
        <is>
          <t>16x SFP+, 2x QSFP28</t>
        </is>
      </c>
      <c r="E38" s="3" t="inlineStr">
        <is>
          <t>98DX8525</t>
        </is>
      </c>
      <c r="F38" s="3" t="inlineStr">
        <is>
          <t>RouterOS v7</t>
        </is>
      </c>
      <c r="G38" s="3" t="inlineStr">
        <is>
          <t>-40°C to 70°C</t>
        </is>
      </c>
      <c r="H38" s="3" t="inlineStr"/>
      <c r="I38" s="3" t="inlineStr"/>
      <c r="J38" s="3" t="inlineStr">
        <is>
          <t>全光/高速，不打</t>
        </is>
      </c>
    </row>
    <row r="39">
      <c r="A39" s="3" t="inlineStr">
        <is>
          <t>CRS520-4XS-16XQ-RM</t>
        </is>
      </c>
      <c r="B39" s="3" t="inlineStr">
        <is>
          <t>$2195.00</t>
        </is>
      </c>
      <c r="C39" s="3" t="inlineStr"/>
      <c r="D39" s="3" t="inlineStr">
        <is>
          <t>100x GbE RJ45, 4x SFP+, 16x QSFP28</t>
        </is>
      </c>
      <c r="E39" s="3" t="inlineStr">
        <is>
          <t>98CX8410</t>
        </is>
      </c>
      <c r="F39" s="3" t="inlineStr">
        <is>
          <t>RouterOS v7</t>
        </is>
      </c>
      <c r="G39" s="3" t="inlineStr">
        <is>
          <t>-20°C to 50°C</t>
        </is>
      </c>
      <c r="H39" s="3" t="inlineStr"/>
      <c r="I39" s="3" t="inlineStr"/>
      <c r="J39" s="3" t="inlineStr">
        <is>
          <t>全光/高速，不打</t>
        </is>
      </c>
    </row>
    <row r="40">
      <c r="A40" s="3" t="inlineStr">
        <is>
          <t>CRS804-4DDQ-</t>
        </is>
      </c>
      <c r="B40" s="3" t="inlineStr">
        <is>
          <t>$1295.00</t>
        </is>
      </c>
      <c r="C40" s="3" t="inlineStr"/>
      <c r="D40" s="3" t="inlineStr"/>
      <c r="E40" s="3" t="inlineStr">
        <is>
          <t>98DX7335</t>
        </is>
      </c>
      <c r="F40" s="3" t="inlineStr">
        <is>
          <t>RouterOS v7</t>
        </is>
      </c>
      <c r="G40" s="3" t="inlineStr">
        <is>
          <t>-10°C to 60°C</t>
        </is>
      </c>
      <c r="H40" s="3" t="inlineStr"/>
      <c r="I40" s="3" t="inlineStr"/>
      <c r="J40" s="3" t="inlineStr"/>
    </row>
    <row r="41">
      <c r="A41" s="3" t="inlineStr">
        <is>
          <t>CRS812-8DS-2DQ-2DDQ-RM</t>
        </is>
      </c>
      <c r="B41" s="3" t="inlineStr">
        <is>
          <t>$1295.00</t>
        </is>
      </c>
      <c r="C41" s="3" t="inlineStr"/>
      <c r="D41" s="3" t="inlineStr"/>
      <c r="E41" s="3" t="inlineStr">
        <is>
          <t>98DX7335</t>
        </is>
      </c>
      <c r="F41" s="3" t="inlineStr">
        <is>
          <t>RouterOS v7</t>
        </is>
      </c>
      <c r="G41" s="3" t="inlineStr">
        <is>
          <t>-10°C to 50°C</t>
        </is>
      </c>
      <c r="H41" s="3" t="inlineStr"/>
      <c r="I41" s="3" t="inlineStr"/>
      <c r="J41" s="3" t="inlineStr"/>
    </row>
    <row r="42">
      <c r="A42" s="3" t="inlineStr">
        <is>
          <t>CSS106-1G-4P-1S</t>
        </is>
      </c>
      <c r="B42" s="3" t="inlineStr">
        <is>
          <t>$55.95</t>
        </is>
      </c>
      <c r="C42" s="3" t="inlineStr"/>
      <c r="D42" s="3" t="inlineStr">
        <is>
          <t>260x GbE RJ45</t>
        </is>
      </c>
      <c r="E42" s="3" t="inlineStr">
        <is>
          <t>QCA8337</t>
        </is>
      </c>
      <c r="F42" s="3" t="inlineStr">
        <is>
          <t>MikroTik SwOS</t>
        </is>
      </c>
      <c r="G42" s="3" t="inlineStr">
        <is>
          <t>-20°C to 70°C</t>
        </is>
      </c>
      <c r="H42" s="3" t="inlineStr">
        <is>
          <t>Passive PoE</t>
        </is>
      </c>
      <c r="I42" s="3" t="inlineStr"/>
      <c r="J42" s="3" t="inlineStr"/>
    </row>
    <row r="43">
      <c r="A43" s="3" t="inlineStr">
        <is>
          <t>CSS106-5G-1S</t>
        </is>
      </c>
      <c r="B43" s="3" t="inlineStr">
        <is>
          <t>$39.95</t>
        </is>
      </c>
      <c r="C43" s="3" t="inlineStr"/>
      <c r="D43" s="3" t="inlineStr">
        <is>
          <t>5x GbE RJ45</t>
        </is>
      </c>
      <c r="E43" s="3" t="inlineStr">
        <is>
          <t>QCA8337</t>
        </is>
      </c>
      <c r="F43" s="3" t="inlineStr">
        <is>
          <t>MikroTik SwOS</t>
        </is>
      </c>
      <c r="G43" s="3" t="inlineStr">
        <is>
          <t>-20°C to 70°C</t>
        </is>
      </c>
      <c r="H43" s="3" t="inlineStr">
        <is>
          <t>Passive PoE</t>
        </is>
      </c>
      <c r="I43" s="3" t="inlineStr"/>
      <c r="J43" s="3" t="inlineStr"/>
    </row>
    <row r="44">
      <c r="A44" s="3" t="inlineStr">
        <is>
          <t>CSS318-16G-2S+IN</t>
        </is>
      </c>
      <c r="B44" s="3" t="inlineStr">
        <is>
          <t>$139.00</t>
        </is>
      </c>
      <c r="C44" s="3" t="inlineStr"/>
      <c r="D44" s="3" t="inlineStr">
        <is>
          <t>16x GbE RJ45, 2x SFP+</t>
        </is>
      </c>
      <c r="E44" s="3" t="inlineStr">
        <is>
          <t>98DX2518</t>
        </is>
      </c>
      <c r="F44" s="3" t="inlineStr">
        <is>
          <t>SwOS</t>
        </is>
      </c>
      <c r="G44" s="3" t="inlineStr">
        <is>
          <t>-40°C to 70°C</t>
        </is>
      </c>
      <c r="H44" s="3" t="inlineStr"/>
      <c r="I44" s="3" t="inlineStr"/>
      <c r="J44" s="3" t="inlineStr"/>
    </row>
    <row r="45">
      <c r="A45" s="3" t="inlineStr">
        <is>
          <t>CSS326-24G-2S+RM</t>
        </is>
      </c>
      <c r="B45" s="3" t="inlineStr">
        <is>
          <t>$199.00</t>
        </is>
      </c>
      <c r="C45" s="3" t="n">
        <v>159</v>
      </c>
      <c r="D45" s="3" t="inlineStr">
        <is>
          <t>24x GbE RJ45, 2x SFP+ (10G)</t>
        </is>
      </c>
      <c r="E45" s="3" t="inlineStr">
        <is>
          <t>98DX3236</t>
        </is>
      </c>
      <c r="F45" s="3" t="inlineStr">
        <is>
          <t>SwOS</t>
        </is>
      </c>
      <c r="G45" s="3" t="inlineStr">
        <is>
          <t>-20°C to +60°C</t>
        </is>
      </c>
      <c r="H45" s="3" t="inlineStr"/>
      <c r="I45" s="3" t="inlineStr"/>
      <c r="J45" s="3" t="inlineStr"/>
    </row>
    <row r="46">
      <c r="A46" s="3" t="inlineStr">
        <is>
          <t>CSS606-1G-2G</t>
        </is>
      </c>
      <c r="B46" s="3" t="inlineStr">
        <is>
          <t>$139.00</t>
        </is>
      </c>
      <c r="C46" s="3" t="inlineStr"/>
      <c r="D46" s="3" t="inlineStr">
        <is>
          <t>3x GbE RJ45</t>
        </is>
      </c>
      <c r="E46" s="3" t="inlineStr">
        <is>
          <t>88E6193X</t>
        </is>
      </c>
      <c r="F46" s="3" t="inlineStr">
        <is>
          <t>SwOS</t>
        </is>
      </c>
      <c r="G46" s="3" t="inlineStr">
        <is>
          <t>-40°C to 70°C</t>
        </is>
      </c>
      <c r="H46" s="3" t="inlineStr">
        <is>
          <t>Passive PoE</t>
        </is>
      </c>
      <c r="I46" s="3" t="inlineStr">
        <is>
          <t>Built for th…</t>
        </is>
      </c>
      <c r="J46" s="3" t="inlineStr"/>
    </row>
    <row r="47">
      <c r="A47" s="3" t="inlineStr">
        <is>
          <t>CSS610-1G</t>
        </is>
      </c>
      <c r="B47" s="3" t="inlineStr">
        <is>
          <t>$139.00</t>
        </is>
      </c>
      <c r="C47" s="3" t="inlineStr"/>
      <c r="D47" s="3" t="inlineStr"/>
      <c r="E47" s="3" t="inlineStr">
        <is>
          <t>88E6193X</t>
        </is>
      </c>
      <c r="F47" s="3" t="inlineStr">
        <is>
          <t>SwitchOS Lite</t>
        </is>
      </c>
      <c r="G47" s="3" t="inlineStr">
        <is>
          <t>-40°C to 70°C</t>
        </is>
      </c>
      <c r="H47" s="3" t="inlineStr">
        <is>
          <t>Passive PoE</t>
        </is>
      </c>
      <c r="I47" s="3" t="inlineStr"/>
      <c r="J47" s="3" t="inlineStr"/>
    </row>
    <row r="48">
      <c r="A48" s="3" t="inlineStr">
        <is>
          <t>CSS610-1Gi-7R-2S+OUT</t>
        </is>
      </c>
      <c r="B48" s="3" t="inlineStr">
        <is>
          <t>$99.00</t>
        </is>
      </c>
      <c r="C48" s="3" t="inlineStr"/>
      <c r="D48" s="3" t="inlineStr">
        <is>
          <t>1x GbE RJ45, 7x 100M Fiber (Reverse PoE), 2x SFP+ (10G)</t>
        </is>
      </c>
      <c r="E48" s="3" t="inlineStr">
        <is>
          <t>98DX3236</t>
        </is>
      </c>
      <c r="F48" s="3" t="inlineStr">
        <is>
          <t>SwOS</t>
        </is>
      </c>
      <c r="G48" s="3" t="inlineStr">
        <is>
          <t>-40°C to +70°C</t>
        </is>
      </c>
      <c r="H48" s="3" t="inlineStr"/>
      <c r="I48" s="3" t="inlineStr"/>
      <c r="J48" s="3" t="inlineStr"/>
    </row>
    <row r="49">
      <c r="A49" s="3" t="inlineStr">
        <is>
          <t>CSS610-8G-2S+IN</t>
        </is>
      </c>
      <c r="B49" s="3" t="inlineStr">
        <is>
          <t>$119.00</t>
        </is>
      </c>
      <c r="C49" s="3" t="n">
        <v>119</v>
      </c>
      <c r="D49" s="3" t="inlineStr">
        <is>
          <t>8x GbE RJ45, 2x SFP+</t>
        </is>
      </c>
      <c r="E49" s="3" t="inlineStr">
        <is>
          <t>88E6193X</t>
        </is>
      </c>
      <c r="F49" s="3" t="inlineStr">
        <is>
          <t>SwitchOS Lite</t>
        </is>
      </c>
      <c r="G49" s="3" t="inlineStr">
        <is>
          <t>-20°C to 60°C</t>
        </is>
      </c>
      <c r="H49" s="3" t="inlineStr">
        <is>
          <t>Passive PoE</t>
        </is>
      </c>
      <c r="I49" s="3" t="inlineStr"/>
      <c r="J49" s="3" t="inlineStr"/>
    </row>
    <row r="50">
      <c r="A50" s="3" t="inlineStr">
        <is>
          <t>CSS610-8P-2S+IN</t>
        </is>
      </c>
      <c r="B50" s="3" t="inlineStr">
        <is>
          <t>$229.00</t>
        </is>
      </c>
      <c r="C50" s="3" t="inlineStr"/>
      <c r="D50" s="3" t="inlineStr">
        <is>
          <t>2x SFP+</t>
        </is>
      </c>
      <c r="E50" s="3" t="inlineStr">
        <is>
          <t>88E6193X</t>
        </is>
      </c>
      <c r="F50" s="3" t="inlineStr">
        <is>
          <t>SwitchOS Lite</t>
        </is>
      </c>
      <c r="G50" s="3" t="inlineStr">
        <is>
          <t>-40°C to 70°C</t>
        </is>
      </c>
      <c r="H50" s="3" t="inlineStr">
        <is>
          <t>PoE (802.3af)</t>
        </is>
      </c>
      <c r="I50" s="3" t="inlineStr">
        <is>
          <t>of 140 W</t>
        </is>
      </c>
      <c r="J50" s="3" t="inlineStr"/>
    </row>
    <row r="51">
      <c r="A51" s="3" t="inlineStr">
        <is>
          <t>CSS610-8P-2S+OUT</t>
        </is>
      </c>
      <c r="B51" s="3" t="inlineStr">
        <is>
          <t>$199.00</t>
        </is>
      </c>
      <c r="C51" s="3" t="inlineStr"/>
      <c r="D51" s="3" t="inlineStr">
        <is>
          <t>8x GbE RJ45</t>
        </is>
      </c>
      <c r="E51" s="3" t="inlineStr">
        <is>
          <t>88E6193</t>
        </is>
      </c>
      <c r="F51" s="3" t="inlineStr">
        <is>
          <t>SwOS Lite</t>
        </is>
      </c>
      <c r="G51" s="3" t="inlineStr">
        <is>
          <t>-40°C to 70°C</t>
        </is>
      </c>
      <c r="H51" s="3" t="inlineStr">
        <is>
          <t>PoE (802.3af)</t>
        </is>
      </c>
      <c r="I51" s="3" t="inlineStr"/>
      <c r="J51" s="3" t="inlineStr"/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6" customWidth="1" min="3" max="3"/>
    <col width="26" customWidth="1" min="4" max="4"/>
    <col width="20" customWidth="1" min="5" max="5"/>
    <col width="26" customWidth="1" min="6" max="6"/>
    <col width="36" customWidth="1" min="7" max="7"/>
    <col width="32" customWidth="1" min="8" max="8"/>
  </cols>
  <sheetData>
    <row r="1">
      <c r="A1" s="2" t="inlineStr">
        <is>
          <t>#</t>
        </is>
      </c>
      <c r="B1" s="2" t="inlineStr">
        <is>
          <t>文件/证书</t>
        </is>
      </c>
      <c r="C1" s="2" t="inlineStr">
        <is>
          <t>适用地区</t>
        </is>
      </c>
      <c r="D1" s="2" t="inlineStr">
        <is>
          <t>必备性</t>
        </is>
      </c>
      <c r="E1" s="2" t="inlineStr">
        <is>
          <t>谁出具</t>
        </is>
      </c>
      <c r="F1" s="2" t="inlineStr">
        <is>
          <t>你目前状态</t>
        </is>
      </c>
      <c r="G1" s="2" t="inlineStr">
        <is>
          <t>怎么补</t>
        </is>
      </c>
      <c r="H1" s="2" t="inlineStr">
        <is>
          <t>对客户的价值</t>
        </is>
      </c>
    </row>
    <row r="2">
      <c r="A2" s="3" t="n">
        <v>1</v>
      </c>
      <c r="B2" s="3" t="inlineStr">
        <is>
          <t>EN 55032 / EN 55035 EMC 测试报告</t>
        </is>
      </c>
      <c r="C2" s="3" t="inlineStr">
        <is>
          <t>EU/UK</t>
        </is>
      </c>
      <c r="D2" s="3" t="inlineStr">
        <is>
          <t>必备</t>
        </is>
      </c>
      <c r="E2" s="3" t="inlineStr">
        <is>
          <t>第三方实验室</t>
        </is>
      </c>
      <c r="F2" s="3" t="inlineStr">
        <is>
          <t>需向 SmartByte 要带型号的完整报告</t>
        </is>
      </c>
      <c r="G2" s="3" t="inlineStr">
        <is>
          <t>向工厂索取原件，核对型号/日期/实验室资质</t>
        </is>
      </c>
      <c r="H2" s="3" t="inlineStr">
        <is>
          <t>CE 与 UKCA 的技术基础</t>
        </is>
      </c>
    </row>
    <row r="3">
      <c r="A3" s="3" t="n">
        <v>2</v>
      </c>
      <c r="B3" s="3" t="inlineStr">
        <is>
          <t>EN IEC 62368-1 安全测试报告（LVD）</t>
        </is>
      </c>
      <c r="C3" s="3" t="inlineStr">
        <is>
          <t>EU/UK</t>
        </is>
      </c>
      <c r="D3" s="3" t="inlineStr">
        <is>
          <t>必备</t>
        </is>
      </c>
      <c r="E3" s="3" t="inlineStr">
        <is>
          <t>第三方实验室</t>
        </is>
      </c>
      <c r="F3" s="3" t="inlineStr">
        <is>
          <t>需确认是 62368-1 而非 60950-1</t>
        </is>
      </c>
      <c r="G3" s="3" t="inlineStr">
        <is>
          <t>索取；若仍是旧标准需补测</t>
        </is>
      </c>
      <c r="H3" s="3" t="inlineStr">
        <is>
          <t>客户合规部第一件事就是查这个</t>
        </is>
      </c>
    </row>
    <row r="4">
      <c r="A4" s="3" t="n">
        <v>3</v>
      </c>
      <c r="B4" s="3" t="inlineStr">
        <is>
          <t>RoHS 10 项检测报告 + EN IEC 63000 技术文档</t>
        </is>
      </c>
      <c r="C4" s="3" t="inlineStr">
        <is>
          <t>EU/UK</t>
        </is>
      </c>
      <c r="D4" s="3" t="inlineStr">
        <is>
          <t>必备</t>
        </is>
      </c>
      <c r="E4" s="3" t="inlineStr">
        <is>
          <t>实验室</t>
        </is>
      </c>
      <c r="F4" s="3" t="inlineStr">
        <is>
          <t>有声明，需报告原件</t>
        </is>
      </c>
      <c r="G4" s="3" t="inlineStr">
        <is>
          <t>索取报告原件</t>
        </is>
      </c>
      <c r="H4" s="3" t="inlineStr">
        <is>
          <t>无报告=无 CE</t>
        </is>
      </c>
    </row>
    <row r="5">
      <c r="A5" s="3" t="n">
        <v>4</v>
      </c>
      <c r="B5" s="3" t="inlineStr">
        <is>
          <t>REACH SVHC 声明 / SCIP 通报数据</t>
        </is>
      </c>
      <c r="C5" s="3" t="inlineStr">
        <is>
          <t>EU</t>
        </is>
      </c>
      <c r="D5" s="3" t="inlineStr">
        <is>
          <t>必备</t>
        </is>
      </c>
      <c r="E5" s="3" t="inlineStr">
        <is>
          <t>供应链</t>
        </is>
      </c>
      <c r="F5" s="3" t="inlineStr">
        <is>
          <t>⚠️ SCIP 多半没有</t>
        </is>
      </c>
      <c r="G5" s="3" t="inlineStr">
        <is>
          <t>要 SVHC 清单；&gt;0.1% 需物料数据</t>
        </is>
      </c>
      <c r="H5" s="3" t="inlineStr">
        <is>
          <t>缺少会被海关/市场监管拦下</t>
        </is>
      </c>
    </row>
    <row r="6">
      <c r="A6" s="3" t="n">
        <v>5</v>
      </c>
      <c r="B6" s="3" t="inlineStr">
        <is>
          <t>EU DoC（欧盟符合性声明）模板</t>
        </is>
      </c>
      <c r="C6" s="3" t="inlineStr">
        <is>
          <t>EU</t>
        </is>
      </c>
      <c r="D6" s="3" t="inlineStr">
        <is>
          <t>必备</t>
        </is>
      </c>
      <c r="E6" s="3" t="inlineStr">
        <is>
          <t>制造商（贴牌客户）</t>
        </is>
      </c>
      <c r="F6" s="3" t="inlineStr">
        <is>
          <t>需工厂提供可改写模板</t>
        </is>
      </c>
      <c r="G6" s="3" t="inlineStr">
        <is>
          <t>向工厂要模板 + 客户签署</t>
        </is>
      </c>
      <c r="H6" s="3" t="inlineStr">
        <is>
          <t>没有 DoC 就不能贴 CE</t>
        </is>
      </c>
    </row>
    <row r="7">
      <c r="A7" s="3" t="n">
        <v>6</v>
      </c>
      <c r="B7" s="3" t="inlineStr">
        <is>
          <t>EU Authorised Representative（欧盟授权代表）</t>
        </is>
      </c>
      <c r="C7" s="3" t="inlineStr">
        <is>
          <t>EU</t>
        </is>
      </c>
      <c r="D7" s="3" t="inlineStr">
        <is>
          <t>必备（非欧盟制造商）</t>
        </is>
      </c>
      <c r="E7" s="3" t="inlineStr">
        <is>
          <t>客户指定</t>
        </is>
      </c>
      <c r="F7" s="3" t="inlineStr">
        <is>
          <t>由客户承担</t>
        </is>
      </c>
      <c r="G7" s="3" t="inlineStr">
        <is>
          <t>可协助对接第三方 AR 服务（增值）</t>
        </is>
      </c>
      <c r="H7" s="3" t="inlineStr">
        <is>
          <t>OEM 谈判最常见的断点</t>
        </is>
      </c>
    </row>
    <row r="8">
      <c r="A8" s="3" t="n">
        <v>7</v>
      </c>
      <c r="B8" s="3" t="inlineStr">
        <is>
          <t>WEEE 注册号（DE stiftung ear / FR / IT / ES / NL / SE / PL BDO）</t>
        </is>
      </c>
      <c r="C8" s="3" t="inlineStr">
        <is>
          <t>EU各国</t>
        </is>
      </c>
      <c r="D8" s="3" t="inlineStr">
        <is>
          <t>必备</t>
        </is>
      </c>
      <c r="E8" s="3" t="inlineStr">
        <is>
          <t>客户（品牌方）</t>
        </is>
      </c>
      <c r="F8" s="3" t="inlineStr">
        <is>
          <t>客户持有</t>
        </is>
      </c>
      <c r="G8" s="3" t="inlineStr">
        <is>
          <t>我们提供型号重量与材料拆分数据</t>
        </is>
      </c>
      <c r="H8" s="3" t="inlineStr">
        <is>
          <t>没有注册号不能在该国销售</t>
        </is>
      </c>
    </row>
    <row r="9">
      <c r="A9" s="3" t="n">
        <v>8</v>
      </c>
      <c r="B9" s="3" t="inlineStr">
        <is>
          <t>包装法：德国 VerpackG LUCID + 双元系统；法国 EPR；PPWR (EU)2025/40</t>
        </is>
      </c>
      <c r="C9" s="3" t="inlineStr">
        <is>
          <t>EU</t>
        </is>
      </c>
      <c r="D9" s="3" t="inlineStr">
        <is>
          <t>必备</t>
        </is>
      </c>
      <c r="E9" s="3" t="inlineStr">
        <is>
          <t>客户</t>
        </is>
      </c>
      <c r="F9" s="3" t="inlineStr">
        <is>
          <t>客户持有</t>
        </is>
      </c>
      <c r="G9" s="3" t="inlineStr">
        <is>
          <t>我们提供包装材料与重量数据</t>
        </is>
      </c>
      <c r="H9" s="3" t="inlineStr">
        <is>
          <t>德国查得最严</t>
        </is>
      </c>
    </row>
    <row r="10">
      <c r="A10" s="3" t="n">
        <v>9</v>
      </c>
      <c r="B10" s="3" t="inlineStr">
        <is>
          <t>ErP (EU)2019/1782 外置电源能效（等同 DoE Level VI）</t>
        </is>
      </c>
      <c r="C10" s="3" t="inlineStr">
        <is>
          <t>EU/US</t>
        </is>
      </c>
      <c r="D10" s="3" t="inlineStr">
        <is>
          <t>带适配器时必备</t>
        </is>
      </c>
      <c r="E10" s="3" t="inlineStr">
        <is>
          <t>实验室</t>
        </is>
      </c>
      <c r="F10" s="3" t="inlineStr">
        <is>
          <t>需确认适配器证书</t>
        </is>
      </c>
      <c r="G10" s="3" t="inlineStr">
        <is>
          <t>索取适配器证书</t>
        </is>
      </c>
      <c r="H10" s="3" t="inlineStr">
        <is>
          <t>外置电源没证=整机不能上架</t>
        </is>
      </c>
    </row>
    <row r="11">
      <c r="A11" s="3" t="n">
        <v>10</v>
      </c>
      <c r="B11" s="3" t="inlineStr">
        <is>
          <t>CRA (EU)2024/2847 技术文档（交换机=Annex III Class I）</t>
        </is>
      </c>
      <c r="C11" s="3" t="inlineStr">
        <is>
          <t>EU</t>
        </is>
      </c>
      <c r="D11" s="3" t="inlineStr">
        <is>
          <t>2027-12-11 起必备</t>
        </is>
      </c>
      <c r="E11" s="3" t="inlineStr">
        <is>
          <t>制造商（客户）+ 我们提供输入</t>
        </is>
      </c>
      <c r="F11" s="3" t="inlineStr">
        <is>
          <t>⚠️ 基本空白</t>
        </is>
      </c>
      <c r="G11" s="3" t="inlineStr">
        <is>
          <t>SBOM + 漏洞政策 + 更新承诺 + EN 18031 路线图</t>
        </is>
      </c>
      <c r="H11" s="3" t="inlineStr">
        <is>
          <t>⭐ 2026-2027 最有杀伤力的差异化</t>
        </is>
      </c>
    </row>
    <row r="12">
      <c r="A12" s="3" t="n">
        <v>11</v>
      </c>
      <c r="B12" s="3" t="inlineStr">
        <is>
          <t>SBOM（SPDX / CycloneDX）</t>
        </is>
      </c>
      <c r="C12" s="3" t="inlineStr">
        <is>
          <t>EU/UK/US</t>
        </is>
      </c>
      <c r="D12" s="3" t="inlineStr">
        <is>
          <t>CRA 必备</t>
        </is>
      </c>
      <c r="E12" s="3" t="inlineStr">
        <is>
          <t>工厂</t>
        </is>
      </c>
      <c r="F12" s="3" t="inlineStr">
        <is>
          <t>⚠️ 没有</t>
        </is>
      </c>
      <c r="G12" s="3" t="inlineStr">
        <is>
          <t>向工厂索取并约定每版更新</t>
        </is>
      </c>
      <c r="H12" s="3" t="inlineStr">
        <is>
          <t>客户合规部无法自行生成</t>
        </is>
      </c>
    </row>
    <row r="13">
      <c r="A13" s="3" t="n">
        <v>12</v>
      </c>
      <c r="B13" s="3" t="inlineStr">
        <is>
          <t>漏洞处理政策（接收渠道/响应SLA/协调披露）</t>
        </is>
      </c>
      <c r="C13" s="3" t="inlineStr">
        <is>
          <t>EU</t>
        </is>
      </c>
      <c r="D13" s="3" t="inlineStr">
        <is>
          <t>CRA 必备</t>
        </is>
      </c>
      <c r="E13" s="3" t="inlineStr">
        <is>
          <t>工厂 + 我们</t>
        </is>
      </c>
      <c r="F13" s="3" t="inlineStr">
        <is>
          <t>⚠️ 没有</t>
        </is>
      </c>
      <c r="G13" s="3" t="inlineStr">
        <is>
          <t>起草 policy + security@ 邮箱 + 响应时限</t>
        </is>
      </c>
      <c r="H13" s="3" t="inlineStr">
        <is>
          <t>24h/72h 通报义务的基础</t>
        </is>
      </c>
    </row>
    <row r="14">
      <c r="A14" s="3" t="n">
        <v>13</v>
      </c>
      <c r="B14" s="3" t="inlineStr">
        <is>
          <t>固件签名 / 安全启动说明</t>
        </is>
      </c>
      <c r="C14" s="3" t="inlineStr">
        <is>
          <t>EU</t>
        </is>
      </c>
      <c r="D14" s="3" t="inlineStr">
        <is>
          <t>CRA 安全默认要求</t>
        </is>
      </c>
      <c r="E14" s="3" t="inlineStr">
        <is>
          <t>工厂</t>
        </is>
      </c>
      <c r="F14" s="3" t="inlineStr">
        <is>
          <t>需确认</t>
        </is>
      </c>
      <c r="G14" s="3" t="inlineStr">
        <is>
          <t>向工厂确认并出书面说明</t>
        </is>
      </c>
      <c r="H14" s="3" t="inlineStr">
        <is>
          <t>Class I 自评估的关键项</t>
        </is>
      </c>
    </row>
    <row r="15">
      <c r="A15" s="3" t="n">
        <v>14</v>
      </c>
      <c r="B15" s="3" t="inlineStr">
        <is>
          <t>固件更新支持期承诺（建议≥5年）</t>
        </is>
      </c>
      <c r="C15" s="3" t="inlineStr">
        <is>
          <t>EU/全球</t>
        </is>
      </c>
      <c r="D15" s="3" t="inlineStr">
        <is>
          <t>商业必备</t>
        </is>
      </c>
      <c r="E15" s="3" t="inlineStr">
        <is>
          <t>你 + 工厂</t>
        </is>
      </c>
      <c r="F15" s="3" t="inlineStr">
        <is>
          <t>需书面化</t>
        </is>
      </c>
      <c r="G15" s="3" t="inlineStr">
        <is>
          <t>写进合同附件</t>
        </is>
      </c>
      <c r="H15" s="3" t="inlineStr">
        <is>
          <t>大客户问卷必问</t>
        </is>
      </c>
    </row>
    <row r="16">
      <c r="A16" s="3" t="n">
        <v>15</v>
      </c>
      <c r="B16" s="3" t="inlineStr">
        <is>
          <t>EN 18031 系列符合性路线图</t>
        </is>
      </c>
      <c r="C16" s="3" t="inlineStr">
        <is>
          <t>EU</t>
        </is>
      </c>
      <c r="D16" s="3" t="inlineStr">
        <is>
          <t>决定能否走 Module A 自评</t>
        </is>
      </c>
      <c r="E16" s="3" t="inlineStr">
        <is>
          <t>第三方/自评</t>
        </is>
      </c>
      <c r="F16" s="3" t="inlineStr">
        <is>
          <t>⚠️ 没有</t>
        </is>
      </c>
      <c r="G16" s="3" t="inlineStr">
        <is>
          <t>做差距分析（gap analysis）</t>
        </is>
      </c>
      <c r="H16" s="3" t="inlineStr">
        <is>
          <t>有则可自评（省钱），无则第三方评估（费钱）</t>
        </is>
      </c>
    </row>
    <row r="17">
      <c r="A17" s="3" t="n">
        <v>16</v>
      </c>
      <c r="B17" s="3" t="inlineStr">
        <is>
          <t>UKCA + UK Responsible Person + UK DoC</t>
        </is>
      </c>
      <c r="C17" s="3" t="inlineStr">
        <is>
          <t>英国</t>
        </is>
      </c>
      <c r="D17" s="3" t="inlineStr">
        <is>
          <t>必备</t>
        </is>
      </c>
      <c r="E17" s="3" t="inlineStr">
        <is>
          <t>客户 + 我们协助</t>
        </is>
      </c>
      <c r="F17" s="3" t="inlineStr">
        <is>
          <t>CE 在英有过渡安排（以英国政府公告为准）</t>
        </is>
      </c>
      <c r="G17" s="3" t="inlineStr">
        <is>
          <t>按 UKCA 要求准备，UKRP 由客户指定</t>
        </is>
      </c>
      <c r="H17" s="3" t="inlineStr">
        <is>
          <t>英国客户必查</t>
        </is>
      </c>
    </row>
    <row r="18">
      <c r="A18" s="3" t="n">
        <v>17</v>
      </c>
      <c r="B18" s="3" t="inlineStr">
        <is>
          <t>FCC Part 15B SDoC（Class A/B）</t>
        </is>
      </c>
      <c r="C18" s="3" t="inlineStr">
        <is>
          <t>美国</t>
        </is>
      </c>
      <c r="D18" s="3" t="inlineStr">
        <is>
          <t>必备</t>
        </is>
      </c>
      <c r="E18" s="3" t="inlineStr">
        <is>
          <t>实验室/供方自我声明</t>
        </is>
      </c>
      <c r="F18" s="3" t="inlineStr">
        <is>
          <t>有 FCC</t>
        </is>
      </c>
      <c r="G18" s="3" t="inlineStr">
        <is>
          <t>核对 Class A/B 与型号</t>
        </is>
      </c>
      <c r="H18" s="3" t="inlineStr">
        <is>
          <t>无则不能进美国</t>
        </is>
      </c>
    </row>
    <row r="19">
      <c r="A19" s="3" t="n">
        <v>18</v>
      </c>
      <c r="B19" s="3" t="inlineStr">
        <is>
          <t>UL / ETL 62368-1</t>
        </is>
      </c>
      <c r="C19" s="3" t="inlineStr">
        <is>
          <t>美国/加拿大</t>
        </is>
      </c>
      <c r="D19" s="3" t="inlineStr">
        <is>
          <t>事实必备（非联邦强制）</t>
        </is>
      </c>
      <c r="E19" s="3" t="inlineStr">
        <is>
          <t>第三方</t>
        </is>
      </c>
      <c r="F19" s="3" t="inlineStr">
        <is>
          <t>⚠️ 还没有</t>
        </is>
      </c>
      <c r="G19" s="3" t="inlineStr">
        <is>
          <t>按首单量谈判分摊送测费用</t>
        </is>
      </c>
      <c r="H19" s="3" t="inlineStr">
        <is>
          <t>分销商与验收方几乎必要求</t>
        </is>
      </c>
    </row>
    <row r="20">
      <c r="A20" s="3" t="n">
        <v>19</v>
      </c>
      <c r="B20" s="3" t="inlineStr">
        <is>
          <t>ISED ICES-003 + CSA/cUL/ETL 安全标志</t>
        </is>
      </c>
      <c r="C20" s="3" t="inlineStr">
        <is>
          <t>加拿大</t>
        </is>
      </c>
      <c r="D20" s="3" t="inlineStr">
        <is>
          <t>必备</t>
        </is>
      </c>
      <c r="E20" s="3" t="inlineStr">
        <is>
          <t>第三方</t>
        </is>
      </c>
      <c r="F20" s="3" t="inlineStr">
        <is>
          <t>需确认</t>
        </is>
      </c>
      <c r="G20" s="3" t="inlineStr">
        <is>
          <t>ICES-003 通常可沿用 FCC 报告；安全标志需补</t>
        </is>
      </c>
      <c r="H20" s="3" t="inlineStr">
        <is>
          <t>魁北克还需法语标签（Bill 96）</t>
        </is>
      </c>
    </row>
    <row r="21">
      <c r="A21" s="3" t="n">
        <v>20</v>
      </c>
      <c r="B21" s="3" t="inlineStr">
        <is>
          <t>TAA 合规（美国联邦采购）</t>
        </is>
      </c>
      <c r="C21" s="3" t="inlineStr">
        <is>
          <t>美国</t>
        </is>
      </c>
      <c r="D21" s="3" t="inlineStr">
        <is>
          <t>政府项目必备</t>
        </is>
      </c>
      <c r="E21" s="3" t="inlineStr">
        <is>
          <t>—</t>
        </is>
      </c>
      <c r="F21" s="3" t="inlineStr">
        <is>
          <t>❌ 中国原产不可能 TAA</t>
        </is>
      </c>
      <c r="G21" s="3" t="inlineStr">
        <is>
          <t>不碰政府单，只做商用渠道</t>
        </is>
      </c>
      <c r="H21" s="3" t="inlineStr">
        <is>
          <t>提前说清，避免浪费时间</t>
        </is>
      </c>
    </row>
    <row r="22">
      <c r="A22" s="3" t="n">
        <v>21</v>
      </c>
      <c r="B22" s="3" t="inlineStr">
        <is>
          <t>NDAA 889 排除声明（非华为/中兴/海康/大华等）</t>
        </is>
      </c>
      <c r="C22" s="3" t="inlineStr">
        <is>
          <t>美国</t>
        </is>
      </c>
      <c r="D22" s="3" t="inlineStr">
        <is>
          <t>关键项目必备</t>
        </is>
      </c>
      <c r="E22" s="3" t="inlineStr">
        <is>
          <t>你出具</t>
        </is>
      </c>
      <c r="F22" s="3" t="inlineStr">
        <is>
          <t>可出具</t>
        </is>
      </c>
      <c r="G22" s="3" t="inlineStr">
        <is>
          <t>准备一份标准声明</t>
        </is>
      </c>
      <c r="H22" s="3" t="inlineStr">
        <is>
          <t>Marvell 方案不在受限清单</t>
        </is>
      </c>
    </row>
    <row r="23">
      <c r="A23" s="3" t="n">
        <v>22</v>
      </c>
      <c r="B23" s="3" t="inlineStr">
        <is>
          <t>EN 50155（轨交）/ IEC 61850-3（电力）/ IEC 62443-4-2（工控安全）/ EN 45545-2 / E-mark</t>
        </is>
      </c>
      <c r="C23" s="3" t="inlineStr">
        <is>
          <t>EU 行业</t>
        </is>
      </c>
      <c r="D23" s="3" t="inlineStr">
        <is>
          <t>项目要求</t>
        </is>
      </c>
      <c r="E23" s="3" t="inlineStr">
        <is>
          <t>第三方</t>
        </is>
      </c>
      <c r="F23" s="3" t="inlineStr">
        <is>
          <t>❌ 基本没有</t>
        </is>
      </c>
      <c r="G23" s="3" t="inlineStr">
        <is>
          <t>短期不做铁路/车载；攻工厂/ITS/CCTV/楼宇</t>
        </is>
      </c>
      <c r="H23" s="3" t="inlineStr">
        <is>
          <t>坦诚说明，不要硬接</t>
        </is>
      </c>
    </row>
    <row r="24">
      <c r="A24" s="3" t="n">
        <v>23</v>
      </c>
      <c r="B24" s="3" t="inlineStr">
        <is>
          <t>产品重量与材料拆分表（WEEE 申报用）</t>
        </is>
      </c>
      <c r="C24" s="3" t="inlineStr">
        <is>
          <t>EU</t>
        </is>
      </c>
      <c r="D24" s="3" t="inlineStr">
        <is>
          <t>必备</t>
        </is>
      </c>
      <c r="E24" s="3" t="inlineStr">
        <is>
          <t>工厂</t>
        </is>
      </c>
      <c r="F24" s="3" t="inlineStr">
        <is>
          <t>需索取</t>
        </is>
      </c>
      <c r="G24" s="3" t="inlineStr">
        <is>
          <t>逐型号整理成表</t>
        </is>
      </c>
      <c r="H24" s="3" t="inlineStr">
        <is>
          <t>客户申报 WEEE 的必需输入</t>
        </is>
      </c>
    </row>
    <row r="25">
      <c r="A25" s="3" t="n">
        <v>24</v>
      </c>
      <c r="B25" s="3" t="inlineStr">
        <is>
          <t>ISO 9001 / ISO 14001 证书</t>
        </is>
      </c>
      <c r="C25" s="3" t="inlineStr">
        <is>
          <t>全球</t>
        </is>
      </c>
      <c r="D25" s="3" t="inlineStr">
        <is>
          <t>大客户问卷必问</t>
        </is>
      </c>
      <c r="E25" s="3" t="inlineStr">
        <is>
          <t>工厂</t>
        </is>
      </c>
      <c r="F25" s="3" t="inlineStr">
        <is>
          <t>需索取</t>
        </is>
      </c>
      <c r="G25" s="3" t="inlineStr">
        <is>
          <t>索取证书与审核报告摘要</t>
        </is>
      </c>
      <c r="H25" s="3" t="inlineStr">
        <is>
          <t>问卷里的第一道门槛</t>
        </is>
      </c>
    </row>
    <row r="26">
      <c r="A26" s="3" t="n">
        <v>25</v>
      </c>
      <c r="B26" s="3" t="inlineStr">
        <is>
          <t>产品责任保险</t>
        </is>
      </c>
      <c r="C26" s="3" t="inlineStr">
        <is>
          <t>EU/US</t>
        </is>
      </c>
      <c r="D26" s="3" t="inlineStr">
        <is>
          <t>大客户常要求</t>
        </is>
      </c>
      <c r="E26" s="3" t="inlineStr">
        <is>
          <t>客户/双方</t>
        </is>
      </c>
      <c r="F26" s="3" t="inlineStr">
        <is>
          <t>需确认</t>
        </is>
      </c>
      <c r="G26" s="3" t="inlineStr">
        <is>
          <t>客户投保或双方共保</t>
        </is>
      </c>
      <c r="H26" s="3" t="inlineStr">
        <is>
          <t>贴牌客户作为制造商通常需要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12" customWidth="1" min="4" max="4"/>
    <col width="22" customWidth="1" min="5" max="5"/>
    <col width="40" customWidth="1" min="6" max="6"/>
  </cols>
  <sheetData>
    <row r="1">
      <c r="A1" s="2" t="inlineStr">
        <is>
          <t>周期</t>
        </is>
      </c>
      <c r="B1" s="2" t="inlineStr">
        <is>
          <t>动作</t>
        </is>
      </c>
      <c r="C1" s="2" t="inlineStr">
        <is>
          <t>数量/频率</t>
        </is>
      </c>
      <c r="D1" s="2" t="inlineStr">
        <is>
          <t>负责人</t>
        </is>
      </c>
      <c r="E1" s="2" t="inlineStr">
        <is>
          <t>看什么数</t>
        </is>
      </c>
      <c r="F1" s="2" t="inlineStr">
        <is>
          <t>备注</t>
        </is>
      </c>
    </row>
    <row r="2">
      <c r="A2" s="3" t="inlineStr">
        <is>
          <t>每日</t>
        </is>
      </c>
      <c r="B2" s="3" t="inlineStr">
        <is>
          <t>新进名单+打分入池</t>
        </is>
      </c>
      <c r="C2" s="3" t="inlineStr">
        <is>
          <t>15-20 家</t>
        </is>
      </c>
      <c r="D2" s="3" t="inlineStr">
        <is>
          <t>开发</t>
        </is>
      </c>
      <c r="E2" s="3" t="inlineStr">
        <is>
          <t>新增名单</t>
        </is>
      </c>
      <c r="F2" s="3" t="inlineStr">
        <is>
          <t>宁可精准300不要垃圾3000</t>
        </is>
      </c>
    </row>
    <row r="3">
      <c r="A3" s="3" t="inlineStr">
        <is>
          <t>每日</t>
        </is>
      </c>
      <c r="B3" s="3" t="inlineStr">
        <is>
          <t>LinkedIn 邀请</t>
        </is>
      </c>
      <c r="C3" s="3" t="inlineStr">
        <is>
          <t>15-20（每周总量≤100）</t>
        </is>
      </c>
      <c r="D3" s="3" t="inlineStr">
        <is>
          <t>开发</t>
        </is>
      </c>
      <c r="E3" s="3" t="inlineStr">
        <is>
          <t>接受率≥35%</t>
        </is>
      </c>
      <c r="F3" s="3" t="inlineStr">
        <is>
          <t>新号前两周每天≤10</t>
        </is>
      </c>
    </row>
    <row r="4">
      <c r="A4" s="3" t="inlineStr">
        <is>
          <t>每日</t>
        </is>
      </c>
      <c r="B4" s="3" t="inlineStr">
        <is>
          <t>首触/跟进</t>
        </is>
      </c>
      <c r="C4" s="3" t="inlineStr">
        <is>
          <t>20-30</t>
        </is>
      </c>
      <c r="D4" s="3" t="inlineStr">
        <is>
          <t>开发</t>
        </is>
      </c>
      <c r="E4" s="3" t="inlineStr">
        <is>
          <t>回复率</t>
        </is>
      </c>
      <c r="F4" s="3" t="inlineStr">
        <is>
          <t>LinkedIn+邮件混合</t>
        </is>
      </c>
    </row>
    <row r="5">
      <c r="A5" s="3" t="inlineStr">
        <is>
          <t>每日</t>
        </is>
      </c>
      <c r="B5" s="3" t="inlineStr">
        <is>
          <t>处理回复</t>
        </is>
      </c>
      <c r="C5" s="3" t="inlineStr">
        <is>
          <t>2 小时内</t>
        </is>
      </c>
      <c r="D5" s="3" t="inlineStr">
        <is>
          <t>开发</t>
        </is>
      </c>
      <c r="E5" s="3" t="inlineStr">
        <is>
          <t>—</t>
        </is>
      </c>
      <c r="F5" s="3" t="inlineStr">
        <is>
          <t>超过2小时转化率腰斩</t>
        </is>
      </c>
    </row>
    <row r="6">
      <c r="A6" s="3" t="inlineStr">
        <is>
          <t>每日</t>
        </is>
      </c>
      <c r="B6" s="3" t="inlineStr">
        <is>
          <t>更新 CRM / 明日跟进</t>
        </is>
      </c>
      <c r="C6" s="3" t="inlineStr">
        <is>
          <t>下班前</t>
        </is>
      </c>
      <c r="D6" s="3" t="inlineStr">
        <is>
          <t>开发</t>
        </is>
      </c>
      <c r="E6" s="3" t="inlineStr">
        <is>
          <t>—</t>
        </is>
      </c>
      <c r="F6" s="3" t="inlineStr">
        <is>
          <t>客户不得停在'已触达'&gt;21天</t>
        </is>
      </c>
    </row>
    <row r="7">
      <c r="A7" s="3" t="inlineStr">
        <is>
          <t>每周二/四</t>
        </is>
      </c>
      <c r="B7" s="3" t="inlineStr">
        <is>
          <t>内容发布</t>
        </is>
      </c>
      <c r="C7" s="3" t="inlineStr">
        <is>
          <t>各 1 条</t>
        </is>
      </c>
      <c r="D7" s="3" t="inlineStr">
        <is>
          <t>内容</t>
        </is>
      </c>
      <c r="E7" s="3" t="inlineStr">
        <is>
          <t>互动率</t>
        </is>
      </c>
      <c r="F7" s="3" t="inlineStr">
        <is>
          <t>技术型 &gt; 广告型</t>
        </is>
      </c>
    </row>
    <row r="8">
      <c r="A8" s="3" t="inlineStr">
        <is>
          <t>每周五</t>
        </is>
      </c>
      <c r="B8" s="3" t="inlineStr">
        <is>
          <t>漏斗复盘</t>
        </is>
      </c>
      <c r="C8" s="3" t="inlineStr">
        <is>
          <t>1 小时</t>
        </is>
      </c>
      <c r="D8" s="3" t="inlineStr">
        <is>
          <t>负责人</t>
        </is>
      </c>
      <c r="E8" s="3" t="inlineStr">
        <is>
          <t>全漏斗</t>
        </is>
      </c>
      <c r="F8" s="3" t="inlineStr">
        <is>
          <t>砍掉最差管道的10%动作</t>
        </is>
      </c>
    </row>
    <row r="9">
      <c r="A9" s="3" t="inlineStr">
        <is>
          <t>每周五</t>
        </is>
      </c>
      <c r="B9" s="3" t="inlineStr">
        <is>
          <t>周报</t>
        </is>
      </c>
      <c r="C9" s="3" t="inlineStr">
        <is>
          <t>1 篇</t>
        </is>
      </c>
      <c r="D9" s="3" t="inlineStr">
        <is>
          <t>负责人</t>
        </is>
      </c>
      <c r="E9" s="3" t="inlineStr">
        <is>
          <t>—</t>
        </is>
      </c>
      <c r="F9" s="3" t="inlineStr">
        <is>
          <t>见手册附录A</t>
        </is>
      </c>
    </row>
    <row r="10">
      <c r="A10" s="3" t="inlineStr">
        <is>
          <t>每月</t>
        </is>
      </c>
      <c r="B10" s="3" t="inlineStr">
        <is>
          <t>A 类深挖（找老板/技术总监）</t>
        </is>
      </c>
      <c r="C10" s="3" t="inlineStr">
        <is>
          <t>30 家</t>
        </is>
      </c>
      <c r="D10" s="3" t="inlineStr">
        <is>
          <t>开发</t>
        </is>
      </c>
      <c r="E10" s="3" t="inlineStr">
        <is>
          <t>A类池 40-60 家</t>
        </is>
      </c>
      <c r="F10" s="3" t="inlineStr">
        <is>
          <t>定制化技术资料</t>
        </is>
      </c>
    </row>
    <row r="11">
      <c r="A11" s="3" t="inlineStr">
        <is>
          <t>每月</t>
        </is>
      </c>
      <c r="B11" s="3" t="inlineStr">
        <is>
          <t>线上 demo / POC 复盘</t>
        </is>
      </c>
      <c r="C11" s="3" t="inlineStr">
        <is>
          <t>2 次</t>
        </is>
      </c>
      <c r="D11" s="3" t="inlineStr">
        <is>
          <t>技术</t>
        </is>
      </c>
      <c r="E11" s="3" t="inlineStr">
        <is>
          <t>POC 通过率</t>
        </is>
      </c>
      <c r="F11" s="3" t="inlineStr"/>
    </row>
    <row r="12">
      <c r="A12" s="3" t="inlineStr">
        <is>
          <t>每月</t>
        </is>
      </c>
      <c r="B12" s="3" t="inlineStr">
        <is>
          <t>案例或技术文章</t>
        </is>
      </c>
      <c r="C12" s="3" t="inlineStr">
        <is>
          <t>1 篇</t>
        </is>
      </c>
      <c r="D12" s="3" t="inlineStr">
        <is>
          <t>内容</t>
        </is>
      </c>
      <c r="E12" s="3" t="inlineStr">
        <is>
          <t>—</t>
        </is>
      </c>
      <c r="F12" s="3" t="inlineStr">
        <is>
          <t>累计12篇/年</t>
        </is>
      </c>
    </row>
    <row r="13">
      <c r="A13" s="3" t="inlineStr">
        <is>
          <t>每月</t>
        </is>
      </c>
      <c r="B13" s="3" t="inlineStr">
        <is>
          <t>渠道价格与竞品复核</t>
        </is>
      </c>
      <c r="C13" s="3" t="inlineStr">
        <is>
          <t>1 次</t>
        </is>
      </c>
      <c r="D13" s="3" t="inlineStr">
        <is>
          <t>负责人</t>
        </is>
      </c>
      <c r="E13" s="3" t="inlineStr">
        <is>
          <t>—</t>
        </is>
      </c>
      <c r="F13" s="3" t="inlineStr"/>
    </row>
    <row r="14">
      <c r="A14" s="3" t="inlineStr">
        <is>
          <t>每季</t>
        </is>
      </c>
      <c r="B14" s="3" t="inlineStr">
        <is>
          <t>展会或客户拜访</t>
        </is>
      </c>
      <c r="C14" s="3" t="inlineStr">
        <is>
          <t>1 次</t>
        </is>
      </c>
      <c r="D14" s="3" t="inlineStr">
        <is>
          <t>负责人</t>
        </is>
      </c>
      <c r="E14" s="3" t="inlineStr">
        <is>
          <t>有效名片数</t>
        </is>
      </c>
      <c r="F14" s="3" t="inlineStr">
        <is>
          <t>会前40家预约会</t>
        </is>
      </c>
    </row>
    <row r="15">
      <c r="A15" s="3" t="inlineStr">
        <is>
          <t>每季</t>
        </is>
      </c>
      <c r="B15" s="3" t="inlineStr">
        <is>
          <t>产品-市场匹配回顾</t>
        </is>
      </c>
      <c r="C15" s="3" t="inlineStr">
        <is>
          <t>1 次</t>
        </is>
      </c>
      <c r="D15" s="3" t="inlineStr">
        <is>
          <t>负责人</t>
        </is>
      </c>
      <c r="E15" s="3" t="inlineStr">
        <is>
          <t>缺口台账频次</t>
        </is>
      </c>
      <c r="F15" s="3" t="inlineStr">
        <is>
          <t>同一需求出现3次→向SmartByte提案</t>
        </is>
      </c>
    </row>
    <row r="16">
      <c r="A16" s="3" t="inlineStr">
        <is>
          <t>每年</t>
        </is>
      </c>
      <c r="B16" s="3" t="inlineStr">
        <is>
          <t>展会</t>
        </is>
      </c>
      <c r="C16" s="3" t="inlineStr">
        <is>
          <t>2-3 次</t>
        </is>
      </c>
      <c r="D16" s="3" t="inlineStr">
        <is>
          <t>负责人</t>
        </is>
      </c>
      <c r="E16" s="3" t="inlineStr">
        <is>
          <t>—</t>
        </is>
      </c>
      <c r="F16" s="3" t="inlineStr">
        <is>
          <t>MUM / embedded world / Intertraffic 优先</t>
        </is>
      </c>
    </row>
    <row r="17">
      <c r="A17" s="3" t="inlineStr">
        <is>
          <t>每年</t>
        </is>
      </c>
      <c r="B17" s="3" t="inlineStr">
        <is>
          <t>与 SmartByte 年度共创会</t>
        </is>
      </c>
      <c r="C17" s="3" t="inlineStr">
        <is>
          <t>1 次</t>
        </is>
      </c>
      <c r="D17" s="3" t="inlineStr">
        <is>
          <t>负责人</t>
        </is>
      </c>
      <c r="E17" s="3" t="inlineStr">
        <is>
          <t>新品转化数</t>
        </is>
      </c>
      <c r="F17" s="3" t="inlineStr">
        <is>
          <t>把客户缺口变明年新品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>
        <is>
          <t>指标</t>
        </is>
      </c>
      <c r="B19" s="3" t="inlineStr">
        <is>
          <t>起步期(月)</t>
        </is>
      </c>
      <c r="C19" s="3" t="inlineStr">
        <is>
          <t>稳定期(月)</t>
        </is>
      </c>
      <c r="D19" s="3" t="inlineStr"/>
      <c r="E19" s="3" t="inlineStr"/>
      <c r="F19" s="3" t="inlineStr"/>
    </row>
    <row r="20">
      <c r="A20" s="3" t="inlineStr">
        <is>
          <t>新增名单</t>
        </is>
      </c>
      <c r="B20" s="3" t="inlineStr">
        <is>
          <t>300-400</t>
        </is>
      </c>
      <c r="C20" s="3" t="inlineStr">
        <is>
          <t>200-300</t>
        </is>
      </c>
      <c r="D20" s="3" t="inlineStr"/>
      <c r="E20" s="3" t="inlineStr"/>
      <c r="F20" s="3" t="inlineStr"/>
    </row>
    <row r="21">
      <c r="A21" s="3" t="inlineStr">
        <is>
          <t>触达次数</t>
        </is>
      </c>
      <c r="B21" s="3" t="inlineStr">
        <is>
          <t>500-600</t>
        </is>
      </c>
      <c r="C21" s="3" t="inlineStr">
        <is>
          <t>400-500</t>
        </is>
      </c>
      <c r="D21" s="3" t="inlineStr"/>
      <c r="E21" s="3" t="inlineStr"/>
      <c r="F21" s="3" t="inlineStr"/>
    </row>
    <row r="22">
      <c r="A22" s="3" t="inlineStr">
        <is>
          <t>LinkedIn 邀请</t>
        </is>
      </c>
      <c r="B22" s="3" t="inlineStr">
        <is>
          <t>250-300</t>
        </is>
      </c>
      <c r="C22" s="3" t="inlineStr">
        <is>
          <t>200-250</t>
        </is>
      </c>
      <c r="D22" s="3" t="inlineStr"/>
      <c r="E22" s="3" t="inlineStr"/>
      <c r="F22" s="3" t="inlineStr"/>
    </row>
    <row r="23">
      <c r="A23" s="3" t="inlineStr">
        <is>
          <t>邮件发送</t>
        </is>
      </c>
      <c r="B23" s="3" t="inlineStr">
        <is>
          <t>400-600</t>
        </is>
      </c>
      <c r="C23" s="3" t="inlineStr">
        <is>
          <t>400-600</t>
        </is>
      </c>
      <c r="D23" s="3" t="inlineStr"/>
      <c r="E23" s="3" t="inlineStr"/>
      <c r="F23" s="3" t="inlineStr"/>
    </row>
    <row r="24">
      <c r="A24" s="3" t="inlineStr">
        <is>
          <t>邀请接受率</t>
        </is>
      </c>
      <c r="B24" s="3" t="inlineStr">
        <is>
          <t>—</t>
        </is>
      </c>
      <c r="C24" s="3" t="inlineStr">
        <is>
          <t>≥35%</t>
        </is>
      </c>
      <c r="D24" s="3" t="inlineStr"/>
      <c r="E24" s="3" t="inlineStr"/>
      <c r="F24" s="3" t="inlineStr"/>
    </row>
    <row r="25">
      <c r="A25" s="3" t="inlineStr">
        <is>
          <t>邮件回复率</t>
        </is>
      </c>
      <c r="B25" s="3" t="inlineStr">
        <is>
          <t>—</t>
        </is>
      </c>
      <c r="C25" s="3" t="inlineStr">
        <is>
          <t>≥6%</t>
        </is>
      </c>
      <c r="D25" s="3" t="inlineStr"/>
      <c r="E25" s="3" t="inlineStr"/>
      <c r="F25" s="3" t="inlineStr"/>
    </row>
    <row r="26">
      <c r="A26" s="3" t="inlineStr">
        <is>
          <t>月度漏斗</t>
        </is>
      </c>
      <c r="B26" s="3" t="inlineStr">
        <is>
          <t>400触达→30回复→8技术对话→6样机→8报价→1-2首单</t>
        </is>
      </c>
      <c r="C26" s="3" t="inlineStr"/>
      <c r="D26" s="3" t="inlineStr"/>
      <c r="E26" s="3" t="inlineStr"/>
      <c r="F26" s="3" t="inlineStr"/>
    </row>
    <row r="27">
      <c r="A27" s="3" t="inlineStr">
        <is>
          <t>12个月目标</t>
        </is>
      </c>
      <c r="B27" s="3" t="inlineStr">
        <is>
          <t>新客户15-25家(OEM 3-5家) / 出货8-15k台 / 复购率≥50%</t>
        </is>
      </c>
      <c r="C27" s="3" t="inlineStr"/>
      <c r="D27" s="3" t="inlineStr"/>
      <c r="E27" s="3" t="inlineStr"/>
      <c r="F27" s="3" t="inlineStr"/>
    </row>
    <row r="28">
      <c r="A28" s="3" t="inlineStr">
        <is>
          <t>预算 轻模式</t>
        </is>
      </c>
      <c r="B28" s="3" t="inlineStr">
        <is>
          <t>≈ US$27k/年</t>
        </is>
      </c>
      <c r="C28" s="3" t="inlineStr"/>
      <c r="D28" s="3" t="inlineStr"/>
      <c r="E28" s="3" t="inlineStr"/>
      <c r="F28" s="3" t="inlineStr"/>
    </row>
    <row r="29">
      <c r="A29" s="3" t="inlineStr">
        <is>
          <t>预算 标准模式</t>
        </is>
      </c>
      <c r="B29" s="3" t="inlineStr">
        <is>
          <t>≈ US$87k/年（含参展+本地BD）</t>
        </is>
      </c>
      <c r="C29" s="3" t="inlineStr"/>
      <c r="D29" s="3" t="inlineStr"/>
      <c r="E29" s="3" t="inlineStr"/>
      <c r="F29" s="3" t="inlineStr"/>
    </row>
    <row r="30">
      <c r="A30" s="3" t="inlineStr">
        <is>
          <t>ROI门槛</t>
        </is>
      </c>
      <c r="B30" s="3" t="inlineStr">
        <is>
          <t>1个OEM客户 = 年3k台 × 毛利$15 = $45k</t>
        </is>
      </c>
      <c r="C30" s="3" t="inlineStr"/>
      <c r="D30" s="3" t="inlineStr"/>
      <c r="E30" s="3" t="inlineStr"/>
      <c r="F3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4" customWidth="1" min="4" max="4"/>
    <col width="16" customWidth="1" min="5" max="5"/>
    <col width="10" customWidth="1" min="6" max="6"/>
    <col width="34" customWidth="1" min="7" max="7"/>
  </cols>
  <sheetData>
    <row r="1" ht="45" customHeight="1">
      <c r="A1" s="6" t="inlineStr">
        <is>
          <t>说明：UN Comtrade，Reporter=Latvia(428)，HS 851762（交换/路由设备），Export，2024，FOB USD。MikroTik 占拉脱维亚该税号出口 3/4 以上，可视为 MikroTik 分销商进货地图。全球合计 USD 422,324,814。</t>
        </is>
      </c>
    </row>
    <row r="2">
      <c r="A2" s="5" t="inlineStr">
        <is>
          <t>排名</t>
        </is>
      </c>
      <c r="B2" s="5" t="inlineStr">
        <is>
          <t>国家/地区</t>
        </is>
      </c>
      <c r="C2" s="5" t="inlineStr">
        <is>
          <t>M49 代码</t>
        </is>
      </c>
      <c r="D2" s="5" t="inlineStr">
        <is>
          <t>区域</t>
        </is>
      </c>
      <c r="E2" s="5" t="inlineStr">
        <is>
          <t>出口额 USD</t>
        </is>
      </c>
      <c r="F2" s="5" t="inlineStr">
        <is>
          <t>占全球 %</t>
        </is>
      </c>
      <c r="G2" s="5" t="inlineStr">
        <is>
          <t>备注</t>
        </is>
      </c>
    </row>
    <row r="3">
      <c r="A3" t="n">
        <v>1</v>
      </c>
      <c r="B3" t="inlineStr">
        <is>
          <t>美国</t>
        </is>
      </c>
      <c r="C3" t="n">
        <v>842</v>
      </c>
      <c r="D3" t="inlineStr">
        <is>
          <t>北美</t>
        </is>
      </c>
      <c r="E3" s="7" t="n">
        <v>50994438</v>
      </c>
      <c r="F3" s="8">
        <f>E3/422324814</f>
        <v/>
      </c>
      <c r="G3" t="inlineStr">
        <is>
          <t>对华关税约 37.5%（2026-09）</t>
        </is>
      </c>
    </row>
    <row r="4">
      <c r="A4" t="n">
        <v>2</v>
      </c>
      <c r="B4" t="inlineStr">
        <is>
          <t>阿联酋(转口枢纽)</t>
        </is>
      </c>
      <c r="C4" t="n">
        <v>784</v>
      </c>
      <c r="D4" t="inlineStr">
        <is>
          <t>中东/土耳其</t>
        </is>
      </c>
      <c r="E4" s="7" t="n">
        <v>43018484</v>
      </c>
      <c r="F4" s="8">
        <f>E4/422324814</f>
        <v/>
      </c>
      <c r="G4" t="inlineStr">
        <is>
          <t>转口枢纽→中东/非洲/南亚</t>
        </is>
      </c>
    </row>
    <row r="5">
      <c r="A5" t="n">
        <v>3</v>
      </c>
      <c r="B5" t="inlineStr">
        <is>
          <t>波兰</t>
        </is>
      </c>
      <c r="C5" t="n">
        <v>616</v>
      </c>
      <c r="D5" t="inlineStr">
        <is>
          <t>欧洲</t>
        </is>
      </c>
      <c r="E5" s="7" t="n">
        <v>34368342</v>
      </c>
      <c r="F5" s="8">
        <f>E5/422324814</f>
        <v/>
      </c>
      <c r="G5" t="inlineStr">
        <is>
          <t>欧洲第一 MikroTik 国</t>
        </is>
      </c>
    </row>
    <row r="6">
      <c r="A6" t="n">
        <v>4</v>
      </c>
      <c r="B6" t="inlineStr">
        <is>
          <t>立陶宛(波罗的海分销枢纽)</t>
        </is>
      </c>
      <c r="C6" t="n">
        <v>440</v>
      </c>
      <c r="D6" t="inlineStr">
        <is>
          <t>欧洲</t>
        </is>
      </c>
      <c r="E6" s="7" t="n">
        <v>32525290</v>
      </c>
      <c r="F6" s="8">
        <f>E6/422324814</f>
        <v/>
      </c>
      <c r="G6" t="inlineStr">
        <is>
          <t>波罗的海分销枢纽</t>
        </is>
      </c>
    </row>
    <row r="7">
      <c r="A7" t="n">
        <v>5</v>
      </c>
      <c r="B7" t="inlineStr">
        <is>
          <t>捷克</t>
        </is>
      </c>
      <c r="C7" t="n">
        <v>203</v>
      </c>
      <c r="D7" t="inlineStr">
        <is>
          <t>欧洲</t>
        </is>
      </c>
      <c r="E7" s="7" t="n">
        <v>21822977</v>
      </c>
      <c r="F7" s="8">
        <f>E7/422324814</f>
        <v/>
      </c>
      <c r="G7" t="inlineStr">
        <is>
          <t>WISP 密度极高</t>
        </is>
      </c>
    </row>
    <row r="8">
      <c r="A8" t="n">
        <v>6</v>
      </c>
      <c r="B8" t="inlineStr">
        <is>
          <t>德国</t>
        </is>
      </c>
      <c r="C8" t="n">
        <v>276</v>
      </c>
      <c r="D8" t="inlineStr">
        <is>
          <t>欧洲</t>
        </is>
      </c>
      <c r="E8" s="7" t="n">
        <v>16002618</v>
      </c>
      <c r="F8" s="8">
        <f>E8/422324814</f>
        <v/>
      </c>
    </row>
    <row r="9">
      <c r="A9" t="n">
        <v>7</v>
      </c>
      <c r="B9" t="inlineStr">
        <is>
          <t>中国香港(转口枢纽)</t>
        </is>
      </c>
      <c r="C9" t="n">
        <v>344</v>
      </c>
      <c r="D9" t="inlineStr">
        <is>
          <t>亚太</t>
        </is>
      </c>
      <c r="E9" s="7" t="n">
        <v>15962714</v>
      </c>
      <c r="F9" s="8">
        <f>E9/422324814</f>
        <v/>
      </c>
      <c r="G9" t="inlineStr">
        <is>
          <t>转口枢纽→东南亚/南亚</t>
        </is>
      </c>
    </row>
    <row r="10">
      <c r="A10" t="n">
        <v>8</v>
      </c>
      <c r="B10" t="inlineStr">
        <is>
          <t>南非</t>
        </is>
      </c>
      <c r="C10" t="n">
        <v>710</v>
      </c>
      <c r="D10" t="inlineStr">
        <is>
          <t>非洲</t>
        </is>
      </c>
      <c r="E10" s="7" t="n">
        <v>11426199</v>
      </c>
      <c r="F10" s="8">
        <f>E10/422324814</f>
        <v/>
      </c>
    </row>
    <row r="11">
      <c r="A11" t="n">
        <v>9</v>
      </c>
      <c r="B11" t="inlineStr">
        <is>
          <t>印度尼西亚</t>
        </is>
      </c>
      <c r="C11" t="n">
        <v>360</v>
      </c>
      <c r="D11" t="inlineStr">
        <is>
          <t>亚太</t>
        </is>
      </c>
      <c r="E11" s="7" t="n">
        <v>11250898</v>
      </c>
      <c r="F11" s="8">
        <f>E11/422324814</f>
        <v/>
      </c>
    </row>
    <row r="12">
      <c r="A12" t="n">
        <v>10</v>
      </c>
      <c r="B12" t="inlineStr">
        <is>
          <t>哈萨克斯坦</t>
        </is>
      </c>
      <c r="C12" t="n">
        <v>398</v>
      </c>
      <c r="D12" t="inlineStr">
        <is>
          <t>独联体/中亚</t>
        </is>
      </c>
      <c r="E12" s="7" t="n">
        <v>10925270</v>
      </c>
      <c r="F12" s="8">
        <f>E12/422324814</f>
        <v/>
      </c>
    </row>
    <row r="13">
      <c r="A13" t="n">
        <v>11</v>
      </c>
      <c r="B13" t="inlineStr">
        <is>
          <t>英国</t>
        </is>
      </c>
      <c r="C13" t="n">
        <v>826</v>
      </c>
      <c r="D13" t="inlineStr">
        <is>
          <t>欧洲</t>
        </is>
      </c>
      <c r="E13" s="7" t="n">
        <v>8784753</v>
      </c>
      <c r="F13" s="8">
        <f>E13/422324814</f>
        <v/>
      </c>
    </row>
    <row r="14">
      <c r="A14" t="n">
        <v>12</v>
      </c>
      <c r="B14" t="inlineStr">
        <is>
          <t>爱沙尼亚</t>
        </is>
      </c>
      <c r="C14" t="n">
        <v>233</v>
      </c>
      <c r="D14" t="inlineStr">
        <is>
          <t>欧洲</t>
        </is>
      </c>
      <c r="E14" s="7" t="n">
        <v>8754532</v>
      </c>
      <c r="F14" s="8">
        <f>E14/422324814</f>
        <v/>
      </c>
      <c r="G14" t="inlineStr">
        <is>
          <t>波罗的海分销枢纽</t>
        </is>
      </c>
    </row>
    <row r="15">
      <c r="A15" t="n">
        <v>13</v>
      </c>
      <c r="B15" t="inlineStr">
        <is>
          <t>乌克兰</t>
        </is>
      </c>
      <c r="C15" t="n">
        <v>804</v>
      </c>
      <c r="D15" t="inlineStr">
        <is>
          <t>欧洲</t>
        </is>
      </c>
      <c r="E15" s="7" t="n">
        <v>8206878</v>
      </c>
      <c r="F15" s="8">
        <f>E15/422324814</f>
        <v/>
      </c>
    </row>
    <row r="16">
      <c r="A16" t="n">
        <v>14</v>
      </c>
      <c r="B16" t="inlineStr">
        <is>
          <t>意大利</t>
        </is>
      </c>
      <c r="C16" t="n">
        <v>380</v>
      </c>
      <c r="D16" t="inlineStr">
        <is>
          <t>欧洲</t>
        </is>
      </c>
      <c r="E16" s="7" t="n">
        <v>8186541</v>
      </c>
      <c r="F16" s="8">
        <f>E16/422324814</f>
        <v/>
      </c>
    </row>
    <row r="17">
      <c r="A17" t="n">
        <v>15</v>
      </c>
      <c r="B17" t="inlineStr">
        <is>
          <t>土耳其</t>
        </is>
      </c>
      <c r="C17" t="n">
        <v>792</v>
      </c>
      <c r="D17" t="inlineStr">
        <is>
          <t>中东/土耳其</t>
        </is>
      </c>
      <c r="E17" s="7" t="n">
        <v>7652474</v>
      </c>
      <c r="F17" s="8">
        <f>E17/422324814</f>
        <v/>
      </c>
      <c r="G17" t="inlineStr">
        <is>
          <t>你已有 NMS 客户</t>
        </is>
      </c>
    </row>
    <row r="18">
      <c r="A18" t="n">
        <v>16</v>
      </c>
      <c r="B18" t="inlineStr">
        <is>
          <t>西班牙</t>
        </is>
      </c>
      <c r="C18" t="n">
        <v>724</v>
      </c>
      <c r="D18" t="inlineStr">
        <is>
          <t>欧洲</t>
        </is>
      </c>
      <c r="E18" s="7" t="n">
        <v>7284155</v>
      </c>
      <c r="F18" s="8">
        <f>E18/422324814</f>
        <v/>
      </c>
    </row>
    <row r="19">
      <c r="A19" t="n">
        <v>17</v>
      </c>
      <c r="B19" t="inlineStr">
        <is>
          <t>荷兰</t>
        </is>
      </c>
      <c r="C19" t="n">
        <v>528</v>
      </c>
      <c r="D19" t="inlineStr">
        <is>
          <t>欧洲</t>
        </is>
      </c>
      <c r="E19" s="7" t="n">
        <v>6532562</v>
      </c>
      <c r="F19" s="8">
        <f>E19/422324814</f>
        <v/>
      </c>
    </row>
    <row r="20">
      <c r="A20" t="n">
        <v>18</v>
      </c>
      <c r="B20" t="inlineStr">
        <is>
          <t>巴西</t>
        </is>
      </c>
      <c r="C20" t="n">
        <v>76</v>
      </c>
      <c r="D20" t="inlineStr">
        <is>
          <t>拉美</t>
        </is>
      </c>
      <c r="E20" s="7" t="n">
        <v>5655456</v>
      </c>
      <c r="F20" s="8">
        <f>E20/422324814</f>
        <v/>
      </c>
    </row>
    <row r="21">
      <c r="A21" t="n">
        <v>19</v>
      </c>
      <c r="B21" t="inlineStr">
        <is>
          <t>奥地利</t>
        </is>
      </c>
      <c r="C21" t="n">
        <v>40</v>
      </c>
      <c r="D21" t="inlineStr">
        <is>
          <t>欧洲</t>
        </is>
      </c>
      <c r="E21" s="7" t="n">
        <v>4567730</v>
      </c>
      <c r="F21" s="8">
        <f>E21/422324814</f>
        <v/>
      </c>
    </row>
    <row r="22">
      <c r="A22" t="n">
        <v>20</v>
      </c>
      <c r="B22" t="inlineStr">
        <is>
          <t>新加坡</t>
        </is>
      </c>
      <c r="C22" t="n">
        <v>702</v>
      </c>
      <c r="D22" t="inlineStr">
        <is>
          <t>亚太</t>
        </is>
      </c>
      <c r="E22" s="7" t="n">
        <v>4496379</v>
      </c>
      <c r="F22" s="8">
        <f>E22/422324814</f>
        <v/>
      </c>
      <c r="G22" t="inlineStr">
        <is>
          <t>转口枢纽</t>
        </is>
      </c>
    </row>
    <row r="23">
      <c r="A23" t="n">
        <v>21</v>
      </c>
      <c r="B23" t="inlineStr">
        <is>
          <t>中国大陆</t>
        </is>
      </c>
      <c r="C23" t="n">
        <v>156</v>
      </c>
      <c r="D23" t="inlineStr">
        <is>
          <t>亚太</t>
        </is>
      </c>
      <c r="E23" s="7" t="n">
        <v>4493322</v>
      </c>
      <c r="F23" s="8">
        <f>E23/422324814</f>
        <v/>
      </c>
    </row>
    <row r="24">
      <c r="A24" t="n">
        <v>22</v>
      </c>
      <c r="B24" t="inlineStr">
        <is>
          <t>加拿大</t>
        </is>
      </c>
      <c r="C24" t="n">
        <v>124</v>
      </c>
      <c r="D24" t="inlineStr">
        <is>
          <t>北美</t>
        </is>
      </c>
      <c r="E24" s="7" t="n">
        <v>4469245</v>
      </c>
      <c r="F24" s="8">
        <f>E24/422324814</f>
        <v/>
      </c>
    </row>
    <row r="25">
      <c r="A25" t="n">
        <v>23</v>
      </c>
      <c r="B25" t="inlineStr">
        <is>
          <t>哥伦比亚</t>
        </is>
      </c>
      <c r="C25" t="n">
        <v>170</v>
      </c>
      <c r="D25" t="inlineStr">
        <is>
          <t>拉美</t>
        </is>
      </c>
      <c r="E25" s="7" t="n">
        <v>3752926</v>
      </c>
      <c r="F25" s="8">
        <f>E25/422324814</f>
        <v/>
      </c>
    </row>
    <row r="26">
      <c r="A26" t="n">
        <v>24</v>
      </c>
      <c r="B26" t="inlineStr">
        <is>
          <t>保加利亚</t>
        </is>
      </c>
      <c r="C26" t="n">
        <v>100</v>
      </c>
      <c r="D26" t="inlineStr">
        <is>
          <t>欧洲</t>
        </is>
      </c>
      <c r="E26" s="7" t="n">
        <v>3606615</v>
      </c>
      <c r="F26" s="8">
        <f>E26/422324814</f>
        <v/>
      </c>
    </row>
    <row r="27">
      <c r="A27" t="n">
        <v>25</v>
      </c>
      <c r="B27" t="inlineStr">
        <is>
          <t>澳大利亚</t>
        </is>
      </c>
      <c r="C27" t="n">
        <v>36</v>
      </c>
      <c r="D27" t="inlineStr">
        <is>
          <t>亚太</t>
        </is>
      </c>
      <c r="E27" s="7" t="n">
        <v>3596152</v>
      </c>
      <c r="F27" s="8">
        <f>E27/422324814</f>
        <v/>
      </c>
    </row>
    <row r="28">
      <c r="A28" t="n">
        <v>26</v>
      </c>
      <c r="B28" t="inlineStr">
        <is>
          <t>匈牙利</t>
        </is>
      </c>
      <c r="C28" t="n">
        <v>348</v>
      </c>
      <c r="D28" t="inlineStr">
        <is>
          <t>欧洲</t>
        </is>
      </c>
      <c r="E28" s="7" t="n">
        <v>3207035</v>
      </c>
      <c r="F28" s="8">
        <f>E28/422324814</f>
        <v/>
      </c>
    </row>
    <row r="29">
      <c r="A29" t="n">
        <v>27</v>
      </c>
      <c r="B29" t="inlineStr">
        <is>
          <t>瑞典</t>
        </is>
      </c>
      <c r="C29" t="n">
        <v>752</v>
      </c>
      <c r="D29" t="inlineStr">
        <is>
          <t>欧洲</t>
        </is>
      </c>
      <c r="E29" s="7" t="n">
        <v>3137243</v>
      </c>
      <c r="F29" s="8">
        <f>E29/422324814</f>
        <v/>
      </c>
    </row>
    <row r="30">
      <c r="A30" t="n">
        <v>28</v>
      </c>
      <c r="B30" t="inlineStr">
        <is>
          <t>越南</t>
        </is>
      </c>
      <c r="C30" t="n">
        <v>704</v>
      </c>
      <c r="D30" t="inlineStr">
        <is>
          <t>亚太</t>
        </is>
      </c>
      <c r="E30" s="7" t="n">
        <v>2733552</v>
      </c>
      <c r="F30" s="8">
        <f>E30/422324814</f>
        <v/>
      </c>
    </row>
    <row r="31">
      <c r="A31" t="n">
        <v>29</v>
      </c>
      <c r="B31" t="inlineStr">
        <is>
          <t>智利</t>
        </is>
      </c>
      <c r="C31" t="n">
        <v>152</v>
      </c>
      <c r="D31" t="inlineStr">
        <is>
          <t>拉美</t>
        </is>
      </c>
      <c r="E31" s="7" t="n">
        <v>2721330</v>
      </c>
      <c r="F31" s="8">
        <f>E31/422324814</f>
        <v/>
      </c>
    </row>
    <row r="32">
      <c r="A32" t="n">
        <v>30</v>
      </c>
      <c r="B32" t="inlineStr">
        <is>
          <t>秘鲁</t>
        </is>
      </c>
      <c r="C32" t="n">
        <v>604</v>
      </c>
      <c r="D32" t="inlineStr">
        <is>
          <t>拉美</t>
        </is>
      </c>
      <c r="E32" s="7" t="n">
        <v>2713158</v>
      </c>
      <c r="F32" s="8">
        <f>E32/422324814</f>
        <v/>
      </c>
    </row>
    <row r="33">
      <c r="A33" t="n">
        <v>31</v>
      </c>
      <c r="B33" t="inlineStr">
        <is>
          <t>泰国</t>
        </is>
      </c>
      <c r="C33" t="n">
        <v>764</v>
      </c>
      <c r="D33" t="inlineStr">
        <is>
          <t>亚太</t>
        </is>
      </c>
      <c r="E33" s="7" t="n">
        <v>2464546</v>
      </c>
      <c r="F33" s="8">
        <f>E33/422324814</f>
        <v/>
      </c>
    </row>
    <row r="34">
      <c r="A34" t="n">
        <v>32</v>
      </c>
      <c r="B34" t="inlineStr">
        <is>
          <t>希腊</t>
        </is>
      </c>
      <c r="C34" t="n">
        <v>300</v>
      </c>
      <c r="D34" t="inlineStr">
        <is>
          <t>欧洲</t>
        </is>
      </c>
      <c r="E34" s="7" t="n">
        <v>2308883</v>
      </c>
      <c r="F34" s="8">
        <f>E34/422324814</f>
        <v/>
      </c>
    </row>
    <row r="35">
      <c r="A35" t="n">
        <v>33</v>
      </c>
      <c r="B35" t="inlineStr">
        <is>
          <t>丹麦</t>
        </is>
      </c>
      <c r="C35" t="n">
        <v>208</v>
      </c>
      <c r="D35" t="inlineStr">
        <is>
          <t>欧洲</t>
        </is>
      </c>
      <c r="E35" s="7" t="n">
        <v>2239002</v>
      </c>
      <c r="F35" s="8">
        <f>E35/422324814</f>
        <v/>
      </c>
    </row>
    <row r="36">
      <c r="A36" t="n">
        <v>34</v>
      </c>
      <c r="B36" t="inlineStr">
        <is>
          <t>墨西哥</t>
        </is>
      </c>
      <c r="C36" t="n">
        <v>484</v>
      </c>
      <c r="D36" t="inlineStr">
        <is>
          <t>拉美</t>
        </is>
      </c>
      <c r="E36" s="7" t="n">
        <v>2183194</v>
      </c>
      <c r="F36" s="8">
        <f>E36/422324814</f>
        <v/>
      </c>
    </row>
    <row r="37">
      <c r="A37" t="n">
        <v>35</v>
      </c>
      <c r="B37" t="inlineStr">
        <is>
          <t>阿根廷</t>
        </is>
      </c>
      <c r="C37" t="n">
        <v>32</v>
      </c>
      <c r="D37" t="inlineStr">
        <is>
          <t>拉美</t>
        </is>
      </c>
      <c r="E37" s="7" t="n">
        <v>1858335</v>
      </c>
      <c r="F37" s="8">
        <f>E37/422324814</f>
        <v/>
      </c>
    </row>
    <row r="38">
      <c r="A38" t="n">
        <v>36</v>
      </c>
      <c r="B38" t="inlineStr">
        <is>
          <t>罗马尼亚</t>
        </is>
      </c>
      <c r="C38" t="n">
        <v>642</v>
      </c>
      <c r="D38" t="inlineStr">
        <is>
          <t>欧洲</t>
        </is>
      </c>
      <c r="E38" s="7" t="n">
        <v>1844544</v>
      </c>
      <c r="F38" s="8">
        <f>E38/422324814</f>
        <v/>
      </c>
    </row>
    <row r="39">
      <c r="A39" t="n">
        <v>37</v>
      </c>
      <c r="B39" t="inlineStr">
        <is>
          <t>新西兰</t>
        </is>
      </c>
      <c r="C39" t="n">
        <v>554</v>
      </c>
      <c r="D39" t="inlineStr">
        <is>
          <t>亚太</t>
        </is>
      </c>
      <c r="E39" s="7" t="n">
        <v>1696031</v>
      </c>
      <c r="F39" s="8">
        <f>E39/422324814</f>
        <v/>
      </c>
    </row>
    <row r="40">
      <c r="A40" t="n">
        <v>38</v>
      </c>
      <c r="B40" t="inlineStr">
        <is>
          <t>孟加拉国</t>
        </is>
      </c>
      <c r="C40" t="n">
        <v>50</v>
      </c>
      <c r="D40" t="inlineStr">
        <is>
          <t>亚太</t>
        </is>
      </c>
      <c r="E40" s="7" t="n">
        <v>1099842</v>
      </c>
      <c r="F40" s="8">
        <f>E40/422324814</f>
        <v/>
      </c>
    </row>
    <row r="41">
      <c r="A41" t="n">
        <v>39</v>
      </c>
      <c r="B41" t="inlineStr">
        <is>
          <t>斯洛伐克</t>
        </is>
      </c>
      <c r="C41" t="n">
        <v>703</v>
      </c>
      <c r="D41" t="inlineStr">
        <is>
          <t>欧洲</t>
        </is>
      </c>
      <c r="E41" s="7" t="n">
        <v>1068939</v>
      </c>
      <c r="F41" s="8">
        <f>E41/422324814</f>
        <v/>
      </c>
    </row>
    <row r="42">
      <c r="A42" t="n">
        <v>40</v>
      </c>
      <c r="B42" t="inlineStr">
        <is>
          <t>塞尔维亚</t>
        </is>
      </c>
      <c r="C42" t="n">
        <v>688</v>
      </c>
      <c r="D42" t="inlineStr">
        <is>
          <t>欧洲</t>
        </is>
      </c>
      <c r="E42" s="7" t="n">
        <v>1057170</v>
      </c>
      <c r="F42" s="8">
        <f>E42/422324814</f>
        <v/>
      </c>
    </row>
    <row r="43">
      <c r="A43" t="n">
        <v>41</v>
      </c>
      <c r="B43" t="inlineStr">
        <is>
          <t>马来西亚</t>
        </is>
      </c>
      <c r="C43" t="n">
        <v>458</v>
      </c>
      <c r="D43" t="inlineStr">
        <is>
          <t>亚太</t>
        </is>
      </c>
      <c r="E43" s="7" t="n">
        <v>996768</v>
      </c>
      <c r="F43" s="8">
        <f>E43/422324814</f>
        <v/>
      </c>
    </row>
    <row r="44">
      <c r="A44" t="n">
        <v>42</v>
      </c>
      <c r="B44" t="inlineStr">
        <is>
          <t>斯洛文尼亚</t>
        </is>
      </c>
      <c r="C44" t="n">
        <v>705</v>
      </c>
      <c r="D44" t="inlineStr">
        <is>
          <t>欧洲</t>
        </is>
      </c>
      <c r="E44" s="7" t="n">
        <v>951791</v>
      </c>
      <c r="F44" s="8">
        <f>E44/422324814</f>
        <v/>
      </c>
    </row>
    <row r="45">
      <c r="A45" t="n">
        <v>43</v>
      </c>
      <c r="B45" t="inlineStr">
        <is>
          <t>肯尼亚</t>
        </is>
      </c>
      <c r="C45" t="n">
        <v>404</v>
      </c>
      <c r="D45" t="inlineStr">
        <is>
          <t>非洲</t>
        </is>
      </c>
      <c r="E45" s="7" t="n">
        <v>934046</v>
      </c>
      <c r="F45" s="8">
        <f>E45/422324814</f>
        <v/>
      </c>
    </row>
    <row r="46">
      <c r="A46" t="n">
        <v>44</v>
      </c>
      <c r="B46" t="inlineStr">
        <is>
          <t>葡萄牙</t>
        </is>
      </c>
      <c r="C46" t="n">
        <v>620</v>
      </c>
      <c r="D46" t="inlineStr">
        <is>
          <t>欧洲</t>
        </is>
      </c>
      <c r="E46" s="7" t="n">
        <v>927187</v>
      </c>
      <c r="F46" s="8">
        <f>E46/422324814</f>
        <v/>
      </c>
    </row>
    <row r="47">
      <c r="A47" t="n">
        <v>45</v>
      </c>
      <c r="B47" t="inlineStr">
        <is>
          <t>克罗地亚</t>
        </is>
      </c>
      <c r="C47" t="n">
        <v>191</v>
      </c>
      <c r="D47" t="inlineStr">
        <is>
          <t>欧洲</t>
        </is>
      </c>
      <c r="E47" s="7" t="n">
        <v>881827</v>
      </c>
      <c r="F47" s="8">
        <f>E47/422324814</f>
        <v/>
      </c>
    </row>
    <row r="48">
      <c r="A48" t="n">
        <v>46</v>
      </c>
      <c r="B48" t="inlineStr">
        <is>
          <t>芬兰</t>
        </is>
      </c>
      <c r="C48" t="n">
        <v>246</v>
      </c>
      <c r="D48" t="inlineStr">
        <is>
          <t>欧洲</t>
        </is>
      </c>
      <c r="E48" s="7" t="n">
        <v>843078</v>
      </c>
      <c r="F48" s="8">
        <f>E48/422324814</f>
        <v/>
      </c>
    </row>
    <row r="49">
      <c r="A49" t="n">
        <v>47</v>
      </c>
      <c r="B49" t="inlineStr">
        <is>
          <t>乌兹别克斯坦</t>
        </is>
      </c>
      <c r="C49" t="n">
        <v>860</v>
      </c>
      <c r="D49" t="inlineStr">
        <is>
          <t>独联体/中亚</t>
        </is>
      </c>
      <c r="E49" s="7" t="n">
        <v>802640</v>
      </c>
      <c r="F49" s="8">
        <f>E49/422324814</f>
        <v/>
      </c>
    </row>
    <row r="50">
      <c r="A50" t="n">
        <v>48</v>
      </c>
      <c r="B50" t="inlineStr">
        <is>
          <t>沙特</t>
        </is>
      </c>
      <c r="C50" t="n">
        <v>682</v>
      </c>
      <c r="D50" t="inlineStr">
        <is>
          <t>中东/土耳其</t>
        </is>
      </c>
      <c r="E50" s="7" t="n">
        <v>800914</v>
      </c>
      <c r="F50" s="8">
        <f>E50/422324814</f>
        <v/>
      </c>
    </row>
    <row r="51">
      <c r="A51" t="n">
        <v>49</v>
      </c>
      <c r="B51" t="inlineStr">
        <is>
          <t>比利时</t>
        </is>
      </c>
      <c r="C51" t="n">
        <v>56</v>
      </c>
      <c r="D51" t="inlineStr">
        <is>
          <t>欧洲</t>
        </is>
      </c>
      <c r="E51" s="7" t="n">
        <v>706207</v>
      </c>
      <c r="F51" s="8">
        <f>E51/422324814</f>
        <v/>
      </c>
    </row>
    <row r="52">
      <c r="A52" t="n">
        <v>50</v>
      </c>
      <c r="B52" t="inlineStr">
        <is>
          <t>巴基斯坦</t>
        </is>
      </c>
      <c r="C52" t="n">
        <v>586</v>
      </c>
      <c r="D52" t="inlineStr">
        <is>
          <t>亚太</t>
        </is>
      </c>
      <c r="E52" s="7" t="n">
        <v>632718</v>
      </c>
      <c r="F52" s="8">
        <f>E52/422324814</f>
        <v/>
      </c>
    </row>
    <row r="53">
      <c r="A53" t="n">
        <v>51</v>
      </c>
      <c r="B53" t="inlineStr">
        <is>
          <t>格鲁吉亚</t>
        </is>
      </c>
      <c r="C53" t="n">
        <v>268</v>
      </c>
      <c r="D53" t="inlineStr">
        <is>
          <t>独联体/中亚</t>
        </is>
      </c>
      <c r="E53" s="7" t="n">
        <v>612616</v>
      </c>
      <c r="F53" s="8">
        <f>E53/422324814</f>
        <v/>
      </c>
    </row>
    <row r="54">
      <c r="A54" t="n">
        <v>52</v>
      </c>
      <c r="B54" t="inlineStr">
        <is>
          <t>中国台湾</t>
        </is>
      </c>
      <c r="C54" t="n">
        <v>490</v>
      </c>
      <c r="D54" t="inlineStr">
        <is>
          <t>亚太</t>
        </is>
      </c>
      <c r="E54" s="7" t="n">
        <v>601808</v>
      </c>
      <c r="F54" s="8">
        <f>E54/422324814</f>
        <v/>
      </c>
    </row>
    <row r="55">
      <c r="A55" t="n">
        <v>53</v>
      </c>
      <c r="B55" t="inlineStr">
        <is>
          <t>阿尔巴尼亚</t>
        </is>
      </c>
      <c r="C55" t="n">
        <v>8</v>
      </c>
      <c r="D55" t="inlineStr">
        <is>
          <t>欧洲</t>
        </is>
      </c>
      <c r="E55" s="7" t="n">
        <v>551402</v>
      </c>
      <c r="F55" s="8">
        <f>E55/422324814</f>
        <v/>
      </c>
    </row>
    <row r="56">
      <c r="A56" t="n">
        <v>54</v>
      </c>
      <c r="B56" t="inlineStr">
        <is>
          <t>韩国</t>
        </is>
      </c>
      <c r="C56" t="n">
        <v>410</v>
      </c>
      <c r="D56" t="inlineStr">
        <is>
          <t>亚太</t>
        </is>
      </c>
      <c r="E56" s="7" t="n">
        <v>465113</v>
      </c>
      <c r="F56" s="8">
        <f>E56/422324814</f>
        <v/>
      </c>
    </row>
    <row r="57">
      <c r="A57" t="n">
        <v>55</v>
      </c>
      <c r="B57" t="inlineStr">
        <is>
          <t>日本</t>
        </is>
      </c>
      <c r="C57" t="n">
        <v>392</v>
      </c>
      <c r="D57" t="inlineStr">
        <is>
          <t>亚太</t>
        </is>
      </c>
      <c r="E57" s="7" t="n">
        <v>430801</v>
      </c>
      <c r="F57" s="8">
        <f>E57/422324814</f>
        <v/>
      </c>
    </row>
    <row r="58">
      <c r="A58" t="n">
        <v>56</v>
      </c>
      <c r="B58" t="inlineStr">
        <is>
          <t>菲律宾</t>
        </is>
      </c>
      <c r="C58" t="n">
        <v>608</v>
      </c>
      <c r="D58" t="inlineStr">
        <is>
          <t>亚太</t>
        </is>
      </c>
      <c r="E58" s="7" t="n">
        <v>381036</v>
      </c>
      <c r="F58" s="8">
        <f>E58/422324814</f>
        <v/>
      </c>
    </row>
    <row r="59">
      <c r="A59" t="n">
        <v>57</v>
      </c>
      <c r="B59" t="inlineStr">
        <is>
          <t>爱尔兰</t>
        </is>
      </c>
      <c r="C59" t="n">
        <v>372</v>
      </c>
      <c r="D59" t="inlineStr">
        <is>
          <t>欧洲</t>
        </is>
      </c>
      <c r="E59" s="7" t="n">
        <v>357037</v>
      </c>
      <c r="F59" s="8">
        <f>E59/422324814</f>
        <v/>
      </c>
    </row>
    <row r="60">
      <c r="A60" t="n">
        <v>58</v>
      </c>
      <c r="B60" t="inlineStr">
        <is>
          <t>埃及</t>
        </is>
      </c>
      <c r="C60" t="n">
        <v>818</v>
      </c>
      <c r="D60" t="inlineStr">
        <is>
          <t>非洲</t>
        </is>
      </c>
      <c r="E60" s="7" t="n">
        <v>345877</v>
      </c>
      <c r="F60" s="8">
        <f>E60/422324814</f>
        <v/>
      </c>
    </row>
    <row r="61">
      <c r="A61" t="n">
        <v>59</v>
      </c>
      <c r="B61" t="inlineStr">
        <is>
          <t>以色列</t>
        </is>
      </c>
      <c r="C61" t="n">
        <v>376</v>
      </c>
      <c r="D61" t="inlineStr">
        <is>
          <t>中东/土耳其</t>
        </is>
      </c>
      <c r="E61" s="7" t="n">
        <v>273731</v>
      </c>
      <c r="F61" s="8">
        <f>E61/422324814</f>
        <v/>
      </c>
    </row>
    <row r="62">
      <c r="A62" t="n">
        <v>60</v>
      </c>
      <c r="B62" t="inlineStr">
        <is>
          <t>阿塞拜疆</t>
        </is>
      </c>
      <c r="C62" t="n">
        <v>31</v>
      </c>
      <c r="D62" t="inlineStr">
        <is>
          <t>独联体/中亚</t>
        </is>
      </c>
      <c r="E62" s="7" t="n">
        <v>273435</v>
      </c>
      <c r="F62" s="8">
        <f>E62/422324814</f>
        <v/>
      </c>
    </row>
    <row r="63">
      <c r="A63" t="n">
        <v>61</v>
      </c>
      <c r="B63" t="inlineStr">
        <is>
          <t>尼日利亚</t>
        </is>
      </c>
      <c r="C63" t="n">
        <v>566</v>
      </c>
      <c r="D63" t="inlineStr">
        <is>
          <t>非洲</t>
        </is>
      </c>
      <c r="E63" s="7" t="n">
        <v>265052</v>
      </c>
      <c r="F63" s="8">
        <f>E63/422324814</f>
        <v/>
      </c>
    </row>
    <row r="64">
      <c r="A64" t="n">
        <v>62</v>
      </c>
      <c r="B64" t="inlineStr">
        <is>
          <t>安哥拉</t>
        </is>
      </c>
      <c r="C64" t="n">
        <v>24</v>
      </c>
      <c r="D64" t="inlineStr">
        <is>
          <t>非洲</t>
        </is>
      </c>
      <c r="E64" s="7" t="n">
        <v>93579</v>
      </c>
      <c r="F64" s="8">
        <f>E64/422324814</f>
        <v/>
      </c>
    </row>
    <row r="65">
      <c r="A65" t="n">
        <v>63</v>
      </c>
      <c r="B65" t="inlineStr">
        <is>
          <t>白俄罗斯</t>
        </is>
      </c>
      <c r="C65" t="n">
        <v>112</v>
      </c>
      <c r="D65" t="inlineStr">
        <is>
          <t>独联体/中亚</t>
        </is>
      </c>
      <c r="E65" s="7" t="n">
        <v>3144</v>
      </c>
      <c r="F65" s="8">
        <f>E65/422324814</f>
        <v/>
      </c>
    </row>
    <row r="66">
      <c r="B66" t="inlineStr">
        <is>
          <t>其他未查询国家（合计约 90 国）</t>
        </is>
      </c>
      <c r="E66" s="7">
        <f>422324814-SUM(E3:E65)</f>
        <v/>
      </c>
      <c r="F66" s="8">
        <f>E66/422324814</f>
        <v/>
      </c>
      <c r="G66" t="inlineStr">
        <is>
          <t>余量</t>
        </is>
      </c>
    </row>
    <row r="67">
      <c r="A67" s="1" t="inlineStr"/>
      <c r="B67" s="1" t="inlineStr">
        <is>
          <t>全球合计</t>
        </is>
      </c>
      <c r="C67" s="1" t="inlineStr"/>
      <c r="D67" s="1" t="inlineStr"/>
      <c r="E67" s="9" t="n">
        <v>422324814</v>
      </c>
      <c r="F67" s="10" t="n">
        <v>1</v>
      </c>
      <c r="G67" s="1" t="inlineStr"/>
    </row>
    <row r="69">
      <c r="A69" s="1" t="inlineStr">
        <is>
          <t>区域汇总</t>
        </is>
      </c>
    </row>
    <row r="70">
      <c r="A70" s="1" t="inlineStr"/>
      <c r="B70" s="1" t="inlineStr">
        <is>
          <t>区域</t>
        </is>
      </c>
      <c r="C70" s="1" t="inlineStr"/>
      <c r="D70" s="1" t="inlineStr"/>
      <c r="E70" s="1" t="inlineStr">
        <is>
          <t>出口额 USD</t>
        </is>
      </c>
      <c r="F70" s="1" t="inlineStr">
        <is>
          <t>占全球 %</t>
        </is>
      </c>
      <c r="G70" s="1" t="inlineStr"/>
    </row>
    <row r="71">
      <c r="B71" t="inlineStr">
        <is>
          <t>欧洲</t>
        </is>
      </c>
      <c r="E71" s="7">
        <f>SUMIF(D3:D65,"欧洲",E3:E65)</f>
        <v/>
      </c>
      <c r="F71" s="8">
        <f>E71/422324814</f>
        <v/>
      </c>
    </row>
    <row r="72">
      <c r="B72" t="inlineStr">
        <is>
          <t>北美</t>
        </is>
      </c>
      <c r="E72" s="7">
        <f>SUMIF(D3:D65,"北美",E3:E65)</f>
        <v/>
      </c>
      <c r="F72" s="8">
        <f>E72/422324814</f>
        <v/>
      </c>
    </row>
    <row r="73">
      <c r="B73" t="inlineStr">
        <is>
          <t>中东/土耳其</t>
        </is>
      </c>
      <c r="E73" s="7">
        <f>SUMIF(D3:D65,"中东/土耳其",E3:E65)</f>
        <v/>
      </c>
      <c r="F73" s="8">
        <f>E73/422324814</f>
        <v/>
      </c>
    </row>
    <row r="74">
      <c r="B74" t="inlineStr">
        <is>
          <t>亚太</t>
        </is>
      </c>
      <c r="E74" s="7">
        <f>SUMIF(D3:D65,"亚太",E3:E65)</f>
        <v/>
      </c>
      <c r="F74" s="8">
        <f>E74/422324814</f>
        <v/>
      </c>
    </row>
    <row r="75">
      <c r="B75" t="inlineStr">
        <is>
          <t>拉美</t>
        </is>
      </c>
      <c r="E75" s="7">
        <f>SUMIF(D3:D65,"拉美",E3:E65)</f>
        <v/>
      </c>
      <c r="F75" s="8">
        <f>E75/422324814</f>
        <v/>
      </c>
    </row>
    <row r="76">
      <c r="B76" t="inlineStr">
        <is>
          <t>非洲</t>
        </is>
      </c>
      <c r="E76" s="7">
        <f>SUMIF(D3:D65,"非洲",E3:E65)</f>
        <v/>
      </c>
      <c r="F76" s="8">
        <f>E76/422324814</f>
        <v/>
      </c>
    </row>
    <row r="77">
      <c r="B77" t="inlineStr">
        <is>
          <t>独联体/中亚</t>
        </is>
      </c>
      <c r="E77" s="7">
        <f>SUMIF(D3:D65,"独联体/中亚",E3:E65)</f>
        <v/>
      </c>
      <c r="F77" s="8">
        <f>E77/422324814</f>
        <v/>
      </c>
    </row>
    <row r="78">
      <c r="B78" t="inlineStr">
        <is>
          <t>其他未查询国家</t>
        </is>
      </c>
      <c r="E78" s="7">
        <f>422324814-SUM(E3:E65)</f>
        <v/>
      </c>
      <c r="F78" s="8">
        <f>E78/422324814</f>
        <v/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2" customWidth="1" min="3" max="3"/>
    <col width="12" customWidth="1" min="4" max="4"/>
    <col width="10" customWidth="1" min="5" max="5"/>
    <col width="10" customWidth="1" min="6" max="6"/>
    <col width="40" customWidth="1" min="7" max="7"/>
  </cols>
  <sheetData>
    <row r="1" ht="30" customHeight="1">
      <c r="A1" s="6" t="inlineStr">
        <is>
          <t>落地价计算器（不含 VAT）。黄色格可改。美国关税 2025–2026 变动频繁，报价前按 HTS 8517.62.0020 现查。</t>
        </is>
      </c>
    </row>
    <row r="2">
      <c r="A2" t="inlineStr">
        <is>
          <t>参数</t>
        </is>
      </c>
      <c r="B2" t="inlineStr">
        <is>
          <t>值</t>
        </is>
      </c>
    </row>
    <row r="3">
      <c r="A3" t="inlineStr">
        <is>
          <t>你的售价 USD (EXW/FOB)</t>
        </is>
      </c>
      <c r="B3" s="11" t="n">
        <v>130</v>
      </c>
    </row>
    <row r="4">
      <c r="A4" t="inlineStr">
        <is>
          <t>海运摊销 USD/台</t>
        </is>
      </c>
      <c r="B4" s="11" t="n">
        <v>6</v>
      </c>
    </row>
    <row r="5">
      <c r="A5" t="inlineStr">
        <is>
          <t>对比：CRS326 MSRP</t>
        </is>
      </c>
      <c r="B5" s="11" t="n">
        <v>209</v>
      </c>
    </row>
    <row r="6">
      <c r="A6" t="inlineStr">
        <is>
          <t>对比：CSS326 MSRP</t>
        </is>
      </c>
      <c r="B6" s="11" t="n">
        <v>159</v>
      </c>
    </row>
    <row r="8">
      <c r="A8" s="12" t="inlineStr">
        <is>
          <t>目的地</t>
        </is>
      </c>
      <c r="B8" s="12" t="inlineStr">
        <is>
          <t>中国产 HS 8517.62 关税</t>
        </is>
      </c>
      <c r="C8" s="12" t="inlineStr">
        <is>
          <t>依据（2026-09）</t>
        </is>
      </c>
      <c r="D8" s="12" t="inlineStr">
        <is>
          <t>落地价 USD</t>
        </is>
      </c>
      <c r="E8" s="12" t="inlineStr">
        <is>
          <t>vs CRS326</t>
        </is>
      </c>
      <c r="F8" s="12" t="inlineStr">
        <is>
          <t>vs CSS326</t>
        </is>
      </c>
      <c r="G8" s="12" t="inlineStr">
        <is>
          <t>打法</t>
        </is>
      </c>
      <c r="H8" s="12" t="n"/>
    </row>
    <row r="9">
      <c r="A9" s="3" t="inlineStr">
        <is>
          <t>欧盟</t>
        </is>
      </c>
      <c r="B9" s="13" t="n">
        <v>0</v>
      </c>
      <c r="C9" s="3" t="inlineStr">
        <is>
          <t>ITA 信息技术协定 0%</t>
        </is>
      </c>
      <c r="D9" s="3">
        <f>ROUND(($B$3+$B$4)*(1+B9),0)</f>
        <v/>
      </c>
      <c r="E9" s="14">
        <f>D9/$B$5-1</f>
        <v/>
      </c>
      <c r="F9" s="14">
        <f>D9/$B$6-1</f>
        <v/>
      </c>
      <c r="G9" s="3" t="inlineStr">
        <is>
          <t>价格+功能双打</t>
        </is>
      </c>
      <c r="H9" s="3" t="n"/>
    </row>
    <row r="10">
      <c r="A10" s="3" t="inlineStr">
        <is>
          <t>英国</t>
        </is>
      </c>
      <c r="B10" s="13" t="n">
        <v>0</v>
      </c>
      <c r="C10" s="3" t="inlineStr">
        <is>
          <t>ITA 0%；UKCA 你已有</t>
        </is>
      </c>
      <c r="D10" s="3">
        <f>ROUND(($B$3+$B$4)*(1+B10),0)</f>
        <v/>
      </c>
      <c r="E10" s="14">
        <f>D10/$B$5-1</f>
        <v/>
      </c>
      <c r="F10" s="14">
        <f>D10/$B$6-1</f>
        <v/>
      </c>
      <c r="G10" s="3" t="inlineStr">
        <is>
          <t>价格+功能双打</t>
        </is>
      </c>
      <c r="H10" s="3" t="n"/>
    </row>
    <row r="11">
      <c r="A11" s="3" t="inlineStr">
        <is>
          <t>美国（现状）</t>
        </is>
      </c>
      <c r="B11" s="13" t="n">
        <v>0.375</v>
      </c>
      <c r="C11" s="3" t="inlineStr">
        <is>
          <t>301 List 3 25% + 2026-07-24 起强迫劳动分级中国档 12.5%</t>
        </is>
      </c>
      <c r="D11" s="3">
        <f>ROUND(($B$3+$B$4)*(1+B11),0)</f>
        <v/>
      </c>
      <c r="E11" s="14">
        <f>D11/$B$5-1</f>
        <v/>
      </c>
      <c r="F11" s="14">
        <f>D11/$B$6-1</f>
        <v/>
      </c>
      <c r="G11" s="3" t="inlineStr">
        <is>
          <t>只卖差异化：工业/PoE++/ERPS/串口/5年保修</t>
        </is>
      </c>
      <c r="H11" s="3" t="n"/>
    </row>
    <row r="12">
      <c r="A12" s="3" t="inlineStr">
        <is>
          <t>美国（若叠加 10% 对华互惠层）</t>
        </is>
      </c>
      <c r="B12" s="13" t="n">
        <v>0.475</v>
      </c>
      <c r="C12" s="3" t="inlineStr">
        <is>
          <t>部分来源称对华 10% 互惠层仍在（至 2026-11-10），报关行确认</t>
        </is>
      </c>
      <c r="D12" s="3">
        <f>ROUND(($B$3+$B$4)*(1+B12),0)</f>
        <v/>
      </c>
      <c r="E12" s="14">
        <f>D12/$B$5-1</f>
        <v/>
      </c>
      <c r="F12" s="14">
        <f>D12/$B$6-1</f>
        <v/>
      </c>
      <c r="G12" s="3" t="inlineStr">
        <is>
          <t>同上</t>
        </is>
      </c>
      <c r="H12" s="3" t="n"/>
    </row>
    <row r="13">
      <c r="A13" s="3" t="inlineStr">
        <is>
          <t>澳大利亚</t>
        </is>
      </c>
      <c r="B13" s="13" t="n">
        <v>0</v>
      </c>
      <c r="C13" s="3" t="inlineStr">
        <is>
          <t>ChAFTA 0%；需 RCM</t>
        </is>
      </c>
      <c r="D13" s="3">
        <f>ROUND(($B$3+$B$4)*(1+B13),0)</f>
        <v/>
      </c>
      <c r="E13" s="14">
        <f>D13/$B$5-1</f>
        <v/>
      </c>
      <c r="F13" s="14">
        <f>D13/$B$6-1</f>
        <v/>
      </c>
      <c r="G13" s="3" t="inlineStr">
        <is>
          <t>价格+功能</t>
        </is>
      </c>
      <c r="H13" s="3" t="n"/>
    </row>
    <row r="14">
      <c r="A14" s="3" t="inlineStr">
        <is>
          <t>阿联酋</t>
        </is>
      </c>
      <c r="B14" s="13" t="n">
        <v>0.05</v>
      </c>
      <c r="C14" s="3" t="inlineStr">
        <is>
          <t>GCC 统一关税 5%（部分 IT 设备 0%）</t>
        </is>
      </c>
      <c r="D14" s="3">
        <f>ROUND(($B$3+$B$4)*(1+B14),0)</f>
        <v/>
      </c>
      <c r="E14" s="14">
        <f>D14/$B$5-1</f>
        <v/>
      </c>
      <c r="F14" s="14">
        <f>D14/$B$6-1</f>
        <v/>
      </c>
      <c r="G14" s="3" t="inlineStr">
        <is>
          <t>枢纽分销商 house brand</t>
        </is>
      </c>
      <c r="H14" s="3" t="n"/>
    </row>
    <row r="15">
      <c r="A15" s="3" t="inlineStr">
        <is>
          <t>加拿大</t>
        </is>
      </c>
      <c r="B15" s="13" t="n">
        <v>0</v>
      </c>
      <c r="C15" s="3" t="inlineStr">
        <is>
          <t>MFN 0%，无 301</t>
        </is>
      </c>
      <c r="D15" s="3">
        <f>ROUND(($B$3+$B$4)*(1+B15),0)</f>
        <v/>
      </c>
      <c r="E15" s="14">
        <f>D15/$B$5-1</f>
        <v/>
      </c>
      <c r="F15" s="14">
        <f>D15/$B$6-1</f>
        <v/>
      </c>
      <c r="G15" s="3" t="inlineStr">
        <is>
          <t>随美国客户但价格优势保留</t>
        </is>
      </c>
      <c r="H15" s="3" t="n"/>
    </row>
    <row r="16">
      <c r="A16" s="3" t="inlineStr">
        <is>
          <t>土耳其</t>
        </is>
      </c>
      <c r="B16" s="13" t="n">
        <v>0</v>
      </c>
      <c r="C16" s="3" t="inlineStr">
        <is>
          <t>欧盟关税同盟，ITA 0%（另有本地附加税，需核）</t>
        </is>
      </c>
      <c r="D16" s="3">
        <f>ROUND(($B$3+$B$4)*(1+B16),0)</f>
        <v/>
      </c>
      <c r="E16" s="14">
        <f>D16/$B$5-1</f>
        <v/>
      </c>
      <c r="F16" s="14">
        <f>D16/$B$6-1</f>
        <v/>
      </c>
      <c r="G16" s="3" t="inlineStr">
        <is>
          <t>复制 NMS 案例</t>
        </is>
      </c>
      <c r="H16" s="3" t="n"/>
    </row>
    <row r="18">
      <c r="A18" t="inlineStr">
        <is>
          <t>负数 = 比 MikroTik 便宜；正数 = 比 MikroTik 贵。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52" customWidth="1" min="3" max="3"/>
    <col width="40" customWidth="1" min="4" max="4"/>
    <col width="30" customWidth="1" min="5" max="5"/>
    <col width="36" customWidth="1" min="6" max="6"/>
  </cols>
  <sheetData>
    <row r="1">
      <c r="A1" s="5" t="inlineStr">
        <is>
          <t>项目</t>
        </is>
      </c>
      <c r="B1" s="5" t="inlineStr">
        <is>
          <t>CSS326-24G-2S+RM</t>
        </is>
      </c>
      <c r="C1" s="5" t="inlineStr">
        <is>
          <t>CRS326-24G-2S+RM</t>
        </is>
      </c>
      <c r="D1" s="5" t="inlineStr">
        <is>
          <t>CRS328-24P-4S+RM</t>
        </is>
      </c>
      <c r="E1" s="5" t="inlineStr">
        <is>
          <t>CSS610-8G-2S+IN</t>
        </is>
      </c>
      <c r="F1" s="5" t="inlineStr">
        <is>
          <t>来源</t>
        </is>
      </c>
    </row>
    <row r="2">
      <c r="A2" s="3" t="inlineStr">
        <is>
          <t>MSRP</t>
        </is>
      </c>
      <c r="B2" s="3" t="inlineStr">
        <is>
          <t>$159</t>
        </is>
      </c>
      <c r="C2" s="3" t="inlineStr">
        <is>
          <t>$209</t>
        </is>
      </c>
      <c r="D2" s="3" t="inlineStr">
        <is>
          <t>$489</t>
        </is>
      </c>
      <c r="E2" s="3" t="inlineStr">
        <is>
          <t>$119</t>
        </is>
      </c>
      <c r="F2" s="3" t="inlineStr">
        <is>
          <t>mikrotik.com 产品页 2026-09</t>
        </is>
      </c>
    </row>
    <row r="3">
      <c r="A3" s="3" t="inlineStr">
        <is>
          <t>操作系统</t>
        </is>
      </c>
      <c r="B3" s="3" t="inlineStr">
        <is>
          <t>SwOS only (v2.19)</t>
        </is>
      </c>
      <c r="C3" s="3" t="inlineStr">
        <is>
          <t>RouterOS L5 / SwOS 双启动 (7.24.4)</t>
        </is>
      </c>
      <c r="D3" s="3" t="inlineStr">
        <is>
          <t>RouterOS L5 / SwOS 双启动</t>
        </is>
      </c>
      <c r="E3" s="3" t="inlineStr">
        <is>
          <t>SwOS Lite (v2.21)</t>
        </is>
      </c>
      <c r="F3" s="3" t="inlineStr">
        <is>
          <t>同上</t>
        </is>
      </c>
    </row>
    <row r="4">
      <c r="A4" s="3" t="inlineStr">
        <is>
          <t>交换芯片</t>
        </is>
      </c>
      <c r="B4" s="3" t="inlineStr">
        <is>
          <t>98DX3216</t>
        </is>
      </c>
      <c r="C4" s="3" t="inlineStr">
        <is>
          <t>98DX3236</t>
        </is>
      </c>
      <c r="D4" s="3" t="inlineStr">
        <is>
          <t>98DX3236</t>
        </is>
      </c>
      <c r="E4" s="3" t="inlineStr">
        <is>
          <t>88E6193X</t>
        </is>
      </c>
      <c r="F4" s="3" t="inlineStr">
        <is>
          <t>同上</t>
        </is>
      </c>
    </row>
    <row r="5">
      <c r="A5" s="3" t="inlineStr">
        <is>
          <t>CPU / RAM / Flash</t>
        </is>
      </c>
      <c r="B5" s="3" t="inlineStr">
        <is>
          <t>— / — / 2MB</t>
        </is>
      </c>
      <c r="C5" s="3" t="inlineStr">
        <is>
          <t>ARM 2×800MHz / 512MB / 16MB</t>
        </is>
      </c>
      <c r="D5" s="3" t="inlineStr">
        <is>
          <t>ARM 1×800MHz / 512MB / 16MB</t>
        </is>
      </c>
      <c r="E5" s="3" t="inlineStr">
        <is>
          <t>— / — / 64KB</t>
        </is>
      </c>
      <c r="F5" s="3" t="inlineStr">
        <is>
          <t>同上</t>
        </is>
      </c>
    </row>
    <row r="6">
      <c r="A6" s="3" t="inlineStr">
        <is>
          <t>端口</t>
        </is>
      </c>
      <c r="B6" s="3" t="inlineStr">
        <is>
          <t>24G + 2×SFP+</t>
        </is>
      </c>
      <c r="C6" s="3" t="inlineStr">
        <is>
          <t>24G + 2×SFP+</t>
        </is>
      </c>
      <c r="D6" s="3" t="inlineStr">
        <is>
          <t>24×PoE-out af/at + 4×SFP+</t>
        </is>
      </c>
      <c r="E6" s="3" t="inlineStr">
        <is>
          <t>8G + 2×SFP+</t>
        </is>
      </c>
      <c r="F6" s="3" t="inlineStr">
        <is>
          <t>同上</t>
        </is>
      </c>
    </row>
    <row r="7">
      <c r="A7" s="3" t="inlineStr">
        <is>
          <t>PoE-out</t>
        </is>
      </c>
      <c r="B7" s="3" t="inlineStr">
        <is>
          <t>无</t>
        </is>
      </c>
      <c r="C7" s="3" t="inlineStr">
        <is>
          <t>无</t>
        </is>
      </c>
      <c r="D7" s="3" t="inlineStr">
        <is>
          <t>450W 总预算(3×150W/8口)，30W/口，无 802.3bt</t>
        </is>
      </c>
      <c r="E7" s="3" t="inlineStr">
        <is>
          <t>无</t>
        </is>
      </c>
      <c r="F7" s="3" t="inlineStr">
        <is>
          <t>同上</t>
        </is>
      </c>
    </row>
    <row r="8">
      <c r="A8" s="3" t="inlineStr">
        <is>
          <t>Console</t>
        </is>
      </c>
      <c r="B8" s="3" t="inlineStr">
        <is>
          <t>无</t>
        </is>
      </c>
      <c r="C8" s="3" t="inlineStr">
        <is>
          <t>RJ45</t>
        </is>
      </c>
      <c r="D8" s="3" t="inlineStr">
        <is>
          <t>RJ45</t>
        </is>
      </c>
      <c r="E8" s="3" t="inlineStr">
        <is>
          <t>无</t>
        </is>
      </c>
      <c r="F8" s="3" t="inlineStr">
        <is>
          <t>同上</t>
        </is>
      </c>
    </row>
    <row r="9">
      <c r="A9" s="3" t="inlineStr">
        <is>
          <t>温度</t>
        </is>
      </c>
      <c r="B9" s="3" t="inlineStr">
        <is>
          <t>-20~70°C</t>
        </is>
      </c>
      <c r="C9" s="3" t="inlineStr">
        <is>
          <t>-40~60°C</t>
        </is>
      </c>
      <c r="D9" s="3" t="inlineStr">
        <is>
          <t>-20~60°C</t>
        </is>
      </c>
      <c r="E9" s="3" t="inlineStr">
        <is>
          <t>-20~60°C</t>
        </is>
      </c>
      <c r="F9" s="3" t="inlineStr">
        <is>
          <t>同上</t>
        </is>
      </c>
    </row>
    <row r="10">
      <c r="A10" s="3" t="inlineStr">
        <is>
          <t>供电</t>
        </is>
      </c>
      <c r="B10" s="3" t="inlineStr">
        <is>
          <t>10–30V DC jack / 被动 PoE-in</t>
        </is>
      </c>
      <c r="C10" s="3" t="inlineStr">
        <is>
          <t>10–30V DC jack / 被动 PoE-in</t>
        </is>
      </c>
      <c r="D10" s="3" t="inlineStr">
        <is>
          <t>内置 500W PSU</t>
        </is>
      </c>
      <c r="E10" s="3" t="inlineStr">
        <is>
          <t>12–57V DC / 被动 PoE-in</t>
        </is>
      </c>
      <c r="F10" s="3" t="inlineStr">
        <is>
          <t>同上</t>
        </is>
      </c>
    </row>
    <row r="11">
      <c r="A11" s="3" t="inlineStr">
        <is>
          <t>认证</t>
        </is>
      </c>
      <c r="B11" s="3" t="inlineStr">
        <is>
          <t>CE, EAC, RoHS</t>
        </is>
      </c>
      <c r="C11" s="3" t="inlineStr">
        <is>
          <t>CE, EAC, RoHS</t>
        </is>
      </c>
      <c r="D11" s="3" t="inlineStr">
        <is>
          <t>CE, EAC, RoHS</t>
        </is>
      </c>
      <c r="E11" s="3" t="inlineStr">
        <is>
          <t>CE, EAC, RoHS</t>
        </is>
      </c>
      <c r="F11" s="3" t="inlineStr">
        <is>
          <t>同上（均无 UL/FCC 列出）</t>
        </is>
      </c>
    </row>
    <row r="12">
      <c r="A12" s="3" t="inlineStr">
        <is>
          <t>MTBF</t>
        </is>
      </c>
      <c r="B12" s="3" t="inlineStr">
        <is>
          <t>~200k h @25°C</t>
        </is>
      </c>
      <c r="C12" s="3" t="inlineStr">
        <is>
          <t>~200k h</t>
        </is>
      </c>
      <c r="D12" s="3" t="inlineStr">
        <is>
          <t>~200k h</t>
        </is>
      </c>
      <c r="E12" s="3" t="inlineStr">
        <is>
          <t>~200k h</t>
        </is>
      </c>
      <c r="F12" s="3" t="inlineStr">
        <is>
          <t>同上</t>
        </is>
      </c>
    </row>
    <row r="13">
      <c r="A13" s="3" t="inlineStr">
        <is>
          <t>软件更新承诺</t>
        </is>
      </c>
      <c r="B13" s="3" t="inlineStr">
        <is>
          <t>产品寿命或≥5年免费更新</t>
        </is>
      </c>
      <c r="C13" s="3" t="inlineStr">
        <is>
          <t>同左</t>
        </is>
      </c>
      <c r="D13" s="3" t="inlineStr">
        <is>
          <t>同左</t>
        </is>
      </c>
      <c r="E13" s="3" t="inlineStr">
        <is>
          <t>同左</t>
        </is>
      </c>
      <c r="F13" s="3" t="inlineStr">
        <is>
          <t>同上</t>
        </is>
      </c>
    </row>
    <row r="14">
      <c r="A14" s="3" t="inlineStr">
        <is>
          <t>SwOS 限制(CSS/SwOS 模式)</t>
        </is>
      </c>
      <c r="B14" s="3" t="inlineStr">
        <is>
          <t>仅 RSTP；≤250 VLAN；≤32 ACL；16 LAG；IGMP snooping；只有入向限速；仅 Web 管理(无 CLI/SSH)；无默认网关；仅 IPv4；无 LLDP(MNDP)；SNMP v1/v2c 只读、无 Trap</t>
        </is>
      </c>
      <c r="C14" s="3" t="inlineStr">
        <is>
          <t>—</t>
        </is>
      </c>
      <c r="D14" s="3" t="inlineStr">
        <is>
          <t>—</t>
        </is>
      </c>
      <c r="E14" s="3" t="inlineStr">
        <is>
          <t>同 CSS326 (SwOS Lite 更弱)</t>
        </is>
      </c>
      <c r="F14" s="3" t="inlineStr">
        <is>
          <t>help.mikrotik.com SwOS CRS3xx/CSS3xx 手册</t>
        </is>
      </c>
    </row>
    <row r="15">
      <c r="A15" s="3" t="inlineStr">
        <is>
          <t>RouterOS on CRS3xx 能力</t>
        </is>
      </c>
      <c r="B15" s="3" t="inlineStr">
        <is>
          <t>—</t>
        </is>
      </c>
      <c r="C15" s="3" t="inlineStr">
        <is>
          <t>单硬件 bridge；STP/RSTP/MSTP 硬件；Q-in-Q 802.1ad 硬件卸载(v6.43+)；LACP/balance-xor 硬件；switch-rule ACL；L3 HW offload 基础路由(98DX3236)，不支持 NAT/Fasttrack 卸载，需在 HW 路由与 HW 防火墙间二选一</t>
        </is>
      </c>
      <c r="D15" s="3" t="inlineStr">
        <is>
          <t>同左</t>
        </is>
      </c>
      <c r="E15" s="3" t="inlineStr">
        <is>
          <t>—</t>
        </is>
      </c>
      <c r="F15" s="3" t="inlineStr">
        <is>
          <t>help.mikrotik.com CRS3xx &amp; L3 HW Offloading</t>
        </is>
      </c>
    </row>
    <row r="16">
      <c r="A16" s="3" t="inlineStr">
        <is>
          <t>ERPS G.8032</t>
        </is>
      </c>
      <c r="B16" s="3" t="inlineStr">
        <is>
          <t>无</t>
        </is>
      </c>
      <c r="C16" s="3" t="inlineStr">
        <is>
          <t>无（论坛 feature request 自 2013 年起未实现，用户反映大环 RSTP 收敛 ~4s）</t>
        </is>
      </c>
      <c r="D16" s="3" t="inlineStr">
        <is>
          <t>无</t>
        </is>
      </c>
      <c r="E16" s="3" t="inlineStr">
        <is>
          <t>无</t>
        </is>
      </c>
      <c r="F16" s="3" t="inlineStr">
        <is>
          <t>forum.mikrotik.com/t/71183, /t/84795</t>
        </is>
      </c>
    </row>
    <row r="17">
      <c r="A17" s="3" t="inlineStr">
        <is>
          <t>RouterOS 强项(承认)</t>
        </is>
      </c>
      <c r="B17" s="3" t="inlineStr">
        <is>
          <t>—</t>
        </is>
      </c>
      <c r="C17" s="3" t="inlineStr">
        <is>
          <t>API、REST API(v7.1+)、脚本、Winbox、The Dude、bandwidth-test/traffic-generator、LLDP/CDP/MNDP</t>
        </is>
      </c>
      <c r="D17" s="3" t="inlineStr">
        <is>
          <t>同左</t>
        </is>
      </c>
      <c r="E17" s="3" t="inlineStr">
        <is>
          <t>—</t>
        </is>
      </c>
      <c r="F17" s="3" t="inlineStr">
        <is>
          <t>RouterOS 文档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46" customWidth="1" min="3" max="3"/>
    <col width="10" customWidth="1" min="4" max="4"/>
    <col width="8" customWidth="1" min="5" max="5"/>
    <col width="16" customWidth="1" min="6" max="6"/>
    <col width="40" customWidth="1" min="7" max="7"/>
  </cols>
  <sheetData>
    <row r="1">
      <c r="A1" s="5" t="inlineStr">
        <is>
          <t>系列</t>
        </is>
      </c>
      <c r="B1" s="5" t="inlineStr">
        <is>
          <t>型号</t>
        </is>
      </c>
      <c r="C1" s="5" t="inlineStr">
        <is>
          <t>描述</t>
        </is>
      </c>
      <c r="D1" s="5" t="inlineStr">
        <is>
          <t>进价 RMB</t>
        </is>
      </c>
      <c r="E1" s="5" t="inlineStr">
        <is>
          <t>≈USD</t>
        </is>
      </c>
      <c r="F1" s="5" t="inlineStr">
        <is>
          <t>售价 USD (+加价率)</t>
        </is>
      </c>
      <c r="G1" s="5" t="inlineStr">
        <is>
          <t>备注</t>
        </is>
      </c>
    </row>
    <row r="2">
      <c r="A2" s="3" t="inlineStr">
        <is>
          <t>商业 L2+</t>
        </is>
      </c>
      <c r="B2" s="3" t="inlineStr">
        <is>
          <t>LT-S8328XG-4XS24GT-S</t>
        </is>
      </c>
      <c r="C2" s="3" t="inlineStr">
        <is>
          <t>24G + 4×SFP+ 1/2.5/10G；0~50°C；3年</t>
        </is>
      </c>
      <c r="D2" s="3" t="n">
        <v>710</v>
      </c>
      <c r="E2" s="3">
        <f>IF(D2="","",ROUND(D2/参数!$B$2,0))</f>
        <v/>
      </c>
      <c r="F2" s="3">
        <f>IF(D2="","",ROUND(D2/参数!$B$2*(1+参数!$B$3),0))</f>
        <v/>
      </c>
      <c r="G2" s="3" t="inlineStr">
        <is>
          <t>对标 CSS326/CRS326 主力</t>
        </is>
      </c>
    </row>
    <row r="3">
      <c r="A3" s="3" t="inlineStr">
        <is>
          <t>商业 L2+</t>
        </is>
      </c>
      <c r="B3" s="3" t="inlineStr">
        <is>
          <t>LT-S8328XGP-4XS24GT-S</t>
        </is>
      </c>
      <c r="C3" s="3" t="inlineStr">
        <is>
          <t>24×PoE + 4×SFP+ 10G；280W</t>
        </is>
      </c>
      <c r="D3" s="3" t="n">
        <v>1010</v>
      </c>
      <c r="E3" s="3">
        <f>IF(D3="","",ROUND(D3/参数!$B$2,0))</f>
        <v/>
      </c>
      <c r="F3" s="3">
        <f>IF(D3="","",ROUND(D3/参数!$B$2*(1+参数!$B$3),0))</f>
        <v/>
      </c>
      <c r="G3" s="3" t="inlineStr">
        <is>
          <t>对标 CRS328-24P（预算差）</t>
        </is>
      </c>
    </row>
    <row r="4">
      <c r="A4" s="3" t="inlineStr">
        <is>
          <t>商业 L2+</t>
        </is>
      </c>
      <c r="B4" s="3" t="inlineStr">
        <is>
          <t>LT-S8328G-4GX24GT-S</t>
        </is>
      </c>
      <c r="C4" s="3" t="inlineStr">
        <is>
          <t>24G + 4×1G/2.5G SFP</t>
        </is>
      </c>
      <c r="D4" s="3" t="n">
        <v>460</v>
      </c>
      <c r="E4" s="3">
        <f>IF(D4="","",ROUND(D4/参数!$B$2,0))</f>
        <v/>
      </c>
      <c r="F4" s="3">
        <f>IF(D4="","",ROUND(D4/参数!$B$2*(1+参数!$B$3),0))</f>
        <v/>
      </c>
      <c r="G4" s="3" t="inlineStr"/>
    </row>
    <row r="5">
      <c r="A5" s="3" t="inlineStr">
        <is>
          <t>商业 L2+</t>
        </is>
      </c>
      <c r="B5" s="3" t="inlineStr">
        <is>
          <t>LT-S8328GP-4GX24GT</t>
        </is>
      </c>
      <c r="C5" s="3" t="inlineStr">
        <is>
          <t>24×PoE + 4×2.5G SFP；440W</t>
        </is>
      </c>
      <c r="D5" s="3" t="n">
        <v>1200</v>
      </c>
      <c r="E5" s="3">
        <f>IF(D5="","",ROUND(D5/参数!$B$2,0))</f>
        <v/>
      </c>
      <c r="F5" s="3">
        <f>IF(D5="","",ROUND(D5/参数!$B$2*(1+参数!$B$3),0))</f>
        <v/>
      </c>
      <c r="G5" s="3" t="inlineStr"/>
    </row>
    <row r="6">
      <c r="A6" s="3" t="inlineStr">
        <is>
          <t>商业 L2+</t>
        </is>
      </c>
      <c r="B6" s="3" t="inlineStr">
        <is>
          <t>LT-S8310G-2GX8GT</t>
        </is>
      </c>
      <c r="C6" s="3" t="inlineStr">
        <is>
          <t>8G + 2×2.5G SFP</t>
        </is>
      </c>
      <c r="D6" s="3" t="n">
        <v>380</v>
      </c>
      <c r="E6" s="3">
        <f>IF(D6="","",ROUND(D6/参数!$B$2,0))</f>
        <v/>
      </c>
      <c r="F6" s="3">
        <f>IF(D6="","",ROUND(D6/参数!$B$2*(1+参数!$B$3),0))</f>
        <v/>
      </c>
      <c r="G6" s="3" t="inlineStr">
        <is>
          <t>成本回落前暂停出货</t>
        </is>
      </c>
    </row>
    <row r="7">
      <c r="A7" s="3" t="inlineStr">
        <is>
          <t>商业 L2+</t>
        </is>
      </c>
      <c r="B7" s="3" t="inlineStr">
        <is>
          <t>LT-S8310GP-2GX8GT</t>
        </is>
      </c>
      <c r="C7" s="3" t="inlineStr">
        <is>
          <t>8×PoE(120W) + 2×2.5G SFP</t>
        </is>
      </c>
      <c r="D7" s="3" t="n">
        <v>450</v>
      </c>
      <c r="E7" s="3">
        <f>IF(D7="","",ROUND(D7/参数!$B$2,0))</f>
        <v/>
      </c>
      <c r="F7" s="3">
        <f>IF(D7="","",ROUND(D7/参数!$B$2*(1+参数!$B$3),0))</f>
        <v/>
      </c>
      <c r="G7" s="3" t="inlineStr"/>
    </row>
    <row r="8">
      <c r="A8" s="3" t="inlineStr">
        <is>
          <t>商业 L2+</t>
        </is>
      </c>
      <c r="B8" s="3" t="inlineStr">
        <is>
          <t>LT-S8352XG-4XS48GT</t>
        </is>
      </c>
      <c r="C8" s="3" t="inlineStr">
        <is>
          <t>48G + 4×SFP+ 10G</t>
        </is>
      </c>
      <c r="D8" s="3" t="n">
        <v>1470</v>
      </c>
      <c r="E8" s="3">
        <f>IF(D8="","",ROUND(D8/参数!$B$2,0))</f>
        <v/>
      </c>
      <c r="F8" s="3">
        <f>IF(D8="","",ROUND(D8/参数!$B$2*(1+参数!$B$3),0))</f>
        <v/>
      </c>
      <c r="G8" s="3" t="inlineStr"/>
    </row>
    <row r="9">
      <c r="A9" s="3" t="inlineStr">
        <is>
          <t>商业 L2+</t>
        </is>
      </c>
      <c r="B9" s="3" t="inlineStr">
        <is>
          <t>LT-S8352XGP-4XS48GT</t>
        </is>
      </c>
      <c r="C9" s="3" t="inlineStr">
        <is>
          <t>48×PoE + 4×SFP+ 10G；440W/850W</t>
        </is>
      </c>
      <c r="D9" s="3" t="n">
        <v>1870</v>
      </c>
      <c r="E9" s="3">
        <f>IF(D9="","",ROUND(D9/参数!$B$2,0))</f>
        <v/>
      </c>
      <c r="F9" s="3">
        <f>IF(D9="","",ROUND(D9/参数!$B$2*(1+参数!$B$3),0))</f>
        <v/>
      </c>
      <c r="G9" s="3" t="inlineStr"/>
    </row>
    <row r="10">
      <c r="A10" s="3" t="inlineStr">
        <is>
          <t>商业 L3</t>
        </is>
      </c>
      <c r="B10" s="3" t="inlineStr">
        <is>
          <t>LT-S8528XG-4XS24GT</t>
        </is>
      </c>
      <c r="C10" s="3" t="inlineStr">
        <is>
          <t>24G + 4×SFP+；L3 (RIP/OSPF/IS-IS/BGP/VRRP)</t>
        </is>
      </c>
      <c r="D10" s="3" t="n">
        <v>1500</v>
      </c>
      <c r="E10" s="3">
        <f>IF(D10="","",ROUND(D10/参数!$B$2,0))</f>
        <v/>
      </c>
      <c r="F10" s="3">
        <f>IF(D10="","",ROUND(D10/参数!$B$2*(1+参数!$B$3),0))</f>
        <v/>
      </c>
      <c r="G10" s="3" t="inlineStr">
        <is>
          <t>PoE 版 1900</t>
        </is>
      </c>
    </row>
    <row r="11">
      <c r="A11" s="3" t="inlineStr">
        <is>
          <t>商业 L3</t>
        </is>
      </c>
      <c r="B11" s="3" t="inlineStr">
        <is>
          <t>LT-S8528XG-4XS16GX8GC</t>
        </is>
      </c>
      <c r="C11" s="3" t="inlineStr">
        <is>
          <t>16×SFP + 8 Combo + 4×SFP+；L3</t>
        </is>
      </c>
      <c r="D11" s="3" t="n">
        <v>2100</v>
      </c>
      <c r="E11" s="3">
        <f>IF(D11="","",ROUND(D11/参数!$B$2,0))</f>
        <v/>
      </c>
      <c r="F11" s="3">
        <f>IF(D11="","",ROUND(D11/参数!$B$2*(1+参数!$B$3),0))</f>
        <v/>
      </c>
      <c r="G11" s="3" t="inlineStr"/>
    </row>
    <row r="12">
      <c r="A12" s="3" t="inlineStr">
        <is>
          <t>商业 L3</t>
        </is>
      </c>
      <c r="B12" s="3" t="inlineStr">
        <is>
          <t>LT-S8552XG-4XS48GT</t>
        </is>
      </c>
      <c r="C12" s="3" t="inlineStr">
        <is>
          <t>48G + 4×SFP+；L3</t>
        </is>
      </c>
      <c r="D12" s="3" t="n">
        <v>2600</v>
      </c>
      <c r="E12" s="3">
        <f>IF(D12="","",ROUND(D12/参数!$B$2,0))</f>
        <v/>
      </c>
      <c r="F12" s="3">
        <f>IF(D12="","",ROUND(D12/参数!$B$2*(1+参数!$B$3),0))</f>
        <v/>
      </c>
      <c r="G12" s="3" t="inlineStr">
        <is>
          <t>PoE 版 3100</t>
        </is>
      </c>
    </row>
    <row r="13">
      <c r="A13" s="3" t="inlineStr">
        <is>
          <t>工业 L2+</t>
        </is>
      </c>
      <c r="B13" s="3" t="inlineStr">
        <is>
          <t>LT-IS6306G-2GX4GT</t>
        </is>
      </c>
      <c r="C13" s="3" t="inlineStr">
        <is>
          <t>4G + 2×SFP；DIN；-40~75°C；5年</t>
        </is>
      </c>
      <c r="D13" s="3" t="n">
        <v>660</v>
      </c>
      <c r="E13" s="3">
        <f>IF(D13="","",ROUND(D13/参数!$B$2,0))</f>
        <v/>
      </c>
      <c r="F13" s="3">
        <f>IF(D13="","",ROUND(D13/参数!$B$2*(1+参数!$B$3),0))</f>
        <v/>
      </c>
      <c r="G13" s="3" t="inlineStr">
        <is>
          <t>PoE 720 / PoE++ 820；Frank 6口对位</t>
        </is>
      </c>
    </row>
    <row r="14">
      <c r="A14" s="3" t="inlineStr">
        <is>
          <t>工业 L2+</t>
        </is>
      </c>
      <c r="B14" s="3" t="inlineStr">
        <is>
          <t>LT-IS6310G-2GX8GT</t>
        </is>
      </c>
      <c r="C14" s="3" t="inlineStr">
        <is>
          <t>8G + 2×2.5G SFP</t>
        </is>
      </c>
      <c r="D14" s="3" t="n">
        <v>700</v>
      </c>
      <c r="E14" s="3">
        <f>IF(D14="","",ROUND(D14/参数!$B$2,0))</f>
        <v/>
      </c>
      <c r="F14" s="3">
        <f>IF(D14="","",ROUND(D14/参数!$B$2*(1+参数!$B$3),0))</f>
        <v/>
      </c>
      <c r="G14" s="3" t="inlineStr">
        <is>
          <t>PoE 780 / PoE++ 880</t>
        </is>
      </c>
    </row>
    <row r="15">
      <c r="A15" s="3" t="inlineStr">
        <is>
          <t>工业 L2+</t>
        </is>
      </c>
      <c r="B15" s="3" t="inlineStr">
        <is>
          <t>LT-IS6312G-4GX8GT</t>
        </is>
      </c>
      <c r="C15" s="3" t="inlineStr">
        <is>
          <t>8G + 4×2.5G SFP</t>
        </is>
      </c>
      <c r="D15" s="3" t="n">
        <v>740</v>
      </c>
      <c r="E15" s="3">
        <f>IF(D15="","",ROUND(D15/参数!$B$2,0))</f>
        <v/>
      </c>
      <c r="F15" s="3">
        <f>IF(D15="","",ROUND(D15/参数!$B$2*(1+参数!$B$3),0))</f>
        <v/>
      </c>
      <c r="G15" s="3" t="inlineStr">
        <is>
          <t>PoE 820 / -2BT 920；Frank 12口对位</t>
        </is>
      </c>
    </row>
    <row r="16">
      <c r="A16" s="3" t="inlineStr">
        <is>
          <t>工业 L2+</t>
        </is>
      </c>
      <c r="B16" s="3" t="inlineStr">
        <is>
          <t>LT-IS6312XG-4XS8GT</t>
        </is>
      </c>
      <c r="C16" s="3" t="inlineStr">
        <is>
          <t>8G + 4×SFP+ 10G</t>
        </is>
      </c>
      <c r="D16" s="3" t="n">
        <v>840</v>
      </c>
      <c r="E16" s="3">
        <f>IF(D16="","",ROUND(D16/参数!$B$2,0))</f>
        <v/>
      </c>
      <c r="F16" s="3">
        <f>IF(D16="","",ROUND(D16/参数!$B$2*(1+参数!$B$3),0))</f>
        <v/>
      </c>
      <c r="G16" s="3" t="inlineStr">
        <is>
          <t>PoE 920 / -2BT 1020</t>
        </is>
      </c>
    </row>
    <row r="17">
      <c r="A17" s="3" t="inlineStr">
        <is>
          <t>工业 L2+</t>
        </is>
      </c>
      <c r="B17" s="3" t="inlineStr">
        <is>
          <t>LT-IS6312GP-4GX8GT-8BT</t>
        </is>
      </c>
      <c r="C17" s="3" t="inlineStr">
        <is>
          <t>8×90W PoE++ (480W) + 4×2.5G SFP；52–57VDC</t>
        </is>
      </c>
      <c r="D17" s="3" t="n"/>
      <c r="E17" s="3">
        <f>IF(D17="","",ROUND(D17/参数!$B$2,0))</f>
        <v/>
      </c>
      <c r="F17" s="3">
        <f>IF(D17="","",ROUND(D17/参数!$B$2*(1+参数!$B$3),0))</f>
        <v/>
      </c>
      <c r="G17" s="3" t="inlineStr">
        <is>
          <t>价格表未列，官网有；询价</t>
        </is>
      </c>
    </row>
    <row r="18">
      <c r="A18" s="3" t="inlineStr">
        <is>
          <t>工业 L2+</t>
        </is>
      </c>
      <c r="B18" s="3" t="inlineStr">
        <is>
          <t>LT-IS6316XG-4XS4GX8GT</t>
        </is>
      </c>
      <c r="C18" s="3" t="inlineStr">
        <is>
          <t>8G + 4×SFP + 4×SFP+</t>
        </is>
      </c>
      <c r="D18" s="3" t="n">
        <v>1400</v>
      </c>
      <c r="E18" s="3">
        <f>IF(D18="","",ROUND(D18/参数!$B$2,0))</f>
        <v/>
      </c>
      <c r="F18" s="3">
        <f>IF(D18="","",ROUND(D18/参数!$B$2*(1+参数!$B$3),0))</f>
        <v/>
      </c>
      <c r="G18" s="3" t="inlineStr"/>
    </row>
    <row r="19">
      <c r="A19" s="3" t="inlineStr">
        <is>
          <t>工业 L2+</t>
        </is>
      </c>
      <c r="B19" s="3" t="inlineStr">
        <is>
          <t>LT-IS6318G-2GX16GT</t>
        </is>
      </c>
      <c r="C19" s="3" t="inlineStr">
        <is>
          <t>16G + 2×SFP</t>
        </is>
      </c>
      <c r="D19" s="3" t="n">
        <v>1180</v>
      </c>
      <c r="E19" s="3">
        <f>IF(D19="","",ROUND(D19/参数!$B$2,0))</f>
        <v/>
      </c>
      <c r="F19" s="3">
        <f>IF(D19="","",ROUND(D19/参数!$B$2*(1+参数!$B$3),0))</f>
        <v/>
      </c>
      <c r="G19" s="3" t="inlineStr">
        <is>
          <t>PoE 1340</t>
        </is>
      </c>
    </row>
    <row r="20">
      <c r="A20" s="3" t="inlineStr">
        <is>
          <t>工业 L2+</t>
        </is>
      </c>
      <c r="B20" s="3" t="inlineStr">
        <is>
          <t>LT-IS6318XGP-2XS16GT</t>
        </is>
      </c>
      <c r="C20" s="3" t="inlineStr">
        <is>
          <t>16×PoE + 2×SFP+</t>
        </is>
      </c>
      <c r="D20" s="3" t="n">
        <v>1660</v>
      </c>
      <c r="E20" s="3">
        <f>IF(D20="","",ROUND(D20/参数!$B$2,0))</f>
        <v/>
      </c>
      <c r="F20" s="3">
        <f>IF(D20="","",ROUND(D20/参数!$B$2*(1+参数!$B$3),0))</f>
        <v/>
      </c>
      <c r="G20" s="3" t="inlineStr"/>
    </row>
    <row r="21">
      <c r="A21" s="3" t="inlineStr">
        <is>
          <t>工业 L2+ DI/DO/RS485</t>
        </is>
      </c>
      <c r="B21" s="3" t="inlineStr">
        <is>
          <t>LT-IS6320G-4GX16GT-D</t>
        </is>
      </c>
      <c r="C21" s="3" t="inlineStr">
        <is>
          <t>16G + 4×SFP + DI/DO/RS485</t>
        </is>
      </c>
      <c r="D21" s="3" t="n">
        <v>1560</v>
      </c>
      <c r="E21" s="3">
        <f>IF(D21="","",ROUND(D21/参数!$B$2,0))</f>
        <v/>
      </c>
      <c r="F21" s="3">
        <f>IF(D21="","",ROUND(D21/参数!$B$2*(1+参数!$B$3),0))</f>
        <v/>
      </c>
      <c r="G21" s="3" t="inlineStr">
        <is>
          <t>PoE 1760 / -4BT 1960；ITS/SCADA 场景</t>
        </is>
      </c>
    </row>
    <row r="22">
      <c r="A22" s="3" t="inlineStr">
        <is>
          <t>工业 L2+ DI/DO/RS485</t>
        </is>
      </c>
      <c r="B22" s="3" t="inlineStr">
        <is>
          <t>LT-IS6328XG-4XS24GT-D</t>
        </is>
      </c>
      <c r="C22" s="3" t="inlineStr">
        <is>
          <t>24G + 4×SFP+ 10G + DI/DO/RS485</t>
        </is>
      </c>
      <c r="D22" s="3" t="n">
        <v>1960</v>
      </c>
      <c r="E22" s="3">
        <f>IF(D22="","",ROUND(D22/参数!$B$2,0))</f>
        <v/>
      </c>
      <c r="F22" s="3">
        <f>IF(D22="","",ROUND(D22/参数!$B$2*(1+参数!$B$3),0))</f>
        <v/>
      </c>
      <c r="G22" s="3" t="inlineStr">
        <is>
          <t>PoE 2200 / -4BT 2400</t>
        </is>
      </c>
    </row>
    <row r="23">
      <c r="A23" s="3" t="inlineStr">
        <is>
          <t>工业 L2+ DI/DO/RS485</t>
        </is>
      </c>
      <c r="B23" s="3" t="inlineStr">
        <is>
          <t>LT-IS6328XG-4XS16GX8GC-D</t>
        </is>
      </c>
      <c r="C23" s="3" t="inlineStr">
        <is>
          <t>16×SFP + 8 Combo + 4×SFP+ + DI/DO</t>
        </is>
      </c>
      <c r="D23" s="3" t="n">
        <v>2650</v>
      </c>
      <c r="E23" s="3">
        <f>IF(D23="","",ROUND(D23/参数!$B$2,0))</f>
        <v/>
      </c>
      <c r="F23" s="3">
        <f>IF(D23="","",ROUND(D23/参数!$B$2*(1+参数!$B$3),0))</f>
        <v/>
      </c>
      <c r="G23" s="3" t="inlineStr">
        <is>
          <t>vs CRS328-4C-20S-4S+ $299：MikroTik 更便宜</t>
        </is>
      </c>
    </row>
    <row r="24">
      <c r="A24" s="3" t="inlineStr">
        <is>
          <t>工业 Bypass</t>
        </is>
      </c>
      <c r="B24" s="3" t="inlineStr">
        <is>
          <t>LT-IS63xx-FBP 系列</t>
        </is>
      </c>
      <c r="C24" s="3" t="inlineStr">
        <is>
          <t>光纤 Bypass 管理型</t>
        </is>
      </c>
      <c r="D24" s="3" t="n">
        <v>960</v>
      </c>
      <c r="E24" s="3">
        <f>IF(D24="","",ROUND(D24/参数!$B$2,0))</f>
        <v/>
      </c>
      <c r="F24" s="3">
        <f>IF(D24="","",ROUND(D24/参数!$B$2*(1+参数!$B$3),0))</f>
        <v/>
      </c>
      <c r="G24" s="3" t="inlineStr">
        <is>
          <t>960–1640</t>
        </is>
      </c>
    </row>
    <row r="25">
      <c r="A25" s="3" t="inlineStr">
        <is>
          <t>工业 L3</t>
        </is>
      </c>
      <c r="B25" s="3" t="inlineStr">
        <is>
          <t>LT-IS65xx 系列</t>
        </is>
      </c>
      <c r="C25" s="3" t="inlineStr">
        <is>
          <t>工业 L3</t>
        </is>
      </c>
      <c r="D25" s="3" t="n">
        <v>1900</v>
      </c>
      <c r="E25" s="3">
        <f>IF(D25="","",ROUND(D25/参数!$B$2,0))</f>
        <v/>
      </c>
      <c r="F25" s="3">
        <f>IF(D25="","",ROUND(D25/参数!$B$2*(1+参数!$B$3),0))</f>
        <v/>
      </c>
      <c r="G25" s="3" t="inlineStr">
        <is>
          <t>1900–3100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0" customWidth="1" min="3" max="3"/>
    <col width="40" customWidth="1" min="4" max="4"/>
  </cols>
  <sheetData>
    <row r="1">
      <c r="A1" s="5" t="inlineStr">
        <is>
          <t>型号</t>
        </is>
      </c>
      <c r="B1" s="5" t="inlineStr">
        <is>
          <t>原 Excel 值</t>
        </is>
      </c>
      <c r="C1" s="5" t="inlineStr">
        <is>
          <t>官网实测值</t>
        </is>
      </c>
      <c r="D1" s="5" t="inlineStr">
        <is>
          <t>说明</t>
        </is>
      </c>
    </row>
    <row r="2">
      <c r="A2" t="inlineStr">
        <is>
          <t>CSS326-24G-2S+RM 芯片</t>
        </is>
      </c>
      <c r="B2" t="inlineStr">
        <is>
          <t>98DX3236</t>
        </is>
      </c>
      <c r="C2" t="inlineStr">
        <is>
          <t>98DX3216</t>
        </is>
      </c>
      <c r="D2" t="inlineStr">
        <is>
          <t>离线库写错</t>
        </is>
      </c>
    </row>
    <row r="3">
      <c r="A3" t="inlineStr">
        <is>
          <t>CSS610-8G-2S+IN 芯片</t>
        </is>
      </c>
      <c r="B3" t="inlineStr">
        <is>
          <t>98DX3236 / 88E6193X 两行</t>
        </is>
      </c>
      <c r="C3" t="inlineStr">
        <is>
          <t>88E6193X</t>
        </is>
      </c>
      <c r="D3" t="inlineStr">
        <is>
          <t>离线库与在线抓取不一致</t>
        </is>
      </c>
    </row>
    <row r="4">
      <c r="A4" t="inlineStr">
        <is>
          <t>CSS610-8G-2S+IN 价格</t>
        </is>
      </c>
      <c r="B4" t="inlineStr">
        <is>
          <t>$89 / $119</t>
        </is>
      </c>
      <c r="C4" t="inlineStr">
        <is>
          <t>$119</t>
        </is>
      </c>
    </row>
    <row r="5">
      <c r="A5" t="inlineStr">
        <is>
          <t>CRS326-24G-2S+RM 价格</t>
        </is>
      </c>
      <c r="B5" t="inlineStr">
        <is>
          <t>$219</t>
        </is>
      </c>
      <c r="C5" t="inlineStr">
        <is>
          <t>$209</t>
        </is>
      </c>
    </row>
    <row r="6">
      <c r="A6" t="inlineStr">
        <is>
          <t>CRS328-24P-4S+RM 价格</t>
        </is>
      </c>
      <c r="B6" t="inlineStr">
        <is>
          <t>$499 / $489</t>
        </is>
      </c>
      <c r="C6" t="inlineStr">
        <is>
          <t>$489</t>
        </is>
      </c>
    </row>
    <row r="7">
      <c r="A7" t="inlineStr">
        <is>
          <t>CRS320-8P-8B-4S+RM 价格</t>
        </is>
      </c>
      <c r="B7" t="inlineStr">
        <is>
          <t>$299 / $489</t>
        </is>
      </c>
      <c r="C7" t="inlineStr">
        <is>
          <t>待核实</t>
        </is>
      </c>
      <c r="D7" t="inlineStr">
        <is>
          <t>两行不一致</t>
        </is>
      </c>
    </row>
    <row r="8">
      <c r="A8" t="inlineStr">
        <is>
          <t>RB260GSP</t>
        </is>
      </c>
      <c r="B8" t="inlineStr">
        <is>
          <t>端口写成 260x GbE</t>
        </is>
      </c>
      <c r="C8" t="inlineStr">
        <is>
          <t>5×GbE + 1×SFP</t>
        </is>
      </c>
      <c r="D8" t="inlineStr">
        <is>
          <t>正则解析错误行，建议删除</t>
        </is>
      </c>
    </row>
    <row r="9">
      <c r="A9" t="inlineStr">
        <is>
          <t>整体</t>
        </is>
      </c>
      <c r="B9" t="inlineStr">
        <is>
          <t>72 行含十余行重复</t>
        </is>
      </c>
      <c r="C9" t="inlineStr">
        <is>
          <t>按 product_code 去重，以在线值为准</t>
        </is>
      </c>
      <c r="D9" t="inlineStr">
        <is>
          <t>两种 URL slug 抓了两遍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2026-09-21T12:40:58Z</dcterms:created>
  <dcterms:modified xsi:type="dcterms:W3CDTF">2026-09-22T06:11:41Z</dcterms:modified>
</cp:coreProperties>
</file>