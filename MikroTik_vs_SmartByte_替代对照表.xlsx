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参数" sheetId="1" state="visible" r:id="rId1"/>
    <sheet name="替代对照表" sheetId="2" state="visible" r:id="rId2"/>
    <sheet name="竞品全景" sheetId="3" state="visible" r:id="rId3"/>
    <sheet name="Marvell品牌全景" sheetId="4" state="visible" r:id="rId4"/>
    <sheet name="A类客户速查" sheetId="5" state="visible" r:id="rId5"/>
    <sheet name="欧洲街价锚点" sheetId="6" state="visible" r:id="rId6"/>
    <sheet name="重点客户配货表" sheetId="7" state="visible" r:id="rId7"/>
    <sheet name="MikroTik全产品线" sheetId="8" state="visible" r:id="rId8"/>
    <sheet name="合规文件清单" sheetId="9" state="visible" r:id="rId9"/>
    <sheet name="开发系统-节奏与KPI" sheetId="10" state="visible" r:id="rId10"/>
    <sheet name="MikroTik出口地(Comtrade2024)" sheetId="11" state="visible" r:id="rId11"/>
    <sheet name="落地价与关税" sheetId="12" state="visible" r:id="rId12"/>
    <sheet name="MikroTik关键事实(实测)" sheetId="13" state="visible" r:id="rId13"/>
    <sheet name="SmartByte关键SKU" sheetId="14" state="visible" r:id="rId14"/>
    <sheet name="原Excel数据修正" sheetId="15" state="visible" r:id="rId15"/>
    <sheet name="反向信号名单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+0%;-0%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9" fontId="0" fillId="0" borderId="0" applyAlignment="1" pivotButton="0" quotePrefix="0" xfId="0">
      <alignment vertical="top" wrapText="1"/>
    </xf>
    <xf numFmtId="0" fontId="2" fillId="2" borderId="0" pivotButton="0" quotePrefix="0" xfId="0"/>
    <xf numFmtId="0" fontId="0" fillId="0" borderId="0" applyAlignment="1" pivotButton="0" quotePrefix="0" xfId="0">
      <alignment wrapText="1"/>
    </xf>
    <xf numFmtId="3" fontId="0" fillId="0" borderId="0" pivotButton="0" quotePrefix="0" xfId="0"/>
    <xf numFmtId="164" fontId="0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wrapText="1"/>
    </xf>
    <xf numFmtId="164" fontId="0" fillId="3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60" customWidth="1" min="3" max="3"/>
  </cols>
  <sheetData>
    <row r="1">
      <c r="A1" s="1" t="inlineStr">
        <is>
          <t>参数</t>
        </is>
      </c>
      <c r="B1" s="1" t="inlineStr">
        <is>
          <t>值</t>
        </is>
      </c>
      <c r="C1" s="1" t="inlineStr">
        <is>
          <t>说明</t>
        </is>
      </c>
    </row>
    <row r="2">
      <c r="A2" t="inlineStr">
        <is>
          <t>USD/CNY 汇率</t>
        </is>
      </c>
      <c r="B2" t="n">
        <v>7.1</v>
      </c>
      <c r="C2" t="inlineStr">
        <is>
          <t>修改此格，对照表里的美元进价/售价自动更新</t>
        </is>
      </c>
    </row>
    <row r="3">
      <c r="A3" t="inlineStr">
        <is>
          <t>加价率</t>
        </is>
      </c>
      <c r="B3" t="n">
        <v>0.3</v>
      </c>
      <c r="C3" t="inlineStr">
        <is>
          <t>贸易商加价（买100卖130 = 0.30）</t>
        </is>
      </c>
    </row>
    <row r="5">
      <c r="A5" t="inlineStr">
        <is>
          <t>价格来源说明</t>
        </is>
      </c>
    </row>
    <row r="6">
      <c r="A6" t="inlineStr">
        <is>
          <t>MikroTik = 官网 Suggested price (MSRP)。标 ✅ 为 2026-09 官网实测；标 * 为仓库 Excel 抓取值，建议核实。</t>
        </is>
      </c>
    </row>
    <row r="7">
      <c r="A7" t="inlineStr">
        <is>
          <t>SmartByte = 价格表 2026.09.01–2026.12.30 未税 RMB 进价（for Simon）。</t>
        </is>
      </c>
    </row>
    <row r="9">
      <c r="A9" t="inlineStr">
        <is>
          <t>MikroTik 出口地数据 = UN Comtrade 2024（见 'MikroTik出口地(Comtrade2024)' sheet）；MikroTik 营收 2023/2024/2025 = €401.6M / €326.7M / €344.6M（Lursoft）。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0" customWidth="1" min="1" max="1"/>
    <col width="46" customWidth="1" min="2" max="2"/>
    <col width="10" customWidth="1" min="3" max="3"/>
    <col width="8" customWidth="1" min="4" max="4"/>
    <col width="30" customWidth="1" min="5" max="5"/>
    <col width="46" customWidth="1" min="6" max="6"/>
    <col width="10" customWidth="1" min="7" max="7"/>
    <col width="10" customWidth="1" min="8" max="8"/>
    <col width="12" customWidth="1" min="9" max="9"/>
    <col width="10" customWidth="1" min="10" max="10"/>
    <col width="42" customWidth="1" min="11" max="11"/>
    <col width="46" customWidth="1" min="12" max="12"/>
    <col width="18" customWidth="1" min="13" max="13"/>
  </cols>
  <sheetData>
    <row r="1" ht="30" customHeight="1">
      <c r="A1" s="2" t="inlineStr">
        <is>
          <t>MikroTik 型号</t>
        </is>
      </c>
      <c r="B1" s="2" t="inlineStr">
        <is>
          <t>MikroTik 端口/要点</t>
        </is>
      </c>
      <c r="C1" s="2" t="inlineStr">
        <is>
          <t>MSRP USD</t>
        </is>
      </c>
      <c r="D1" s="2" t="inlineStr">
        <is>
          <t>价格来源</t>
        </is>
      </c>
      <c r="E1" s="2" t="inlineStr">
        <is>
          <t>最接近的 SmartByte 型号</t>
        </is>
      </c>
      <c r="F1" s="2" t="inlineStr">
        <is>
          <t>SmartByte 端口/要点</t>
        </is>
      </c>
      <c r="G1" s="2" t="inlineStr">
        <is>
          <t>进价 RMB</t>
        </is>
      </c>
      <c r="H1" s="2" t="inlineStr">
        <is>
          <t>≈进价 USD</t>
        </is>
      </c>
      <c r="I1" s="2" t="inlineStr">
        <is>
          <t>建议售价 USD</t>
        </is>
      </c>
      <c r="J1" s="2" t="inlineStr">
        <is>
          <t>售价/MSRP</t>
        </is>
      </c>
      <c r="K1" s="2" t="inlineStr">
        <is>
          <t>你赢在</t>
        </is>
      </c>
      <c r="L1" s="2" t="inlineStr">
        <is>
          <t>你输在 / 注意</t>
        </is>
      </c>
      <c r="M1" s="2" t="inlineStr">
        <is>
          <t>匹配度</t>
        </is>
      </c>
    </row>
    <row r="2">
      <c r="A2" s="3" t="inlineStr">
        <is>
          <t>CSS326-24G-2S+RM</t>
        </is>
      </c>
      <c r="B2" s="3" t="inlineStr">
        <is>
          <t>24G+2×SFP+；SwOS only；98DX3216；无CLI/SSH/LLDP/Trap；SNMP只读；250 VLAN/32 ACL；-20~70°C</t>
        </is>
      </c>
      <c r="C2" s="3" t="n">
        <v>159</v>
      </c>
      <c r="D2" s="3" t="inlineStr">
        <is>
          <t>✅</t>
        </is>
      </c>
      <c r="E2" s="3" t="inlineStr">
        <is>
          <t>LT-S8328XG-4XS24GT-S</t>
        </is>
      </c>
      <c r="F2" s="3" t="inlineStr">
        <is>
          <t>24G+4×SFP+(1/2.5/10G)；L2+；AC5 1.2GHz 512MB/512MB；Console；0~50°C；3年保修</t>
        </is>
      </c>
      <c r="G2" s="3" t="n">
        <v>710</v>
      </c>
      <c r="H2" s="3">
        <f>IF(G2="","",ROUND(G2/参数!$B$2,0))</f>
        <v/>
      </c>
      <c r="I2" s="3">
        <f>IF(G2="","",ROUND(G2/参数!$B$2*(1+参数!$B$3),0))</f>
        <v/>
      </c>
      <c r="J2" s="4">
        <f>IF(OR(G2="",C2=""),"",ROUND(I2/C2,2))</f>
        <v/>
      </c>
      <c r="K2" s="3" t="inlineStr">
        <is>
          <t>4×10G、Cisco风格CLI/SSH、SNMPv3+Trap、LLDP、MSTP+ERPS、QinQ、480 ACL、静态路由、MQTT</t>
        </is>
      </c>
      <c r="L2" s="3" t="inlineStr">
        <is>
          <t>温度 0~50 vs -20~70</t>
        </is>
      </c>
      <c r="M2" s="3" t="inlineStr">
        <is>
          <t>★★★★★ 降维打击</t>
        </is>
      </c>
    </row>
    <row r="3">
      <c r="A3" s="3" t="inlineStr">
        <is>
          <t>CRS326-24G-2S+RM</t>
        </is>
      </c>
      <c r="B3" s="3" t="inlineStr">
        <is>
          <t>24G+2×SFP+；RouterOS/SwOS；98DX3236 ARM 2×800MHz；-40~60°C；有QinQ/MSTP/L3卸载/API</t>
        </is>
      </c>
      <c r="C3" s="3" t="n">
        <v>209</v>
      </c>
      <c r="D3" s="3" t="inlineStr">
        <is>
          <t>✅</t>
        </is>
      </c>
      <c r="E3" s="3" t="inlineStr">
        <is>
          <t>LT-S8328XG-4XS24GT-S</t>
        </is>
      </c>
      <c r="F3" s="3" t="inlineStr">
        <is>
          <t>同上</t>
        </is>
      </c>
      <c r="G3" s="3" t="n">
        <v>710</v>
      </c>
      <c r="H3" s="3">
        <f>IF(G3="","",ROUND(G3/参数!$B$2,0))</f>
        <v/>
      </c>
      <c r="I3" s="3">
        <f>IF(G3="","",ROUND(G3/参数!$B$2*(1+参数!$B$3),0))</f>
        <v/>
      </c>
      <c r="J3" s="4">
        <f>IF(OR(G3="",C3=""),"",ROUND(I3/C3,2))</f>
        <v/>
      </c>
      <c r="K3" s="3" t="inlineStr">
        <is>
          <t>4×10G、ERPS &lt;20ms、MQTT、3年保修、OEM No MOQ</t>
        </is>
      </c>
      <c r="L3" s="3" t="inlineStr">
        <is>
          <t>RouterOS生态(API/脚本/Winbox)、-40°C；别拿QinQ/MSTP/L3当差异</t>
        </is>
      </c>
      <c r="M3" s="3" t="inlineStr">
        <is>
          <t>★★★★ 补空白</t>
        </is>
      </c>
    </row>
    <row r="4">
      <c r="A4" s="3" t="inlineStr">
        <is>
          <t>CRS326-24G-2S+IN (桌面)</t>
        </is>
      </c>
      <c r="B4" s="3" t="inlineStr">
        <is>
          <t>24G+2×SFP+ 桌面款</t>
        </is>
      </c>
      <c r="C4" s="3" t="n">
        <v>199</v>
      </c>
      <c r="D4" s="3" t="inlineStr">
        <is>
          <t>*</t>
        </is>
      </c>
      <c r="E4" s="3" t="inlineStr">
        <is>
          <t>LT-S8328G-4GX24GT-S</t>
        </is>
      </c>
      <c r="F4" s="3" t="inlineStr">
        <is>
          <t>24G+4×1G/2.5G SFP；L2+</t>
        </is>
      </c>
      <c r="G4" s="3" t="n">
        <v>460</v>
      </c>
      <c r="H4" s="3">
        <f>IF(G4="","",ROUND(G4/参数!$B$2,0))</f>
        <v/>
      </c>
      <c r="I4" s="3">
        <f>IF(G4="","",ROUND(G4/参数!$B$2*(1+参数!$B$3),0))</f>
        <v/>
      </c>
      <c r="J4" s="4">
        <f>IF(OR(G4="",C4=""),"",ROUND(I4/C4,2))</f>
        <v/>
      </c>
      <c r="K4" s="3" t="inlineStr">
        <is>
          <t>价格约为 MSRP 40%</t>
        </is>
      </c>
      <c r="L4" s="3" t="inlineStr">
        <is>
          <t>上联只有 2.5G SFP</t>
        </is>
      </c>
      <c r="M4" s="3" t="inlineStr">
        <is>
          <t>★★★</t>
        </is>
      </c>
    </row>
    <row r="5">
      <c r="A5" s="3" t="inlineStr">
        <is>
          <t>CRS328-24P-4S+RM</t>
        </is>
      </c>
      <c r="B5" s="3" t="inlineStr">
        <is>
          <t>24×PoE af/at 450W(3×150W)、30W/口、4×SFP+、500W PSU、-20~60°C、2风扇、无bt</t>
        </is>
      </c>
      <c r="C5" s="3" t="n">
        <v>489</v>
      </c>
      <c r="D5" s="3" t="inlineStr">
        <is>
          <t>✅</t>
        </is>
      </c>
      <c r="E5" s="3" t="inlineStr">
        <is>
          <t>LT-S8328XGP-4XS24GT-S</t>
        </is>
      </c>
      <c r="F5" s="3" t="inlineStr">
        <is>
          <t>24×PoE af/at + 4×SFP+ 10G；280W；PoE看门狗/定时/优先级</t>
        </is>
      </c>
      <c r="G5" s="3" t="n">
        <v>1010</v>
      </c>
      <c r="H5" s="3">
        <f>IF(G5="","",ROUND(G5/参数!$B$2,0))</f>
        <v/>
      </c>
      <c r="I5" s="3">
        <f>IF(G5="","",ROUND(G5/参数!$B$2*(1+参数!$B$3),0))</f>
        <v/>
      </c>
      <c r="J5" s="4">
        <f>IF(OR(G5="",C5=""),"",ROUND(I5/C5,2))</f>
        <v/>
      </c>
      <c r="K5" s="3" t="inlineStr">
        <is>
          <t>价格、PoE 管理(PD Alive/定时/告警阈值)、ERPS、MQTT</t>
        </is>
      </c>
      <c r="L5" s="3" t="inlineStr">
        <is>
          <t>PoE预算 280 vs 450W；440W 版只有 2.5G 上联 (LT-S8328GP-4GX24GT RMB 1200)；需向工厂确认 24P+4×10G+440W 组合</t>
        </is>
      </c>
      <c r="M5" s="3" t="inlineStr">
        <is>
          <t>★★★★</t>
        </is>
      </c>
    </row>
    <row r="6">
      <c r="A6" s="3" t="inlineStr">
        <is>
          <t>CRS328-24P-4S+RM (工业替代)</t>
        </is>
      </c>
      <c r="B6" s="3" t="inlineStr">
        <is>
          <t>同上</t>
        </is>
      </c>
      <c r="C6" s="3" t="n">
        <v>489</v>
      </c>
      <c r="D6" s="3" t="inlineStr">
        <is>
          <t>✅</t>
        </is>
      </c>
      <c r="E6" s="3" t="inlineStr">
        <is>
          <t>LT-IS6328XGP-4XS24GT / -4BT</t>
        </is>
      </c>
      <c r="F6" s="3" t="inlineStr">
        <is>
          <t>24×PoE + 4×SFP+ 10G；工业 DIN、双DC、-40~75°C、5年保修；-4BT 带 4 个 90W 口</t>
        </is>
      </c>
      <c r="G6" s="3" t="n">
        <v>2200</v>
      </c>
      <c r="H6" s="3">
        <f>IF(G6="","",ROUND(G6/参数!$B$2,0))</f>
        <v/>
      </c>
      <c r="I6" s="3">
        <f>IF(G6="","",ROUND(G6/参数!$B$2*(1+参数!$B$3),0))</f>
        <v/>
      </c>
      <c r="J6" s="4">
        <f>IF(OR(G6="",C6=""),"",ROUND(I6/C6,2))</f>
        <v/>
      </c>
      <c r="K6" s="3" t="inlineStr">
        <is>
          <t>宽温、PoE++、IEC 61000-4、5年保修</t>
        </is>
      </c>
      <c r="L6" s="3" t="inlineStr">
        <is>
          <t>比 MikroTik 贵；只在工业/户外场景推</t>
        </is>
      </c>
      <c r="M6" s="3" t="inlineStr">
        <is>
          <t>★★★ 场景型</t>
        </is>
      </c>
    </row>
    <row r="7">
      <c r="A7" s="3" t="inlineStr">
        <is>
          <t>CRS354-48G-4S+2Q+RM</t>
        </is>
      </c>
      <c r="B7" s="3" t="inlineStr">
        <is>
          <t>48G+4×SFP+ +2×QSFP+ 40G</t>
        </is>
      </c>
      <c r="C7" s="3" t="n">
        <v>599</v>
      </c>
      <c r="D7" s="3" t="inlineStr">
        <is>
          <t>*</t>
        </is>
      </c>
      <c r="E7" s="3" t="inlineStr">
        <is>
          <t>LT-S8352XG-4XS48GT</t>
        </is>
      </c>
      <c r="F7" s="3" t="inlineStr">
        <is>
          <t>48G+4×SFP+ 10G；L2+</t>
        </is>
      </c>
      <c r="G7" s="3" t="n">
        <v>1470</v>
      </c>
      <c r="H7" s="3">
        <f>IF(G7="","",ROUND(G7/参数!$B$2,0))</f>
        <v/>
      </c>
      <c r="I7" s="3">
        <f>IF(G7="","",ROUND(G7/参数!$B$2*(1+参数!$B$3),0))</f>
        <v/>
      </c>
      <c r="J7" s="4">
        <f>IF(OR(G7="",C7=""),"",ROUND(I7/C7,2))</f>
        <v/>
      </c>
      <c r="K7" s="3" t="inlineStr">
        <is>
          <t>价格、ERPS、PoE 版可选</t>
        </is>
      </c>
      <c r="L7" s="3" t="inlineStr">
        <is>
          <t>没有 40G QSFP+</t>
        </is>
      </c>
      <c r="M7" s="3" t="inlineStr">
        <is>
          <t>★★★</t>
        </is>
      </c>
    </row>
    <row r="8">
      <c r="A8" s="3" t="inlineStr">
        <is>
          <t>CRS354-48P-4S+2Q+RM</t>
        </is>
      </c>
      <c r="B8" s="3" t="inlineStr">
        <is>
          <t>48×PoE af/at + 4×SFP+ + 2×QSFP+</t>
        </is>
      </c>
      <c r="C8" s="3" t="n"/>
      <c r="D8" s="3" t="inlineStr">
        <is>
          <t>*</t>
        </is>
      </c>
      <c r="E8" s="3" t="inlineStr">
        <is>
          <t>LT-S8352XGP-4XS48GT (440W) / -850W</t>
        </is>
      </c>
      <c r="F8" s="3" t="inlineStr">
        <is>
          <t>48×PoE + 4×SFP+ 10G；440W 或 850W</t>
        </is>
      </c>
      <c r="G8" s="3" t="n">
        <v>1870</v>
      </c>
      <c r="H8" s="3">
        <f>IF(G8="","",ROUND(G8/参数!$B$2,0))</f>
        <v/>
      </c>
      <c r="I8" s="3">
        <f>IF(G8="","",ROUND(G8/参数!$B$2*(1+参数!$B$3),0))</f>
        <v/>
      </c>
      <c r="J8" s="4">
        <f>IF(OR(G8="",C8=""),"",ROUND(I8/C8,2))</f>
        <v/>
      </c>
      <c r="K8" s="3" t="inlineStr">
        <is>
          <t>850W 选项、PoE 管理</t>
        </is>
      </c>
      <c r="L8" s="3" t="inlineStr">
        <is>
          <t>没有 40G；MSRP 待核实</t>
        </is>
      </c>
      <c r="M8" s="3" t="inlineStr">
        <is>
          <t>★★★</t>
        </is>
      </c>
    </row>
    <row r="9">
      <c r="A9" s="3" t="inlineStr">
        <is>
          <t>CSS610-8G-2S+IN</t>
        </is>
      </c>
      <c r="B9" s="3" t="inlineStr">
        <is>
          <t>8G+2×SFP+；SwOS Lite；88E6193X；64KB flash；-20~60°C</t>
        </is>
      </c>
      <c r="C9" s="3" t="n">
        <v>119</v>
      </c>
      <c r="D9" s="3" t="inlineStr">
        <is>
          <t>✅</t>
        </is>
      </c>
      <c r="E9" s="3" t="inlineStr">
        <is>
          <t>LT-S8310XG-2XS8GT</t>
        </is>
      </c>
      <c r="F9" s="3" t="inlineStr">
        <is>
          <t>8G+2×SFP+ 10G；L2+ 全管理</t>
        </is>
      </c>
      <c r="G9" s="3" t="n"/>
      <c r="H9" s="3">
        <f>IF(G9="","",ROUND(G9/参数!$B$2,0))</f>
        <v/>
      </c>
      <c r="I9" s="3">
        <f>IF(G9="","",ROUND(G9/参数!$B$2*(1+参数!$B$3),0))</f>
        <v/>
      </c>
      <c r="J9" s="4">
        <f>IF(OR(G9="",C9=""),"",ROUND(I9/C9,2))</f>
        <v/>
      </c>
      <c r="K9" s="3" t="inlineStr">
        <is>
          <t>全管理 vs 傻瓜 Web</t>
        </is>
      </c>
      <c r="L9" s="3" t="inlineStr">
        <is>
          <t>商业 8 口 L2+ 暂停出货、价格待询；8 口档 MikroTik 价格很硬</t>
        </is>
      </c>
      <c r="M9" s="3" t="inlineStr">
        <is>
          <t>★★</t>
        </is>
      </c>
    </row>
    <row r="10">
      <c r="A10" s="3" t="inlineStr">
        <is>
          <t>CSS610-8P-2S+IN</t>
        </is>
      </c>
      <c r="B10" s="3" t="inlineStr">
        <is>
          <t>8×PoE + 2×SFP+；SwOS Lite</t>
        </is>
      </c>
      <c r="C10" s="3" t="n">
        <v>139</v>
      </c>
      <c r="D10" s="3" t="inlineStr">
        <is>
          <t>*</t>
        </is>
      </c>
      <c r="E10" s="3" t="inlineStr">
        <is>
          <t>LT-S8310GP-2GX8GT</t>
        </is>
      </c>
      <c r="F10" s="3" t="inlineStr">
        <is>
          <t>8×PoE(120W) + 2×1G/2.5G SFP；L2+</t>
        </is>
      </c>
      <c r="G10" s="3" t="n">
        <v>450</v>
      </c>
      <c r="H10" s="3">
        <f>IF(G10="","",ROUND(G10/参数!$B$2,0))</f>
        <v/>
      </c>
      <c r="I10" s="3">
        <f>IF(G10="","",ROUND(G10/参数!$B$2*(1+参数!$B$3),0))</f>
        <v/>
      </c>
      <c r="J10" s="4">
        <f>IF(OR(G10="",C10=""),"",ROUND(I10/C10,2))</f>
        <v/>
      </c>
      <c r="K10" s="3" t="inlineStr">
        <is>
          <t>价格、PoE 管理、全管理</t>
        </is>
      </c>
      <c r="L10" s="3" t="inlineStr">
        <is>
          <t>上联 2.5G 非 10G；暂停出货中</t>
        </is>
      </c>
      <c r="M10" s="3" t="inlineStr">
        <is>
          <t>★★★</t>
        </is>
      </c>
    </row>
    <row r="11">
      <c r="A11" s="3" t="inlineStr">
        <is>
          <t>CRS106-1C-5S (Frank 6口)</t>
        </is>
      </c>
      <c r="B11" s="3" t="inlineStr">
        <is>
          <t>1 Combo + 5×SFP；RouterOS；QCA8511</t>
        </is>
      </c>
      <c r="C11" s="3" t="n">
        <v>89</v>
      </c>
      <c r="D11" s="3" t="inlineStr">
        <is>
          <t>*</t>
        </is>
      </c>
      <c r="E11" s="3" t="inlineStr">
        <is>
          <t>LT-IS6306G-2GX4GT</t>
        </is>
      </c>
      <c r="F11" s="3" t="inlineStr">
        <is>
          <t>4G + 2×SFP；工业 DIN、IP40、双DC 12–58V、-40~75°C、5年</t>
        </is>
      </c>
      <c r="G11" s="3" t="n">
        <v>660</v>
      </c>
      <c r="H11" s="3">
        <f>IF(G11="","",ROUND(G11/参数!$B$2,0))</f>
        <v/>
      </c>
      <c r="I11" s="3">
        <f>IF(G11="","",ROUND(G11/参数!$B$2*(1+参数!$B$3),0))</f>
        <v/>
      </c>
      <c r="J11" s="4">
        <f>IF(OR(G11="",C11=""),"",ROUND(I11/C11,2))</f>
        <v/>
      </c>
      <c r="K11" s="3" t="inlineStr">
        <is>
          <t>出厂即加固(省他自己的外壳)、ERPS、双DC、4KV浪涌</t>
        </is>
      </c>
      <c r="L11" s="3" t="inlineStr">
        <is>
          <t>4电口 vs 5光口，形态不同；进价≈他现在含外壳成本</t>
        </is>
      </c>
      <c r="M11" s="3" t="inlineStr">
        <is>
          <t>★★★★ Frank 直接对位</t>
        </is>
      </c>
    </row>
    <row r="12">
      <c r="A12" s="3" t="inlineStr">
        <is>
          <t>CRS112-8G-4S-IN (Frank 12口)</t>
        </is>
      </c>
      <c r="B12" s="3" t="inlineStr">
        <is>
          <t>8G + 4×SFP；RouterOS；QCA8511</t>
        </is>
      </c>
      <c r="C12" s="3" t="n">
        <v>119</v>
      </c>
      <c r="D12" s="3" t="inlineStr">
        <is>
          <t>*</t>
        </is>
      </c>
      <c r="E12" s="3" t="inlineStr">
        <is>
          <t>LT-IS6312G-4GX8GT</t>
        </is>
      </c>
      <c r="F12" s="3" t="inlineStr">
        <is>
          <t>8G + 4×1G/2.5G SFP；工业</t>
        </is>
      </c>
      <c r="G12" s="3" t="n">
        <v>740</v>
      </c>
      <c r="H12" s="3">
        <f>IF(G12="","",ROUND(G12/参数!$B$2,0))</f>
        <v/>
      </c>
      <c r="I12" s="3">
        <f>IF(G12="","",ROUND(G12/参数!$B$2*(1+参数!$B$3),0))</f>
        <v/>
      </c>
      <c r="J12" s="4">
        <f>IF(OR(G12="",C12=""),"",ROUND(I12/C12,2))</f>
        <v/>
      </c>
      <c r="K12" s="3" t="inlineStr">
        <is>
          <t>同上 + 2.5G SFP</t>
        </is>
      </c>
      <c r="L12" s="3" t="inlineStr">
        <is>
          <t>加价后比他现在成本略高</t>
        </is>
      </c>
      <c r="M12" s="3" t="inlineStr">
        <is>
          <t>★★★★ Frank 直接对位</t>
        </is>
      </c>
    </row>
    <row r="13">
      <c r="A13" s="3" t="inlineStr">
        <is>
          <t>CRS112-8G-4S-IN (10G 上联版)</t>
        </is>
      </c>
      <c r="B13" s="3" t="inlineStr">
        <is>
          <t>同上</t>
        </is>
      </c>
      <c r="C13" s="3" t="n">
        <v>119</v>
      </c>
      <c r="D13" s="3" t="inlineStr">
        <is>
          <t>*</t>
        </is>
      </c>
      <c r="E13" s="3" t="inlineStr">
        <is>
          <t>LT-IS6312XG-4XS8GT</t>
        </is>
      </c>
      <c r="F13" s="3" t="inlineStr">
        <is>
          <t>8G + 4×SFP+ 10G；工业</t>
        </is>
      </c>
      <c r="G13" s="3" t="n">
        <v>840</v>
      </c>
      <c r="H13" s="3">
        <f>IF(G13="","",ROUND(G13/参数!$B$2,0))</f>
        <v/>
      </c>
      <c r="I13" s="3">
        <f>IF(G13="","",ROUND(G13/参数!$B$2*(1+参数!$B$3),0))</f>
        <v/>
      </c>
      <c r="J13" s="4">
        <f>IF(OR(G13="",C13=""),"",ROUND(I13/C13,2))</f>
        <v/>
      </c>
      <c r="K13" s="3" t="inlineStr">
        <is>
          <t>10G 上联、ERPS、工业</t>
        </is>
      </c>
      <c r="L13" s="3" t="inlineStr">
        <is>
          <t>贵 ~30%</t>
        </is>
      </c>
      <c r="M13" s="3" t="inlineStr">
        <is>
          <t>★★★★</t>
        </is>
      </c>
    </row>
    <row r="14">
      <c r="A14" s="3" t="inlineStr">
        <is>
          <t>CRS112-8P-4S-IN</t>
        </is>
      </c>
      <c r="B14" s="3" t="inlineStr">
        <is>
          <t>8×PoE(被动/af/at) + 4×SFP；-20~60°C</t>
        </is>
      </c>
      <c r="C14" s="3" t="n">
        <v>199</v>
      </c>
      <c r="D14" s="3" t="inlineStr">
        <is>
          <t>*</t>
        </is>
      </c>
      <c r="E14" s="3" t="inlineStr">
        <is>
          <t>LT-IS6312GP-4GX8GT / -2BT</t>
        </is>
      </c>
      <c r="F14" s="3" t="inlineStr">
        <is>
          <t>8×PoE + 4×SFP；工业；-2BT 带 2 个 90W 口</t>
        </is>
      </c>
      <c r="G14" s="3" t="n">
        <v>820</v>
      </c>
      <c r="H14" s="3">
        <f>IF(G14="","",ROUND(G14/参数!$B$2,0))</f>
        <v/>
      </c>
      <c r="I14" s="3">
        <f>IF(G14="","",ROUND(G14/参数!$B$2*(1+参数!$B$3),0))</f>
        <v/>
      </c>
      <c r="J14" s="4">
        <f>IF(OR(G14="",C14=""),"",ROUND(I14/C14,2))</f>
        <v/>
      </c>
      <c r="K14" s="3" t="inlineStr">
        <is>
          <t>PoE++ 选项、工业、PoE 看门狗</t>
        </is>
      </c>
      <c r="L14" s="3" t="inlineStr">
        <is>
          <t>—</t>
        </is>
      </c>
      <c r="M14" s="3" t="inlineStr">
        <is>
          <t>★★★★</t>
        </is>
      </c>
    </row>
    <row r="15">
      <c r="A15" s="3" t="inlineStr">
        <is>
          <t>CRS310-8G+2S+IN</t>
        </is>
      </c>
      <c r="B15" s="3" t="inlineStr">
        <is>
          <t>8×2.5GbE + 2×SFP+</t>
        </is>
      </c>
      <c r="C15" s="3" t="n">
        <v>149</v>
      </c>
      <c r="D15" s="3" t="inlineStr">
        <is>
          <t>*</t>
        </is>
      </c>
      <c r="E15" s="3" t="inlineStr">
        <is>
          <t>无对等</t>
        </is>
      </c>
      <c r="F15" s="3" t="inlineStr">
        <is>
          <t>你没有 2.5G 电口产品</t>
        </is>
      </c>
      <c r="G15" s="3" t="n"/>
      <c r="H15" s="3">
        <f>IF(G15="","",ROUND(G15/参数!$B$2,0))</f>
        <v/>
      </c>
      <c r="I15" s="3">
        <f>IF(G15="","",ROUND(G15/参数!$B$2*(1+参数!$B$3),0))</f>
        <v/>
      </c>
      <c r="J15" s="4">
        <f>IF(OR(G15="",C15=""),"",ROUND(I15/C15,2))</f>
        <v/>
      </c>
      <c r="K15" s="3" t="inlineStr">
        <is>
          <t>—</t>
        </is>
      </c>
      <c r="L15" s="3" t="inlineStr">
        <is>
          <t>放弃</t>
        </is>
      </c>
      <c r="M15" s="3" t="inlineStr">
        <is>
          <t>—</t>
        </is>
      </c>
    </row>
    <row r="16">
      <c r="A16" s="3" t="inlineStr">
        <is>
          <t>CRS310-1G-5S-4S+IN</t>
        </is>
      </c>
      <c r="B16" s="3" t="inlineStr">
        <is>
          <t>1G + 5×SFP + 4×SFP+；98DX226S</t>
        </is>
      </c>
      <c r="C16" s="3" t="n">
        <v>195</v>
      </c>
      <c r="D16" s="3" t="inlineStr">
        <is>
          <t>*</t>
        </is>
      </c>
      <c r="E16" s="3" t="inlineStr">
        <is>
          <t>LT-IS6316XG-4XS4GX8GT</t>
        </is>
      </c>
      <c r="F16" s="3" t="inlineStr">
        <is>
          <t>8G + 4×SFP + 4×SFP+；工业</t>
        </is>
      </c>
      <c r="G16" s="3" t="n">
        <v>1400</v>
      </c>
      <c r="H16" s="3">
        <f>IF(G16="","",ROUND(G16/参数!$B$2,0))</f>
        <v/>
      </c>
      <c r="I16" s="3">
        <f>IF(G16="","",ROUND(G16/参数!$B$2*(1+参数!$B$3),0))</f>
        <v/>
      </c>
      <c r="J16" s="4">
        <f>IF(OR(G16="",C16=""),"",ROUND(I16/C16,2))</f>
        <v/>
      </c>
      <c r="K16" s="3" t="inlineStr">
        <is>
          <t>工业、ERPS、电口多</t>
        </is>
      </c>
      <c r="L16" s="3" t="inlineStr">
        <is>
          <t>贵、形态不同</t>
        </is>
      </c>
      <c r="M16" s="3" t="inlineStr">
        <is>
          <t>★★</t>
        </is>
      </c>
    </row>
    <row r="17">
      <c r="A17" s="3" t="inlineStr">
        <is>
          <t>CRS318-16P-2S+RM / netPower 16P</t>
        </is>
      </c>
      <c r="B17" s="3" t="inlineStr">
        <is>
          <t>16×PoE + 2×SFP+ (netPower 是户外反向PoE)</t>
        </is>
      </c>
      <c r="C17" s="3" t="n">
        <v>329</v>
      </c>
      <c r="D17" s="3" t="inlineStr">
        <is>
          <t>*</t>
        </is>
      </c>
      <c r="E17" s="3" t="inlineStr">
        <is>
          <t>LT-IS6318XGP-2XS16GT</t>
        </is>
      </c>
      <c r="F17" s="3" t="inlineStr">
        <is>
          <t>16×PoE + 2×SFP+ 10G；工业</t>
        </is>
      </c>
      <c r="G17" s="3" t="n">
        <v>1660</v>
      </c>
      <c r="H17" s="3">
        <f>IF(G17="","",ROUND(G17/参数!$B$2,0))</f>
        <v/>
      </c>
      <c r="I17" s="3">
        <f>IF(G17="","",ROUND(G17/参数!$B$2*(1+参数!$B$3),0))</f>
        <v/>
      </c>
      <c r="J17" s="4">
        <f>IF(OR(G17="",C17=""),"",ROUND(I17/C17,2))</f>
        <v/>
      </c>
      <c r="K17" s="3" t="inlineStr">
        <is>
          <t>工业、PoE 管理</t>
        </is>
      </c>
      <c r="L17" s="3" t="inlineStr">
        <is>
          <t>贵；netPower 是不同物种</t>
        </is>
      </c>
      <c r="M17" s="3" t="inlineStr">
        <is>
          <t>★★</t>
        </is>
      </c>
    </row>
    <row r="18">
      <c r="A18" s="3" t="inlineStr">
        <is>
          <t>CRS320-8P-8B-4S+RM</t>
        </is>
      </c>
      <c r="B18" s="3" t="inlineStr">
        <is>
          <t>8×af/at + 8×bt + 4×SFP+</t>
        </is>
      </c>
      <c r="C18" s="3" t="n">
        <v>299</v>
      </c>
      <c r="D18" s="3" t="inlineStr">
        <is>
          <t>*</t>
        </is>
      </c>
      <c r="E18" s="3" t="inlineStr">
        <is>
          <t>LT-IS6320GP-4GX16GT-D-4BT</t>
        </is>
      </c>
      <c r="F18" s="3" t="inlineStr">
        <is>
          <t>16×PoE(4 个 bt) + 4×SFP + DI/DO/RS485；工业</t>
        </is>
      </c>
      <c r="G18" s="3" t="n">
        <v>1960</v>
      </c>
      <c r="H18" s="3">
        <f>IF(G18="","",ROUND(G18/参数!$B$2,0))</f>
        <v/>
      </c>
      <c r="I18" s="3">
        <f>IF(G18="","",ROUND(G18/参数!$B$2*(1+参数!$B$3),0))</f>
        <v/>
      </c>
      <c r="J18" s="4">
        <f>IF(OR(G18="",C18=""),"",ROUND(I18/C18,2))</f>
        <v/>
      </c>
      <c r="K18" s="3" t="inlineStr">
        <is>
          <t>DI/DO/RS485、工业、ERPS</t>
        </is>
      </c>
      <c r="L18" s="3" t="inlineStr">
        <is>
          <t>只有 4 个 bt 口；MSRP 抓取值不一致(299/489)</t>
        </is>
      </c>
      <c r="M18" s="3" t="inlineStr">
        <is>
          <t>★★</t>
        </is>
      </c>
    </row>
    <row r="19">
      <c r="A19" s="3" t="inlineStr">
        <is>
          <t>CRS328-4C-20S-4S+RM</t>
        </is>
      </c>
      <c r="B19" s="3" t="inlineStr">
        <is>
          <t>4 Combo + 20×SFP + 4×SFP+</t>
        </is>
      </c>
      <c r="C19" s="3" t="n">
        <v>299</v>
      </c>
      <c r="D19" s="3" t="inlineStr">
        <is>
          <t>*</t>
        </is>
      </c>
      <c r="E19" s="3" t="inlineStr">
        <is>
          <t>LT-IS6328XG-4XS16GX8GC-D</t>
        </is>
      </c>
      <c r="F19" s="3" t="inlineStr">
        <is>
          <t>16×SFP + 8 Combo + 4×SFP+ + DI/DO；工业</t>
        </is>
      </c>
      <c r="G19" s="3" t="n">
        <v>2650</v>
      </c>
      <c r="H19" s="3">
        <f>IF(G19="","",ROUND(G19/参数!$B$2,0))</f>
        <v/>
      </c>
      <c r="I19" s="3">
        <f>IF(G19="","",ROUND(G19/参数!$B$2*(1+参数!$B$3),0))</f>
        <v/>
      </c>
      <c r="J19" s="4">
        <f>IF(OR(G19="",C19=""),"",ROUND(I19/C19,2))</f>
        <v/>
      </c>
      <c r="K19" s="3" t="inlineStr">
        <is>
          <t>工业</t>
        </is>
      </c>
      <c r="L19" s="3" t="inlineStr">
        <is>
          <t>MikroTik 便宜一半 —— 放弃</t>
        </is>
      </c>
      <c r="M19" s="3" t="inlineStr">
        <is>
          <t>✗</t>
        </is>
      </c>
    </row>
    <row r="20">
      <c r="A20" s="3" t="inlineStr">
        <is>
          <t>CRS305 / CRS309 / CRS317 / CRS326-24S+2Q+ / CRS504 / CRS510</t>
        </is>
      </c>
      <c r="B20" s="3" t="inlineStr">
        <is>
          <t>全 SFP+ / 25G / 100G</t>
        </is>
      </c>
      <c r="C20" s="3" t="n"/>
      <c r="D20" s="3" t="inlineStr">
        <is>
          <t>*</t>
        </is>
      </c>
      <c r="E20" s="3" t="inlineStr">
        <is>
          <t>无对等</t>
        </is>
      </c>
      <c r="F20" s="3" t="inlineStr">
        <is>
          <t>—</t>
        </is>
      </c>
      <c r="G20" s="3" t="n"/>
      <c r="H20" s="3">
        <f>IF(G20="","",ROUND(G20/参数!$B$2,0))</f>
        <v/>
      </c>
      <c r="I20" s="3">
        <f>IF(G20="","",ROUND(G20/参数!$B$2*(1+参数!$B$3),0))</f>
        <v/>
      </c>
      <c r="J20" s="4">
        <f>IF(OR(G20="",C20=""),"",ROUND(I20/C20,2))</f>
        <v/>
      </c>
      <c r="K20" s="3" t="inlineStr">
        <is>
          <t>—</t>
        </is>
      </c>
      <c r="L20" s="3" t="inlineStr">
        <is>
          <t>放弃：MikroTik 在全光/高速档价格无敌</t>
        </is>
      </c>
      <c r="M20" s="3" t="inlineStr">
        <is>
          <t>✗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24" customWidth="1" min="2" max="2"/>
    <col width="10" customWidth="1" min="3" max="3"/>
    <col width="14" customWidth="1" min="4" max="4"/>
    <col width="22" customWidth="1" min="5" max="5"/>
    <col width="40" customWidth="1" min="6" max="6"/>
    <col width="40" customWidth="1" min="7" max="7"/>
    <col width="8" customWidth="1" min="8" max="8"/>
    <col width="6" customWidth="1" min="9" max="9"/>
    <col width="10" customWidth="1" min="10" max="10"/>
    <col width="10" customWidth="1" min="11" max="11"/>
    <col width="8" customWidth="1" min="12" max="12"/>
    <col width="36" customWidth="1" min="13" max="13"/>
  </cols>
  <sheetData>
    <row r="1">
      <c r="A1" s="2" t="inlineStr">
        <is>
          <t>品牌</t>
        </is>
      </c>
      <c r="B1" s="2" t="inlineStr">
        <is>
          <t>代表型号</t>
        </is>
      </c>
      <c r="C1" s="2" t="inlineStr">
        <is>
          <t>≈价格 USD</t>
        </is>
      </c>
      <c r="D1" s="2" t="inlineStr">
        <is>
          <t>价格来源</t>
        </is>
      </c>
      <c r="E1" s="2" t="inlineStr">
        <is>
          <t>定位</t>
        </is>
      </c>
      <c r="F1" s="2" t="inlineStr">
        <is>
          <t>强项</t>
        </is>
      </c>
      <c r="G1" s="2" t="inlineStr">
        <is>
          <t>弱项</t>
        </is>
      </c>
      <c r="H1" s="2" t="inlineStr">
        <is>
          <t>ERPS</t>
        </is>
      </c>
      <c r="I1" s="2" t="inlineStr">
        <is>
          <t>OEM</t>
        </is>
      </c>
      <c r="J1" s="2" t="inlineStr">
        <is>
          <t>工业线</t>
        </is>
      </c>
      <c r="K1" s="2" t="inlineStr">
        <is>
          <t>保修</t>
        </is>
      </c>
      <c r="L1" s="2" t="inlineStr">
        <is>
          <t>对你的威胁</t>
        </is>
      </c>
      <c r="M1" s="2" t="inlineStr">
        <is>
          <t>你的打法</t>
        </is>
      </c>
    </row>
    <row r="2">
      <c r="A2" s="3" t="inlineStr">
        <is>
          <t>MikroTik</t>
        </is>
      </c>
      <c r="B2" s="3" t="inlineStr">
        <is>
          <t>CSS326-24G-2S+RM</t>
        </is>
      </c>
      <c r="C2" s="3" t="n">
        <v>159</v>
      </c>
      <c r="D2" s="3" t="inlineStr">
        <is>
          <t>官网 ✅</t>
        </is>
      </c>
      <c r="E2" s="3" t="inlineStr">
        <is>
          <t>傻瓜 Web 24 口</t>
        </is>
      </c>
      <c r="F2" s="3" t="inlineStr">
        <is>
          <t>价格、品牌、-20~70°C</t>
        </is>
      </c>
      <c r="G2" s="3" t="inlineStr">
        <is>
          <t>无 CLI/SSH/LLDP/Trap，SNMP 只读，250 VLAN/32 ACL</t>
        </is>
      </c>
      <c r="H2" s="3" t="inlineStr">
        <is>
          <t>否</t>
        </is>
      </c>
      <c r="I2" s="3" t="inlineStr">
        <is>
          <t>否</t>
        </is>
      </c>
      <c r="J2" s="3" t="inlineStr">
        <is>
          <t>否</t>
        </is>
      </c>
      <c r="K2" s="3" t="inlineStr">
        <is>
          <t>1 年</t>
        </is>
      </c>
      <c r="L2" s="3" t="inlineStr">
        <is>
          <t>低</t>
        </is>
      </c>
      <c r="M2" s="3" t="inlineStr">
        <is>
          <t>全面碾压</t>
        </is>
      </c>
    </row>
    <row r="3">
      <c r="A3" s="3" t="inlineStr">
        <is>
          <t>MikroTik</t>
        </is>
      </c>
      <c r="B3" s="3" t="inlineStr">
        <is>
          <t>CRS326-24G-2S+RM</t>
        </is>
      </c>
      <c r="C3" s="3" t="n">
        <v>209</v>
      </c>
      <c r="D3" s="3" t="inlineStr">
        <is>
          <t>官网 ✅</t>
        </is>
      </c>
      <c r="E3" s="3" t="inlineStr">
        <is>
          <t>RouterOS 24 口</t>
        </is>
      </c>
      <c r="F3" s="3" t="inlineStr">
        <is>
          <t>RouterOS 生态、API/REST/脚本、QinQ/MSTP/L3 卸载、-40~60°C</t>
        </is>
      </c>
      <c r="G3" s="3" t="inlineStr">
        <is>
          <t>无 ERPS、无 PoE-out、2×SFP+、1 年保修</t>
        </is>
      </c>
      <c r="H3" s="3" t="inlineStr">
        <is>
          <t>否</t>
        </is>
      </c>
      <c r="I3" s="3" t="inlineStr">
        <is>
          <t>否</t>
        </is>
      </c>
      <c r="J3" s="3" t="inlineStr">
        <is>
          <t>否</t>
        </is>
      </c>
      <c r="K3" s="3" t="inlineStr">
        <is>
          <t>1 年</t>
        </is>
      </c>
      <c r="L3" s="3" t="inlineStr">
        <is>
          <t>中</t>
        </is>
      </c>
      <c r="M3" s="3" t="inlineStr">
        <is>
          <t>补空白：ERPS/PoE++/工业/OEM，价格低 1/3</t>
        </is>
      </c>
    </row>
    <row r="4">
      <c r="A4" s="3" t="inlineStr">
        <is>
          <t>MikroTik</t>
        </is>
      </c>
      <c r="B4" s="3" t="inlineStr">
        <is>
          <t>CRS328-24P-4S+RM</t>
        </is>
      </c>
      <c r="C4" s="3" t="n">
        <v>489</v>
      </c>
      <c r="D4" s="3" t="inlineStr">
        <is>
          <t>官网 ✅</t>
        </is>
      </c>
      <c r="E4" s="3" t="inlineStr">
        <is>
          <t>24 PoE af/at 450W</t>
        </is>
      </c>
      <c r="F4" s="3" t="inlineStr">
        <is>
          <t>被动+标准 PoE、4×SFP+</t>
        </is>
      </c>
      <c r="G4" s="3" t="inlineStr">
        <is>
          <t>无 bt、-20~60°C、无 PoE 看门狗</t>
        </is>
      </c>
      <c r="H4" s="3" t="inlineStr">
        <is>
          <t>否</t>
        </is>
      </c>
      <c r="I4" s="3" t="inlineStr">
        <is>
          <t>否</t>
        </is>
      </c>
      <c r="J4" s="3" t="inlineStr">
        <is>
          <t>否</t>
        </is>
      </c>
      <c r="K4" s="3" t="inlineStr">
        <is>
          <t>1 年</t>
        </is>
      </c>
      <c r="L4" s="3" t="inlineStr">
        <is>
          <t>中</t>
        </is>
      </c>
      <c r="M4" s="3" t="inlineStr">
        <is>
          <t>PoE 管理 + 工业款 + 价格</t>
        </is>
      </c>
    </row>
    <row r="5">
      <c r="A5" s="3" t="inlineStr">
        <is>
          <t>MikroTik</t>
        </is>
      </c>
      <c r="B5" s="3" t="inlineStr">
        <is>
          <t>CRS354-48G-4S+2Q+RM</t>
        </is>
      </c>
      <c r="C5" s="3" t="n">
        <v>599</v>
      </c>
      <c r="D5" s="3" t="inlineStr">
        <is>
          <t>官网 ✅</t>
        </is>
      </c>
      <c r="E5" s="3" t="inlineStr">
        <is>
          <t>48 口 + 40G</t>
        </is>
      </c>
      <c r="F5" s="3" t="inlineStr">
        <is>
          <t>2×QSFP+ 40G</t>
        </is>
      </c>
      <c r="G5" s="3" t="inlineStr">
        <is>
          <t>QCA9531 650MHz/64MB，L3 极弱</t>
        </is>
      </c>
      <c r="H5" s="3" t="inlineStr">
        <is>
          <t>否</t>
        </is>
      </c>
      <c r="I5" s="3" t="inlineStr">
        <is>
          <t>否</t>
        </is>
      </c>
      <c r="J5" s="3" t="inlineStr">
        <is>
          <t>否</t>
        </is>
      </c>
      <c r="K5" s="3" t="inlineStr">
        <is>
          <t>1 年</t>
        </is>
      </c>
      <c r="L5" s="3" t="inlineStr">
        <is>
          <t>低</t>
        </is>
      </c>
      <c r="M5" s="3" t="inlineStr">
        <is>
          <t>无 40G 则用 LT-S8352XG</t>
        </is>
      </c>
    </row>
    <row r="6">
      <c r="A6" s="3" t="inlineStr">
        <is>
          <t>MikroTik</t>
        </is>
      </c>
      <c r="B6" s="3" t="inlineStr">
        <is>
          <t>CRS418-8P-8G-2S+RM</t>
        </is>
      </c>
      <c r="C6" s="3" t="n">
        <v>449</v>
      </c>
      <c r="D6" s="3" t="inlineStr">
        <is>
          <t>抓取 *</t>
        </is>
      </c>
      <c r="E6" s="3" t="inlineStr">
        <is>
          <t>新方向：强 CPU 混合路由交换</t>
        </is>
      </c>
      <c r="F6" s="3" t="inlineStr">
        <is>
          <t>2.2GHz 四核、L3 卸载、可当路由器/CAPsMAN、双 AC</t>
        </is>
      </c>
      <c r="G6" s="3" t="inlineStr">
        <is>
          <t>价格、-20°C</t>
        </is>
      </c>
      <c r="H6" s="3" t="inlineStr">
        <is>
          <t>否</t>
        </is>
      </c>
      <c r="I6" s="3" t="inlineStr">
        <is>
          <t>否</t>
        </is>
      </c>
      <c r="J6" s="3" t="inlineStr">
        <is>
          <t>否</t>
        </is>
      </c>
      <c r="K6" s="3" t="inlineStr">
        <is>
          <t>1 年</t>
        </is>
      </c>
      <c r="L6" s="3" t="inlineStr">
        <is>
          <t>低</t>
        </is>
      </c>
      <c r="M6" s="3" t="inlineStr">
        <is>
          <t>不碰</t>
        </is>
      </c>
    </row>
    <row r="7">
      <c r="A7" s="3" t="inlineStr">
        <is>
          <t>TP-Link Omada</t>
        </is>
      </c>
      <c r="B7" s="3" t="inlineStr">
        <is>
          <t>SG3428X</t>
        </is>
      </c>
      <c r="C7" s="3" t="n">
        <v>300</v>
      </c>
      <c r="D7" s="3" t="inlineStr">
        <is>
          <t>零售 ≈259–367</t>
        </is>
      </c>
      <c r="E7" s="3" t="inlineStr">
        <is>
          <t>商业 L2+ 24G+4×SFP+</t>
        </is>
      </c>
      <c r="F7" s="3" t="inlineStr">
        <is>
          <t>有 ERPS、OAM、sFlow、DDM、CLI、Omada 云、终身有限保修、渠道广</t>
        </is>
      </c>
      <c r="G7" s="3" t="inlineStr">
        <is>
          <t>0~50°C、无工业线、不能 OEM、无 DI/DO</t>
        </is>
      </c>
      <c r="H7" s="3" t="inlineStr">
        <is>
          <t>是</t>
        </is>
      </c>
      <c r="I7" s="3" t="inlineStr">
        <is>
          <t>否</t>
        </is>
      </c>
      <c r="J7" s="3" t="inlineStr">
        <is>
          <t>否</t>
        </is>
      </c>
      <c r="K7" s="3" t="inlineStr">
        <is>
          <t>终身有限</t>
        </is>
      </c>
      <c r="L7" s="3" t="inlineStr">
        <is>
          <t>高</t>
        </is>
      </c>
      <c r="M7" s="3" t="inlineStr">
        <is>
          <t>24 口只做敲门 SKU；用工业/PoE++/OEM 赚钱</t>
        </is>
      </c>
    </row>
    <row r="8">
      <c r="A8" s="3" t="inlineStr">
        <is>
          <t>TP-Link Omada</t>
        </is>
      </c>
      <c r="B8" s="3" t="inlineStr">
        <is>
          <t>SG3428XMP</t>
        </is>
      </c>
      <c r="C8" s="3" t="n">
        <v>480</v>
      </c>
      <c r="D8" s="3" t="inlineStr">
        <is>
          <t>零售 ≈</t>
        </is>
      </c>
      <c r="E8" s="3" t="inlineStr">
        <is>
          <t>24 PoE+ 384W + 4×SFP+</t>
        </is>
      </c>
      <c r="F8" s="3" t="inlineStr">
        <is>
          <t>同上</t>
        </is>
      </c>
      <c r="G8" s="3" t="inlineStr">
        <is>
          <t>同上</t>
        </is>
      </c>
      <c r="H8" s="3" t="inlineStr">
        <is>
          <t>是</t>
        </is>
      </c>
      <c r="I8" s="3" t="inlineStr">
        <is>
          <t>否</t>
        </is>
      </c>
      <c r="J8" s="3" t="inlineStr">
        <is>
          <t>否</t>
        </is>
      </c>
      <c r="K8" s="3" t="inlineStr">
        <is>
          <t>终身有限</t>
        </is>
      </c>
      <c r="L8" s="3" t="inlineStr">
        <is>
          <t>高</t>
        </is>
      </c>
      <c r="M8" s="3" t="inlineStr">
        <is>
          <t>同上</t>
        </is>
      </c>
    </row>
    <row r="9">
      <c r="A9" s="3" t="inlineStr">
        <is>
          <t>Ubiquiti UniFi</t>
        </is>
      </c>
      <c r="B9" s="3" t="inlineStr">
        <is>
          <t>USW-24</t>
        </is>
      </c>
      <c r="C9" s="3" t="n">
        <v>250</v>
      </c>
      <c r="D9" s="3" t="inlineStr">
        <is>
          <t>零售 ≈219–295</t>
        </is>
      </c>
      <c r="E9" s="3" t="inlineStr">
        <is>
          <t>L2 24G + 2×SFP 1G</t>
        </is>
      </c>
      <c r="F9" s="3" t="inlineStr">
        <is>
          <t>UI/控制器、品牌</t>
        </is>
      </c>
      <c r="G9" s="3" t="inlineStr">
        <is>
          <t>控制器依赖、无 SFP+、无 ERPS、无 QinQ</t>
        </is>
      </c>
      <c r="H9" s="3" t="inlineStr">
        <is>
          <t>否</t>
        </is>
      </c>
      <c r="I9" s="3" t="inlineStr">
        <is>
          <t>否</t>
        </is>
      </c>
      <c r="J9" s="3" t="inlineStr">
        <is>
          <t>否</t>
        </is>
      </c>
      <c r="K9" s="3" t="inlineStr">
        <is>
          <t>1 年</t>
        </is>
      </c>
      <c r="L9" s="3" t="inlineStr">
        <is>
          <t>中</t>
        </is>
      </c>
      <c r="M9" s="3" t="inlineStr">
        <is>
          <t>对不想被控制器绑定的客户</t>
        </is>
      </c>
    </row>
    <row r="10">
      <c r="A10" s="3" t="inlineStr">
        <is>
          <t>Ubiquiti UniFi</t>
        </is>
      </c>
      <c r="B10" s="3" t="inlineStr">
        <is>
          <t>USW-Pro-24</t>
        </is>
      </c>
      <c r="C10" s="3" t="n">
        <v>399</v>
      </c>
      <c r="D10" s="3" t="inlineStr">
        <is>
          <t>store.ui.com</t>
        </is>
      </c>
      <c r="E10" s="3" t="inlineStr">
        <is>
          <t>L3 24G + 2×SFP+</t>
        </is>
      </c>
      <c r="F10" s="3" t="inlineStr">
        <is>
          <t>UI/控制器、L3</t>
        </is>
      </c>
      <c r="G10" s="3" t="inlineStr">
        <is>
          <t>同上，价格高</t>
        </is>
      </c>
      <c r="H10" s="3" t="inlineStr">
        <is>
          <t>否</t>
        </is>
      </c>
      <c r="I10" s="3" t="inlineStr">
        <is>
          <t>否</t>
        </is>
      </c>
      <c r="J10" s="3" t="inlineStr">
        <is>
          <t>否</t>
        </is>
      </c>
      <c r="K10" s="3" t="inlineStr">
        <is>
          <t>1 年</t>
        </is>
      </c>
      <c r="L10" s="3" t="inlineStr">
        <is>
          <t>中</t>
        </is>
      </c>
      <c r="M10" s="3" t="inlineStr">
        <is>
          <t>价格 1/3 + CLI/SNMP/ERPS</t>
        </is>
      </c>
    </row>
    <row r="11">
      <c r="A11" s="3" t="inlineStr">
        <is>
          <t>Teltonika Networks</t>
        </is>
      </c>
      <c r="B11" s="3" t="inlineStr">
        <is>
          <t>TSW212</t>
        </is>
      </c>
      <c r="C11" s="3" t="n">
        <v>129</v>
      </c>
      <c r="D11" s="3" t="inlineStr">
        <is>
          <t>MSRP</t>
        </is>
      </c>
      <c r="E11" s="3" t="inlineStr">
        <is>
          <t>工业 8G + 2×SFP 管理型</t>
        </is>
      </c>
      <c r="F11" s="3" t="inlineStr">
        <is>
          <t>价格、RMS 云、PROFINET/EtherNet-IP/MRP、7–57V、与 MikroTik 同渠道</t>
        </is>
      </c>
      <c r="G11" s="3" t="inlineStr">
        <is>
          <t>8K MAC/512KB 缓存、无 10G、无 ERPS、无 PoE++、无 QinQ/MSTP 级 L2+</t>
        </is>
      </c>
      <c r="H11" s="3" t="inlineStr">
        <is>
          <t>否(MRP)</t>
        </is>
      </c>
      <c r="I11" s="3" t="inlineStr">
        <is>
          <t>否</t>
        </is>
      </c>
      <c r="J11" s="3" t="inlineStr">
        <is>
          <t>是</t>
        </is>
      </c>
      <c r="K11" s="3" t="inlineStr">
        <is>
          <t>2 年</t>
        </is>
      </c>
      <c r="L11" s="3" t="inlineStr">
        <is>
          <t>高</t>
        </is>
      </c>
      <c r="M11" s="3" t="inlineStr">
        <is>
          <t>LT-IS6312XG：4×10G、ERPS、16K/12Mbit、PoE++、DI/DO、5 年</t>
        </is>
      </c>
    </row>
    <row r="12">
      <c r="A12" s="3" t="inlineStr">
        <is>
          <t>PLANET</t>
        </is>
      </c>
      <c r="B12" s="3" t="inlineStr">
        <is>
          <t>IGS-5225-8P4S</t>
        </is>
      </c>
      <c r="C12" s="3" t="n">
        <v>790</v>
      </c>
      <c r="D12" s="3" t="inlineStr">
        <is>
          <t>零售 757–828</t>
        </is>
      </c>
      <c r="E12" s="3" t="inlineStr">
        <is>
          <t>工业 8 PoE+ + 2 SFP + 2×2.5G SFP</t>
        </is>
      </c>
      <c r="F12" s="3" t="inlineStr">
        <is>
          <t>ERPS &lt;10ms、MSTP、Modbus TCP、1588 透传、-40~75、TAA</t>
        </is>
      </c>
      <c r="G12" s="3" t="inlineStr">
        <is>
          <t>价格 5–7×、交期</t>
        </is>
      </c>
      <c r="H12" s="3" t="inlineStr">
        <is>
          <t>是</t>
        </is>
      </c>
      <c r="I12" s="3" t="inlineStr">
        <is>
          <t>有限</t>
        </is>
      </c>
      <c r="J12" s="3" t="inlineStr">
        <is>
          <t>是</t>
        </is>
      </c>
      <c r="K12" s="3" t="inlineStr">
        <is>
          <t>5 年</t>
        </is>
      </c>
      <c r="L12" s="3" t="inlineStr">
        <is>
          <t>低</t>
        </is>
      </c>
      <c r="M12" s="3" t="inlineStr">
        <is>
          <t>'PLANET 的功能，MikroTik 的价格'</t>
        </is>
      </c>
    </row>
    <row r="13">
      <c r="A13" s="3" t="inlineStr">
        <is>
          <t>ORing</t>
        </is>
      </c>
      <c r="B13" s="3" t="inlineStr">
        <is>
          <t>IGS-9084GP 类</t>
        </is>
      </c>
      <c r="C13" s="3" t="n">
        <v>1000</v>
      </c>
      <c r="D13" s="3" t="inlineStr">
        <is>
          <t>≈900–1200</t>
        </is>
      </c>
      <c r="E13" s="3" t="inlineStr">
        <is>
          <t>工业标杆</t>
        </is>
      </c>
      <c r="F13" s="3" t="inlineStr">
        <is>
          <t>O-Ring &lt;30ms、ERPS、EN50155、IP67、UL</t>
        </is>
      </c>
      <c r="G13" s="3" t="inlineStr">
        <is>
          <t>价格 8–10×</t>
        </is>
      </c>
      <c r="H13" s="3" t="inlineStr">
        <is>
          <t>是</t>
        </is>
      </c>
      <c r="I13" s="3" t="inlineStr">
        <is>
          <t>否</t>
        </is>
      </c>
      <c r="J13" s="3" t="inlineStr">
        <is>
          <t>是</t>
        </is>
      </c>
      <c r="K13" s="3" t="inlineStr">
        <is>
          <t>5 年</t>
        </is>
      </c>
      <c r="L13" s="3" t="inlineStr">
        <is>
          <t>低</t>
        </is>
      </c>
      <c r="M13" s="3" t="inlineStr">
        <is>
          <t>让出铁路/IP67/UL 项目</t>
        </is>
      </c>
    </row>
    <row r="14">
      <c r="A14" s="3" t="inlineStr">
        <is>
          <t>中国直供</t>
        </is>
      </c>
      <c r="B14" s="3" t="inlineStr">
        <is>
          <t>Utepo/ONV/HRUI/UNIPOE</t>
        </is>
      </c>
      <c r="C14" s="3" t="inlineStr">
        <is>
          <t>-</t>
        </is>
      </c>
      <c r="D14" s="3" t="inlineStr">
        <is>
          <t>低你 10–30%</t>
        </is>
      </c>
      <c r="E14" s="3" t="inlineStr">
        <is>
          <t>低价管理/非管理</t>
        </is>
      </c>
      <c r="F14" s="3" t="inlineStr">
        <is>
          <t>价格、目录大</t>
        </is>
      </c>
      <c r="G14" s="3" t="inlineStr">
        <is>
          <t>软件弱、CLI 不规范、MIB 缺、文档差、无欧美支持</t>
        </is>
      </c>
      <c r="H14" s="3" t="inlineStr">
        <is>
          <t>部分</t>
        </is>
      </c>
      <c r="I14" s="3" t="inlineStr">
        <is>
          <t>是</t>
        </is>
      </c>
      <c r="J14" s="3" t="inlineStr">
        <is>
          <t>是</t>
        </is>
      </c>
      <c r="K14" s="3" t="inlineStr">
        <is>
          <t>1–3 年</t>
        </is>
      </c>
      <c r="L14" s="3" t="inlineStr">
        <is>
          <t>中</t>
        </is>
      </c>
      <c r="M14" s="3" t="inlineStr">
        <is>
          <t>不比裸价：Marvell+CLI+MIB+固件迭代+保修</t>
        </is>
      </c>
    </row>
    <row r="15">
      <c r="A15" s="3" t="inlineStr">
        <is>
          <t>SmartByte (经你)</t>
        </is>
      </c>
      <c r="B15" s="3" t="inlineStr">
        <is>
          <t>LT-S8328XG-4XS24GT-S</t>
        </is>
      </c>
      <c r="C15" s="3" t="n">
        <v>130</v>
      </c>
      <c r="D15" s="3" t="inlineStr">
        <is>
          <t>售价（进价 ≈100）</t>
        </is>
      </c>
      <c r="E15" s="3" t="inlineStr">
        <is>
          <t>商业 L2+ 24G+4×SFP+</t>
        </is>
      </c>
      <c r="F15" s="3" t="inlineStr">
        <is>
          <t>4×10G、Cisco CLI、SNMPv3+Trap+私有 MIB、MQTT、ERPS、QinQ、480 ACL、双分区、OEM No MOQ、3 年</t>
        </is>
      </c>
      <c r="G15" s="3" t="inlineStr">
        <is>
          <t>0~50°C、无 API/云、品牌弱</t>
        </is>
      </c>
      <c r="H15" s="3" t="inlineStr">
        <is>
          <t>是</t>
        </is>
      </c>
      <c r="I15" s="3" t="inlineStr">
        <is>
          <t>是</t>
        </is>
      </c>
      <c r="J15" s="3" t="inlineStr">
        <is>
          <t>是（LT-IS 线）</t>
        </is>
      </c>
      <c r="K15" s="3" t="inlineStr">
        <is>
          <t>3 年 / 工业 5 年</t>
        </is>
      </c>
      <c r="L15" s="3" t="inlineStr">
        <is>
          <t>—</t>
        </is>
      </c>
      <c r="M15" s="3" t="inlineStr">
        <is>
          <t>—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34" customWidth="1" min="4" max="4"/>
    <col width="26" customWidth="1" min="5" max="5"/>
    <col width="18" customWidth="1" min="6" max="6"/>
    <col width="34" customWidth="1" min="7" max="7"/>
    <col width="10" customWidth="1" min="8" max="8"/>
  </cols>
  <sheetData>
    <row r="1">
      <c r="A1" s="2" t="inlineStr">
        <is>
          <t>品牌</t>
        </is>
      </c>
      <c r="B1" s="2" t="inlineStr">
        <is>
          <t>国家/地区</t>
        </is>
      </c>
      <c r="C1" s="2" t="inlineStr">
        <is>
          <t>类型</t>
        </is>
      </c>
      <c r="D1" s="2" t="inlineStr">
        <is>
          <t>Marvell证据</t>
        </is>
      </c>
      <c r="E1" s="2" t="inlineStr">
        <is>
          <t>主战场</t>
        </is>
      </c>
      <c r="F1" s="2" t="inlineStr">
        <is>
          <t>关系</t>
        </is>
      </c>
      <c r="G1" s="2" t="inlineStr">
        <is>
          <t>切入点</t>
        </is>
      </c>
      <c r="H1" s="2" t="inlineStr">
        <is>
          <t>优先级</t>
        </is>
      </c>
    </row>
    <row r="2">
      <c r="A2" s="3" t="inlineStr">
        <is>
          <t>MikroTik</t>
        </is>
      </c>
      <c r="B2" s="3" t="inlineStr">
        <is>
          <t>拉脱维亚(欧盟)</t>
        </is>
      </c>
      <c r="C2" s="3" t="inlineStr">
        <is>
          <t>品牌商</t>
        </is>
      </c>
      <c r="D2" s="3" t="inlineStr">
        <is>
          <t>✅ 官方文档列 98DX3236/3257/226S/2528/8332/4310</t>
        </is>
      </c>
      <c r="E2" s="3" t="inlineStr">
        <is>
          <t>WISP/中小企业/工业</t>
        </is>
      </c>
      <c r="F2" s="3" t="inlineStr">
        <is>
          <t>主要对标</t>
        </is>
      </c>
      <c r="G2" s="3" t="inlineStr">
        <is>
          <t>ERPS/PoE++/工业/贴牌补其空白</t>
        </is>
      </c>
      <c r="H2" s="3" t="inlineStr">
        <is>
          <t>A</t>
        </is>
      </c>
    </row>
    <row r="3">
      <c r="A3" s="3" t="inlineStr">
        <is>
          <t>Allied Telesis</t>
        </is>
      </c>
      <c r="B3" s="3" t="inlineStr">
        <is>
          <t>日本/新西兰，美国总部 WA</t>
        </is>
      </c>
      <c r="C3" s="3" t="inlineStr">
        <is>
          <t>品牌商</t>
        </is>
      </c>
      <c r="D3" s="3" t="inlineStr">
        <is>
          <t>✅ 内核补丁支持 98DX3236/3336/4251（作者 @alliedtelesis.co.nz）</t>
        </is>
      </c>
      <c r="E3" s="3" t="inlineStr">
        <is>
          <t>欧美企业接入 L2/L3</t>
        </is>
      </c>
      <c r="F3" s="3" t="inlineStr">
        <is>
          <t>竞品+最大替换池</t>
        </is>
      </c>
      <c r="G3" s="3" t="inlineStr">
        <is>
          <t>老型号 EOL 替换、抢其渠道</t>
        </is>
      </c>
      <c r="H3" s="3" t="inlineStr">
        <is>
          <t>A-替换</t>
        </is>
      </c>
    </row>
    <row r="4">
      <c r="A4" s="3" t="inlineStr">
        <is>
          <t>Edgecore(Accton)</t>
        </is>
      </c>
      <c r="B4" s="3" t="inlineStr">
        <is>
          <t>台湾</t>
        </is>
      </c>
      <c r="C4" s="3" t="inlineStr">
        <is>
          <t>ODM/白牌</t>
        </is>
      </c>
      <c r="D4" s="3" t="inlineStr">
        <is>
          <t>✅ SAF51001I 规格书标注 8×GbE through 98DX3236</t>
        </is>
      </c>
      <c r="E4" s="3" t="inlineStr">
        <is>
          <t>数据中心/白牌</t>
        </is>
      </c>
      <c r="F4" s="3" t="inlineStr">
        <is>
          <t>旁证(台湾体系熟Marvell)</t>
        </is>
      </c>
      <c r="G4" s="3" t="inlineStr">
        <is>
          <t>不做主攻</t>
        </is>
      </c>
      <c r="H4" s="3" t="inlineStr">
        <is>
          <t>C</t>
        </is>
      </c>
    </row>
    <row r="5">
      <c r="A5" s="3" t="inlineStr">
        <is>
          <t>PLANET Technology</t>
        </is>
      </c>
      <c r="B5" s="3" t="inlineStr">
        <is>
          <t>台湾</t>
        </is>
      </c>
      <c r="C5" s="3" t="inlineStr">
        <is>
          <t>品牌商</t>
        </is>
      </c>
      <c r="D5" s="3" t="inlineStr">
        <is>
          <t>○ 混合(Realtek/Marvell)</t>
        </is>
      </c>
      <c r="E5" s="3" t="inlineStr">
        <is>
          <t>工业/商业/电力/安防</t>
        </is>
      </c>
      <c r="F5" s="3" t="inlineStr">
        <is>
          <t>头号对标</t>
        </is>
      </c>
      <c r="G5" s="3" t="inlineStr">
        <is>
          <t>抄规格与文档、抢渠道</t>
        </is>
      </c>
      <c r="H5" s="3" t="inlineStr">
        <is>
          <t>A-渠道</t>
        </is>
      </c>
    </row>
    <row r="6">
      <c r="A6" s="3" t="inlineStr">
        <is>
          <t>Moxa</t>
        </is>
      </c>
      <c r="B6" s="3" t="inlineStr">
        <is>
          <t>台湾</t>
        </is>
      </c>
      <c r="C6" s="3" t="inlineStr">
        <is>
          <t>品牌商</t>
        </is>
      </c>
      <c r="D6" s="3" t="inlineStr">
        <is>
          <t>○</t>
        </is>
      </c>
      <c r="E6" s="3" t="inlineStr">
        <is>
          <t>铁路/电力/海事</t>
        </is>
      </c>
      <c r="F6" s="3" t="inlineStr">
        <is>
          <t>高端锚</t>
        </is>
      </c>
      <c r="G6" s="3" t="inlineStr">
        <is>
          <t>只打备件/扩容/项目配套</t>
        </is>
      </c>
      <c r="H6" s="3" t="inlineStr">
        <is>
          <t>C</t>
        </is>
      </c>
    </row>
    <row r="7">
      <c r="A7" s="3" t="inlineStr">
        <is>
          <t>EtherWAN</t>
        </is>
      </c>
      <c r="B7" s="3" t="inlineStr">
        <is>
          <t>台湾</t>
        </is>
      </c>
      <c r="C7" s="3" t="inlineStr">
        <is>
          <t>品牌商</t>
        </is>
      </c>
      <c r="D7" s="3" t="inlineStr">
        <is>
          <t>○</t>
        </is>
      </c>
      <c r="E7" s="3" t="inlineStr">
        <is>
          <t>工业/ITS/安防</t>
        </is>
      </c>
      <c r="F7" s="3" t="inlineStr">
        <is>
          <t>竞品</t>
        </is>
      </c>
      <c r="G7" s="3" t="inlineStr">
        <is>
          <t>抢 ITS 项目位置</t>
        </is>
      </c>
      <c r="H7" s="3" t="inlineStr">
        <is>
          <t>B</t>
        </is>
      </c>
    </row>
    <row r="8">
      <c r="A8" s="3" t="inlineStr">
        <is>
          <t>ORing</t>
        </is>
      </c>
      <c r="B8" s="3" t="inlineStr">
        <is>
          <t>台湾</t>
        </is>
      </c>
      <c r="C8" s="3" t="inlineStr">
        <is>
          <t>品牌商</t>
        </is>
      </c>
      <c r="D8" s="3" t="inlineStr">
        <is>
          <t>○</t>
        </is>
      </c>
      <c r="E8" s="3" t="inlineStr">
        <is>
          <t>工业/ITS/铁路</t>
        </is>
      </c>
      <c r="F8" s="3" t="inlineStr">
        <is>
          <t>竞品</t>
        </is>
      </c>
      <c r="G8" s="3" t="inlineStr">
        <is>
          <t>让出铁路/IP67/UL 项目</t>
        </is>
      </c>
      <c r="H8" s="3" t="inlineStr">
        <is>
          <t>C</t>
        </is>
      </c>
    </row>
    <row r="9">
      <c r="A9" s="3" t="inlineStr">
        <is>
          <t>CTC Union</t>
        </is>
      </c>
      <c r="B9" s="3" t="inlineStr">
        <is>
          <t>台湾</t>
        </is>
      </c>
      <c r="C9" s="3" t="inlineStr">
        <is>
          <t>品牌商(自有厂)</t>
        </is>
      </c>
      <c r="D9" s="3" t="inlineStr">
        <is>
          <t>○ 官网明示 in-house R&amp;D and factory</t>
        </is>
      </c>
      <c r="E9" s="3" t="inlineStr">
        <is>
          <t>电信接入/工业, EN50155/IEC61850-3</t>
        </is>
      </c>
      <c r="F9" s="3" t="inlineStr">
        <is>
          <t>竞品</t>
        </is>
      </c>
      <c r="G9" s="3" t="inlineStr">
        <is>
          <t>关注 EOL 与运营商项目</t>
        </is>
      </c>
      <c r="H9" s="3" t="inlineStr">
        <is>
          <t>B</t>
        </is>
      </c>
    </row>
    <row r="10">
      <c r="A10" s="3" t="inlineStr">
        <is>
          <t>Lantech</t>
        </is>
      </c>
      <c r="B10" s="3" t="inlineStr">
        <is>
          <t>台湾</t>
        </is>
      </c>
      <c r="C10" s="3" t="inlineStr">
        <is>
          <t>品牌商</t>
        </is>
      </c>
      <c r="D10" s="3" t="inlineStr">
        <is>
          <t>○</t>
        </is>
      </c>
      <c r="E10" s="3" t="inlineStr">
        <is>
          <t>工业 PoE/EN50155/E-mark</t>
        </is>
      </c>
      <c r="F10" s="3" t="inlineStr">
        <is>
          <t>竞品,欧洲渠道密</t>
        </is>
      </c>
      <c r="G10" s="3" t="inlineStr">
        <is>
          <t>抢渠道</t>
        </is>
      </c>
      <c r="H10" s="3" t="inlineStr">
        <is>
          <t>B</t>
        </is>
      </c>
    </row>
    <row r="11">
      <c r="A11" s="3" t="inlineStr">
        <is>
          <t>Volktek</t>
        </is>
      </c>
      <c r="B11" s="3" t="inlineStr">
        <is>
          <t>台湾</t>
        </is>
      </c>
      <c r="C11" s="3" t="inlineStr">
        <is>
          <t>ODM+品牌</t>
        </is>
      </c>
      <c r="D11" s="3" t="inlineStr">
        <is>
          <t>● ODM 常用 Marvell 平台</t>
        </is>
      </c>
      <c r="E11" s="3" t="inlineStr">
        <is>
          <t>工业/企业</t>
        </is>
      </c>
      <c r="F11" s="3" t="inlineStr">
        <is>
          <t>第二供应源参考</t>
        </is>
      </c>
      <c r="G11" s="3" t="inlineStr">
        <is>
          <t>对标其工业线成本</t>
        </is>
      </c>
      <c r="H11" s="3" t="inlineStr">
        <is>
          <t>B</t>
        </is>
      </c>
    </row>
    <row r="12">
      <c r="A12" s="3" t="inlineStr">
        <is>
          <t>Korenix</t>
        </is>
      </c>
      <c r="B12" s="3" t="inlineStr">
        <is>
          <t>台湾</t>
        </is>
      </c>
      <c r="C12" s="3" t="inlineStr">
        <is>
          <t>品牌商</t>
        </is>
      </c>
      <c r="D12" s="3" t="inlineStr">
        <is>
          <t>○</t>
        </is>
      </c>
      <c r="E12" s="3" t="inlineStr">
        <is>
          <t>工业无线+交换</t>
        </is>
      </c>
      <c r="F12" s="3" t="inlineStr">
        <is>
          <t>竞品(小)</t>
        </is>
      </c>
      <c r="G12" s="3" t="inlineStr">
        <is>
          <t>观察</t>
        </is>
      </c>
      <c r="H12" s="3" t="inlineStr">
        <is>
          <t>C</t>
        </is>
      </c>
    </row>
    <row r="13">
      <c r="A13" s="3" t="inlineStr">
        <is>
          <t>Zyxel</t>
        </is>
      </c>
      <c r="B13" s="3" t="inlineStr">
        <is>
          <t>台湾</t>
        </is>
      </c>
      <c r="C13" s="3" t="inlineStr">
        <is>
          <t>品牌商</t>
        </is>
      </c>
      <c r="D13" s="3" t="inlineStr">
        <is>
          <t>○ 混合</t>
        </is>
      </c>
      <c r="E13" s="3" t="inlineStr">
        <is>
          <t>商业/SMB, Nebula 云</t>
        </is>
      </c>
      <c r="F13" s="3" t="inlineStr">
        <is>
          <t>竞品(云强)</t>
        </is>
      </c>
      <c r="G13" s="3" t="inlineStr">
        <is>
          <t>避开云正面</t>
        </is>
      </c>
      <c r="H13" s="3" t="inlineStr">
        <is>
          <t>B</t>
        </is>
      </c>
    </row>
    <row r="14">
      <c r="A14" s="3" t="inlineStr">
        <is>
          <t>D-Link</t>
        </is>
      </c>
      <c r="B14" s="3" t="inlineStr">
        <is>
          <t>台湾</t>
        </is>
      </c>
      <c r="C14" s="3" t="inlineStr">
        <is>
          <t>品牌商</t>
        </is>
      </c>
      <c r="D14" s="3" t="inlineStr">
        <is>
          <t>○ 混合</t>
        </is>
      </c>
      <c r="E14" s="3" t="inlineStr">
        <is>
          <t>商业/消费/SMB</t>
        </is>
      </c>
      <c r="F14" s="3" t="inlineStr">
        <is>
          <t>竞品+最大 EOL 池</t>
        </is>
      </c>
      <c r="G14" s="3" t="inlineStr">
        <is>
          <t>EOL 替换重点</t>
        </is>
      </c>
      <c r="H14" s="3" t="inlineStr">
        <is>
          <t>B-替换</t>
        </is>
      </c>
    </row>
    <row r="15">
      <c r="A15" s="3" t="inlineStr">
        <is>
          <t>Advantech (EKI)</t>
        </is>
      </c>
      <c r="B15" s="3" t="inlineStr">
        <is>
          <t>台湾</t>
        </is>
      </c>
      <c r="C15" s="3" t="inlineStr">
        <is>
          <t>品牌商</t>
        </is>
      </c>
      <c r="D15" s="3" t="inlineStr">
        <is>
          <t>○</t>
        </is>
      </c>
      <c r="E15" s="3" t="inlineStr">
        <is>
          <t>工业/嵌入式</t>
        </is>
      </c>
      <c r="F15" s="3" t="inlineStr">
        <is>
          <t>竞品</t>
        </is>
      </c>
      <c r="G15" s="3" t="inlineStr">
        <is>
          <t>项目配套</t>
        </is>
      </c>
      <c r="H15" s="3" t="inlineStr">
        <is>
          <t>C</t>
        </is>
      </c>
    </row>
    <row r="16">
      <c r="A16" s="3" t="inlineStr">
        <is>
          <t>Nexcom/ATOP/ICP DAS/Axiomtek</t>
        </is>
      </c>
      <c r="B16" s="3" t="inlineStr">
        <is>
          <t>台湾</t>
        </is>
      </c>
      <c r="C16" s="3" t="inlineStr">
        <is>
          <t>品牌商</t>
        </is>
      </c>
      <c r="D16" s="3" t="inlineStr">
        <is>
          <t>○</t>
        </is>
      </c>
      <c r="E16" s="3" t="inlineStr">
        <is>
          <t>工业垂直/嵌入式</t>
        </is>
      </c>
      <c r="F16" s="3" t="inlineStr">
        <is>
          <t>细分竞品</t>
        </is>
      </c>
      <c r="G16" s="3" t="inlineStr">
        <is>
          <t>关注行业项目</t>
        </is>
      </c>
      <c r="H16" s="3" t="inlineStr">
        <is>
          <t>C</t>
        </is>
      </c>
    </row>
    <row r="17">
      <c r="A17" s="3" t="inlineStr">
        <is>
          <t>CTS/Handlink/Unex/Ruby Tech/Proscend</t>
        </is>
      </c>
      <c r="B17" s="3" t="inlineStr">
        <is>
          <t>台湾</t>
        </is>
      </c>
      <c r="C17" s="3" t="inlineStr">
        <is>
          <t>ODM/电信接入</t>
        </is>
      </c>
      <c r="D17" s="3" t="inlineStr">
        <is>
          <t>○</t>
        </is>
      </c>
      <c r="E17" s="3" t="inlineStr">
        <is>
          <t>欧美运营商</t>
        </is>
      </c>
      <c r="F17" s="3" t="inlineStr">
        <is>
          <t>潜在 ODM 伙伴</t>
        </is>
      </c>
      <c r="G17" s="3" t="inlineStr">
        <is>
          <t>台湾产线备份</t>
        </is>
      </c>
      <c r="H17" s="3" t="inlineStr">
        <is>
          <t>C</t>
        </is>
      </c>
    </row>
    <row r="18">
      <c r="A18" s="3" t="inlineStr">
        <is>
          <t>Hirschmann (Belden)</t>
        </is>
      </c>
      <c r="B18" s="3" t="inlineStr">
        <is>
          <t>德国</t>
        </is>
      </c>
      <c r="C18" s="3" t="inlineStr">
        <is>
          <t>品牌商</t>
        </is>
      </c>
      <c r="D18" s="3" t="inlineStr">
        <is>
          <t>○</t>
        </is>
      </c>
      <c r="E18" s="3" t="inlineStr">
        <is>
          <t>工业标杆 Profinet/EN50155</t>
        </is>
      </c>
      <c r="F18" s="3" t="inlineStr">
        <is>
          <t>高端锚(5-10×)</t>
        </is>
      </c>
      <c r="G18" s="3" t="inlineStr">
        <is>
          <t>老项目扩容/备件/非核心网段</t>
        </is>
      </c>
      <c r="H18" s="3" t="inlineStr">
        <is>
          <t>C</t>
        </is>
      </c>
    </row>
    <row r="19">
      <c r="A19" s="3" t="inlineStr">
        <is>
          <t>Westermo (Beijer)</t>
        </is>
      </c>
      <c r="B19" s="3" t="inlineStr">
        <is>
          <t>瑞典</t>
        </is>
      </c>
      <c r="C19" s="3" t="inlineStr">
        <is>
          <t>品牌商</t>
        </is>
      </c>
      <c r="D19" s="3" t="inlineStr">
        <is>
          <t>● 历史平台含 Marvell</t>
        </is>
      </c>
      <c r="E19" s="3" t="inlineStr">
        <is>
          <t>铁路/电力/能源 WeOS</t>
        </is>
      </c>
      <c r="F19" s="3" t="inlineStr">
        <is>
          <t>高端锚</t>
        </is>
      </c>
      <c r="G19" s="3" t="inlineStr">
        <is>
          <t>抢交期长的项目</t>
        </is>
      </c>
      <c r="H19" s="3" t="inlineStr">
        <is>
          <t>C</t>
        </is>
      </c>
    </row>
    <row r="20">
      <c r="A20" s="3" t="inlineStr">
        <is>
          <t>Phoenix Contact / Weidmüller / Helmholz</t>
        </is>
      </c>
      <c r="B20" s="3" t="inlineStr">
        <is>
          <t>德国</t>
        </is>
      </c>
      <c r="C20" s="3" t="inlineStr">
        <is>
          <t>品牌商</t>
        </is>
      </c>
      <c r="D20" s="3" t="inlineStr">
        <is>
          <t>○</t>
        </is>
      </c>
      <c r="E20" s="3" t="inlineStr">
        <is>
          <t>工业自动化</t>
        </is>
      </c>
      <c r="F20" s="3" t="inlineStr">
        <is>
          <t>渠道型竞品</t>
        </is>
      </c>
      <c r="G20" s="3" t="inlineStr">
        <is>
          <t>做其以太网模块补充</t>
        </is>
      </c>
      <c r="H20" s="3" t="inlineStr">
        <is>
          <t>C</t>
        </is>
      </c>
    </row>
    <row r="21">
      <c r="A21" s="3" t="inlineStr">
        <is>
          <t>Lancom</t>
        </is>
      </c>
      <c r="B21" s="3" t="inlineStr">
        <is>
          <t>德国</t>
        </is>
      </c>
      <c r="C21" s="3" t="inlineStr">
        <is>
          <t>品牌商</t>
        </is>
      </c>
      <c r="D21" s="3" t="inlineStr">
        <is>
          <t>○</t>
        </is>
      </c>
      <c r="E21" s="3" t="inlineStr">
        <is>
          <t>中小企业/政府/教育,云管理</t>
        </is>
      </c>
      <c r="F21" s="3" t="inlineStr">
        <is>
          <t>竞品(德渠道第一梯队)</t>
        </is>
      </c>
      <c r="G21" s="3" t="inlineStr">
        <is>
          <t>避开云,打本地/私有部署</t>
        </is>
      </c>
      <c r="H21" s="3" t="inlineStr">
        <is>
          <t>C</t>
        </is>
      </c>
    </row>
    <row r="22">
      <c r="A22" s="3" t="inlineStr">
        <is>
          <t>INSYS icom / Welotec / MB connect line</t>
        </is>
      </c>
      <c r="B22" s="3" t="inlineStr">
        <is>
          <t>德国</t>
        </is>
      </c>
      <c r="C22" s="3" t="inlineStr">
        <is>
          <t>品牌商</t>
        </is>
      </c>
      <c r="D22" s="3" t="inlineStr">
        <is>
          <t>○</t>
        </is>
      </c>
      <c r="E22" s="3" t="inlineStr">
        <is>
          <t>工业远程维护</t>
        </is>
      </c>
      <c r="F22" s="3" t="inlineStr">
        <is>
          <t>细分</t>
        </is>
      </c>
      <c r="G22" s="3" t="inlineStr">
        <is>
          <t>配套交换机机会</t>
        </is>
      </c>
      <c r="H22" s="3" t="inlineStr">
        <is>
          <t>C</t>
        </is>
      </c>
    </row>
    <row r="23">
      <c r="A23" s="3" t="inlineStr">
        <is>
          <t>MPL / NetModule</t>
        </is>
      </c>
      <c r="B23" s="3" t="inlineStr">
        <is>
          <t>瑞士</t>
        </is>
      </c>
      <c r="C23" s="3" t="inlineStr">
        <is>
          <t>品牌商</t>
        </is>
      </c>
      <c r="D23" s="3" t="inlineStr">
        <is>
          <t>○</t>
        </is>
      </c>
      <c r="E23" s="3" t="inlineStr">
        <is>
          <t>高可靠/车载/铁路</t>
        </is>
      </c>
      <c r="F23" s="3" t="inlineStr">
        <is>
          <t>高端锚</t>
        </is>
      </c>
      <c r="G23" s="3" t="inlineStr">
        <is>
          <t>让出</t>
        </is>
      </c>
      <c r="H23" s="3" t="inlineStr">
        <is>
          <t>C</t>
        </is>
      </c>
    </row>
    <row r="24">
      <c r="A24" s="3" t="inlineStr">
        <is>
          <t>Teltonika Networks</t>
        </is>
      </c>
      <c r="B24" s="3" t="inlineStr">
        <is>
          <t>立陶宛</t>
        </is>
      </c>
      <c r="C24" s="3" t="inlineStr">
        <is>
          <t>品牌商</t>
        </is>
      </c>
      <c r="D24" s="3" t="inlineStr">
        <is>
          <t>○ TSW212 MSRP $129</t>
        </is>
      </c>
      <c r="E24" s="3" t="inlineStr">
        <is>
          <t>工业 8G+2SFP, RMS 云</t>
        </is>
      </c>
      <c r="F24" s="3" t="inlineStr">
        <is>
          <t>价格型直接对手</t>
        </is>
      </c>
      <c r="G24" s="3" t="inlineStr">
        <is>
          <t>4×10G/ERPS/PoE++/DI-DO/5年保</t>
        </is>
      </c>
      <c r="H24" s="3" t="inlineStr">
        <is>
          <t>A</t>
        </is>
      </c>
    </row>
    <row r="25">
      <c r="A25" s="3" t="inlineStr">
        <is>
          <t>Nedis</t>
        </is>
      </c>
      <c r="B25" s="3" t="inlineStr">
        <is>
          <t>荷兰</t>
        </is>
      </c>
      <c r="C25" s="3" t="inlineStr">
        <is>
          <t>分销商自有品牌</t>
        </is>
      </c>
      <c r="D25" s="3" t="inlineStr">
        <is>
          <t>○</t>
        </is>
      </c>
      <c r="E25" s="3" t="inlineStr">
        <is>
          <t>自有品牌分销, SKU 数万</t>
        </is>
      </c>
      <c r="F25" s="3" t="inlineStr">
        <is>
          <t>⭐ OEM 客户池</t>
        </is>
      </c>
      <c r="G25" s="3" t="inlineStr">
        <is>
          <t>无MOQ+定制UI</t>
        </is>
      </c>
      <c r="H25" s="3" t="inlineStr">
        <is>
          <t>A</t>
        </is>
      </c>
    </row>
    <row r="26">
      <c r="A26" s="3" t="inlineStr">
        <is>
          <t>Deltaco</t>
        </is>
      </c>
      <c r="B26" s="3" t="inlineStr">
        <is>
          <t>瑞典</t>
        </is>
      </c>
      <c r="C26" s="3" t="inlineStr">
        <is>
          <t>分销商自有品牌</t>
        </is>
      </c>
      <c r="D26" s="3" t="inlineStr">
        <is>
          <t>○</t>
        </is>
      </c>
      <c r="E26" s="3" t="inlineStr">
        <is>
          <t>北欧自有品牌</t>
        </is>
      </c>
      <c r="F26" s="3" t="inlineStr">
        <is>
          <t>⭐ OEM 客户池</t>
        </is>
      </c>
      <c r="G26" s="3" t="inlineStr">
        <is>
          <t>无MOQ+定制UI</t>
        </is>
      </c>
      <c r="H26" s="3" t="inlineStr">
        <is>
          <t>A</t>
        </is>
      </c>
    </row>
    <row r="27">
      <c r="A27" s="3" t="inlineStr">
        <is>
          <t>LogiLink (2direct)</t>
        </is>
      </c>
      <c r="B27" s="3" t="inlineStr">
        <is>
          <t>德国</t>
        </is>
      </c>
      <c r="C27" s="3" t="inlineStr">
        <is>
          <t>分销商自有品牌</t>
        </is>
      </c>
      <c r="D27" s="3" t="inlineStr">
        <is>
          <t>○</t>
        </is>
      </c>
      <c r="E27" s="3" t="inlineStr">
        <is>
          <t>自有品牌分销</t>
        </is>
      </c>
      <c r="F27" s="3" t="inlineStr">
        <is>
          <t>⭐ OEM 客户池</t>
        </is>
      </c>
      <c r="G27" s="3" t="inlineStr">
        <is>
          <t>无MOQ+定制UI</t>
        </is>
      </c>
      <c r="H27" s="3" t="inlineStr">
        <is>
          <t>A</t>
        </is>
      </c>
    </row>
    <row r="28">
      <c r="A28" s="3" t="inlineStr">
        <is>
          <t>Intellinet (IC Intracom)</t>
        </is>
      </c>
      <c r="B28" s="3" t="inlineStr">
        <is>
          <t>美国/德国</t>
        </is>
      </c>
      <c r="C28" s="3" t="inlineStr">
        <is>
          <t>分销商自有品牌</t>
        </is>
      </c>
      <c r="D28" s="3" t="inlineStr">
        <is>
          <t>○</t>
        </is>
      </c>
      <c r="E28" s="3" t="inlineStr">
        <is>
          <t>自有品牌网络配件</t>
        </is>
      </c>
      <c r="F28" s="3" t="inlineStr">
        <is>
          <t>⭐ OEM 客户池</t>
        </is>
      </c>
      <c r="G28" s="3" t="inlineStr">
        <is>
          <t>无MOQ+定制UI</t>
        </is>
      </c>
      <c r="H28" s="3" t="inlineStr">
        <is>
          <t>A</t>
        </is>
      </c>
    </row>
    <row r="29">
      <c r="A29" s="3" t="inlineStr">
        <is>
          <t>Equip / LevelOne</t>
        </is>
      </c>
      <c r="B29" s="3" t="inlineStr">
        <is>
          <t>德国/台湾</t>
        </is>
      </c>
      <c r="C29" s="3" t="inlineStr">
        <is>
          <t>分销商自有品牌</t>
        </is>
      </c>
      <c r="D29" s="3" t="inlineStr">
        <is>
          <t>○</t>
        </is>
      </c>
      <c r="E29" s="3" t="inlineStr">
        <is>
          <t>自有品牌,交换机线完整</t>
        </is>
      </c>
      <c r="F29" s="3" t="inlineStr">
        <is>
          <t>⭐ OEM 客户池</t>
        </is>
      </c>
      <c r="G29" s="3" t="inlineStr">
        <is>
          <t>无MOQ+定制UI</t>
        </is>
      </c>
      <c r="H29" s="3" t="inlineStr">
        <is>
          <t>A</t>
        </is>
      </c>
    </row>
    <row r="30">
      <c r="A30" s="3" t="inlineStr">
        <is>
          <t>Conrad / Reichelt / Distrelec</t>
        </is>
      </c>
      <c r="B30" s="3" t="inlineStr">
        <is>
          <t>德/德/瑞士</t>
        </is>
      </c>
      <c r="C30" s="3" t="inlineStr">
        <is>
          <t>大分销+自有品牌</t>
        </is>
      </c>
      <c r="D30" s="3" t="inlineStr">
        <is>
          <t>○</t>
        </is>
      </c>
      <c r="E30" s="3" t="inlineStr">
        <is>
          <t>分销招商采购</t>
        </is>
      </c>
      <c r="F30" s="3" t="inlineStr">
        <is>
          <t>⭐ OEM 客户池</t>
        </is>
      </c>
      <c r="G30" s="3" t="inlineStr">
        <is>
          <t>供应商入驻+自有品牌项目</t>
        </is>
      </c>
      <c r="H30" s="3" t="inlineStr">
        <is>
          <t>A</t>
        </is>
      </c>
    </row>
    <row r="31">
      <c r="A31" s="3" t="inlineStr">
        <is>
          <t>StarTech.com</t>
        </is>
      </c>
      <c r="B31" s="3" t="inlineStr">
        <is>
          <t>加拿大</t>
        </is>
      </c>
      <c r="C31" s="3" t="inlineStr">
        <is>
          <t>自有品牌巨头</t>
        </is>
      </c>
      <c r="D31" s="3" t="inlineStr">
        <is>
          <t>○</t>
        </is>
      </c>
      <c r="E31" s="3" t="inlineStr">
        <is>
          <t>配件/网络/工业</t>
        </is>
      </c>
      <c r="F31" s="3" t="inlineStr">
        <is>
          <t>⭐ OEM 客户池</t>
        </is>
      </c>
      <c r="G31" s="3" t="inlineStr">
        <is>
          <t>低MOQ+定制</t>
        </is>
      </c>
      <c r="H31" s="3" t="inlineStr">
        <is>
          <t>A</t>
        </is>
      </c>
    </row>
    <row r="32">
      <c r="A32" s="3" t="inlineStr">
        <is>
          <t>ComNet (ACRE)</t>
        </is>
      </c>
      <c r="B32" s="3" t="inlineStr">
        <is>
          <t>美国</t>
        </is>
      </c>
      <c r="C32" s="3" t="inlineStr">
        <is>
          <t>安防传输品牌</t>
        </is>
      </c>
      <c r="D32" s="3" t="inlineStr">
        <is>
          <t>○</t>
        </is>
      </c>
      <c r="E32" s="3" t="inlineStr">
        <is>
          <t>安防专用传输</t>
        </is>
      </c>
      <c r="F32" s="3" t="inlineStr">
        <is>
          <t>竞品+互补</t>
        </is>
      </c>
      <c r="G32" s="3" t="inlineStr">
        <is>
          <t>安防项目</t>
        </is>
      </c>
      <c r="H32" s="3" t="inlineStr">
        <is>
          <t>B</t>
        </is>
      </c>
    </row>
    <row r="33">
      <c r="A33" s="3" t="inlineStr">
        <is>
          <t>Antaira</t>
        </is>
      </c>
      <c r="B33" s="3" t="inlineStr">
        <is>
          <t>美国(台系ODM)</t>
        </is>
      </c>
      <c r="C33" s="3" t="inlineStr">
        <is>
          <t>品牌商</t>
        </is>
      </c>
      <c r="D33" s="3" t="inlineStr">
        <is>
          <t>○</t>
        </is>
      </c>
      <c r="E33" s="3" t="inlineStr">
        <is>
          <t>工业,价格中低</t>
        </is>
      </c>
      <c r="F33" s="3" t="inlineStr">
        <is>
          <t>直接对手</t>
        </is>
      </c>
      <c r="G33" s="3" t="inlineStr">
        <is>
          <t>同价位比规格与质保</t>
        </is>
      </c>
      <c r="H33" s="3" t="inlineStr">
        <is>
          <t>A</t>
        </is>
      </c>
    </row>
    <row r="34">
      <c r="A34" s="3" t="inlineStr">
        <is>
          <t>Transition Networks</t>
        </is>
      </c>
      <c r="B34" s="3" t="inlineStr">
        <is>
          <t>美国</t>
        </is>
      </c>
      <c r="C34" s="3" t="inlineStr">
        <is>
          <t>品牌商</t>
        </is>
      </c>
      <c r="D34" s="3" t="inlineStr">
        <is>
          <t>○</t>
        </is>
      </c>
      <c r="E34" s="3" t="inlineStr">
        <is>
          <t>工业/电信接入</t>
        </is>
      </c>
      <c r="F34" s="3" t="inlineStr">
        <is>
          <t>竞品</t>
        </is>
      </c>
      <c r="G34" s="3" t="inlineStr">
        <is>
          <t>项目配套</t>
        </is>
      </c>
      <c r="H34" s="3" t="inlineStr">
        <is>
          <t>B</t>
        </is>
      </c>
    </row>
    <row r="35">
      <c r="A35" s="3" t="inlineStr">
        <is>
          <t>Red Lion / N-Tron / Sixnet</t>
        </is>
      </c>
      <c r="B35" s="3" t="inlineStr">
        <is>
          <t>美国(HMS)</t>
        </is>
      </c>
      <c r="C35" s="3" t="inlineStr">
        <is>
          <t>品牌商</t>
        </is>
      </c>
      <c r="D35" s="3" t="inlineStr">
        <is>
          <t>○</t>
        </is>
      </c>
      <c r="E35" s="3" t="inlineStr">
        <is>
          <t>工业自动化</t>
        </is>
      </c>
      <c r="F35" s="3" t="inlineStr">
        <is>
          <t>竞品</t>
        </is>
      </c>
      <c r="G35" s="3" t="inlineStr">
        <is>
          <t>配套</t>
        </is>
      </c>
      <c r="H35" s="3" t="inlineStr">
        <is>
          <t>C</t>
        </is>
      </c>
    </row>
    <row r="36">
      <c r="A36" s="3" t="inlineStr">
        <is>
          <t>GarrettCom (Belden)</t>
        </is>
      </c>
      <c r="B36" s="3" t="inlineStr">
        <is>
          <t>美国</t>
        </is>
      </c>
      <c r="C36" s="3" t="inlineStr">
        <is>
          <t>品牌商</t>
        </is>
      </c>
      <c r="D36" s="3" t="inlineStr">
        <is>
          <t>○</t>
        </is>
      </c>
      <c r="E36" s="3" t="inlineStr">
        <is>
          <t>工业现场/变电站</t>
        </is>
      </c>
      <c r="F36" s="3" t="inlineStr">
        <is>
          <t>高端锚</t>
        </is>
      </c>
      <c r="G36" s="3" t="inlineStr">
        <is>
          <t>备件/扩容</t>
        </is>
      </c>
      <c r="H36" s="3" t="inlineStr">
        <is>
          <t>C</t>
        </is>
      </c>
    </row>
    <row r="37">
      <c r="A37" s="3" t="inlineStr">
        <is>
          <t>Cambium cnMatrix</t>
        </is>
      </c>
      <c r="B37" s="3" t="inlineStr">
        <is>
          <t>美国</t>
        </is>
      </c>
      <c r="C37" s="3" t="inlineStr">
        <is>
          <t>品牌商</t>
        </is>
      </c>
      <c r="D37" s="3" t="inlineStr">
        <is>
          <t>○</t>
        </is>
      </c>
      <c r="E37" s="3" t="inlineStr">
        <is>
          <t>WISP + 云管理</t>
        </is>
      </c>
      <c r="F37" s="3" t="inlineStr">
        <is>
          <t>竞品</t>
        </is>
      </c>
      <c r="G37" s="3" t="inlineStr">
        <is>
          <t>WISP 场景正面打</t>
        </is>
      </c>
      <c r="H37" s="3" t="inlineStr">
        <is>
          <t>B</t>
        </is>
      </c>
    </row>
    <row r="38">
      <c r="A38" s="3" t="inlineStr">
        <is>
          <t>Ubiquiti UniFi</t>
        </is>
      </c>
      <c r="B38" s="3" t="inlineStr">
        <is>
          <t>美国</t>
        </is>
      </c>
      <c r="C38" s="3" t="inlineStr">
        <is>
          <t>品牌商</t>
        </is>
      </c>
      <c r="D38" s="3" t="inlineStr">
        <is>
          <t>✘ Realtek(RTL93xx)</t>
        </is>
      </c>
      <c r="E38" s="3" t="inlineStr">
        <is>
          <t>企业/SMB/控制器</t>
        </is>
      </c>
      <c r="F38" s="3" t="inlineStr">
        <is>
          <t>最大价格对手</t>
        </is>
      </c>
      <c r="G38" s="3" t="inlineStr">
        <is>
          <t>打'不想被控制器锁定'+CLI/SNMP/ERPS</t>
        </is>
      </c>
      <c r="H38" s="3" t="inlineStr">
        <is>
          <t>A</t>
        </is>
      </c>
    </row>
    <row r="39">
      <c r="A39" s="3" t="inlineStr">
        <is>
          <t>Netgear</t>
        </is>
      </c>
      <c r="B39" s="3" t="inlineStr">
        <is>
          <t>美国</t>
        </is>
      </c>
      <c r="C39" s="3" t="inlineStr">
        <is>
          <t>品牌商</t>
        </is>
      </c>
      <c r="D39" s="3" t="inlineStr">
        <is>
          <t>○</t>
        </is>
      </c>
      <c r="E39" s="3" t="inlineStr">
        <is>
          <t>商业 + AV 线(M4250/M4300)</t>
        </is>
      </c>
      <c r="F39" s="3" t="inlineStr">
        <is>
          <t>竞品</t>
        </is>
      </c>
      <c r="G39" s="3" t="inlineStr">
        <is>
          <t>避开 AV 线</t>
        </is>
      </c>
      <c r="H39" s="3" t="inlineStr">
        <is>
          <t>C</t>
        </is>
      </c>
    </row>
    <row r="40">
      <c r="A40" s="3" t="inlineStr">
        <is>
          <t>Perle Systems</t>
        </is>
      </c>
      <c r="B40" s="3" t="inlineStr">
        <is>
          <t>加拿大</t>
        </is>
      </c>
      <c r="C40" s="3" t="inlineStr">
        <is>
          <t>品牌商</t>
        </is>
      </c>
      <c r="D40" s="3" t="inlineStr">
        <is>
          <t>○</t>
        </is>
      </c>
      <c r="E40" s="3" t="inlineStr">
        <is>
          <t>工业+串口服务器+媒转</t>
        </is>
      </c>
      <c r="F40" s="3" t="inlineStr">
        <is>
          <t>竞品+互补</t>
        </is>
      </c>
      <c r="G40" s="3" t="inlineStr">
        <is>
          <t>RS485/DI-DO + PoE++ 补其空白</t>
        </is>
      </c>
      <c r="H40" s="3" t="inlineStr">
        <is>
          <t>B</t>
        </is>
      </c>
    </row>
    <row r="41">
      <c r="A41" s="3" t="inlineStr">
        <is>
          <t>NEC UNIVERGE</t>
        </is>
      </c>
      <c r="B41" s="3" t="inlineStr">
        <is>
          <t>日本</t>
        </is>
      </c>
      <c r="C41" s="3" t="inlineStr">
        <is>
          <t>品牌商</t>
        </is>
      </c>
      <c r="D41" s="3" t="inlineStr">
        <is>
          <t>● 高概率</t>
        </is>
      </c>
      <c r="E41" s="3" t="inlineStr">
        <is>
          <t>政企</t>
        </is>
      </c>
      <c r="F41" s="3" t="inlineStr">
        <is>
          <t>观察</t>
        </is>
      </c>
      <c r="G41" s="3" t="inlineStr">
        <is>
          <t>东南亚存量替换</t>
        </is>
      </c>
      <c r="H41" s="3" t="inlineStr">
        <is>
          <t>C</t>
        </is>
      </c>
    </row>
    <row r="42">
      <c r="A42" s="3" t="inlineStr">
        <is>
          <t>Yamaha/Buffalo/Contec/Omron</t>
        </is>
      </c>
      <c r="B42" s="3" t="inlineStr">
        <is>
          <t>日本</t>
        </is>
      </c>
      <c r="C42" s="3" t="inlineStr">
        <is>
          <t>品牌商</t>
        </is>
      </c>
      <c r="D42" s="3" t="inlineStr">
        <is>
          <t>○</t>
        </is>
      </c>
      <c r="E42" s="3" t="inlineStr">
        <is>
          <t>中小企业/工业</t>
        </is>
      </c>
      <c r="F42" s="3" t="inlineStr">
        <is>
          <t>观察</t>
        </is>
      </c>
      <c r="G42" s="3" t="inlineStr">
        <is>
          <t>—</t>
        </is>
      </c>
      <c r="H42" s="3" t="inlineStr">
        <is>
          <t>C</t>
        </is>
      </c>
    </row>
    <row r="43">
      <c r="A43" s="3" t="inlineStr">
        <is>
          <t>Ubiquoss / DZS(Dasan)</t>
        </is>
      </c>
      <c r="B43" s="3" t="inlineStr">
        <is>
          <t>韩国</t>
        </is>
      </c>
      <c r="C43" s="3" t="inlineStr">
        <is>
          <t>品牌商</t>
        </is>
      </c>
      <c r="D43" s="3" t="inlineStr">
        <is>
          <t>○</t>
        </is>
      </c>
      <c r="E43" s="3" t="inlineStr">
        <is>
          <t>运营商接入</t>
        </is>
      </c>
      <c r="F43" s="3" t="inlineStr">
        <is>
          <t>观察</t>
        </is>
      </c>
      <c r="G43" s="3" t="inlineStr">
        <is>
          <t>—</t>
        </is>
      </c>
      <c r="H43" s="3" t="inlineStr">
        <is>
          <t>C</t>
        </is>
      </c>
    </row>
    <row r="44">
      <c r="A44" s="3" t="inlineStr">
        <is>
          <t>RAD / Telco Systems(Ribbon) / Siklu</t>
        </is>
      </c>
      <c r="B44" s="3" t="inlineStr">
        <is>
          <t>以色列</t>
        </is>
      </c>
      <c r="C44" s="3" t="inlineStr">
        <is>
          <t>品牌商</t>
        </is>
      </c>
      <c r="D44" s="3" t="inlineStr">
        <is>
          <t>○</t>
        </is>
      </c>
      <c r="E44" s="3" t="inlineStr">
        <is>
          <t>运营商/无线</t>
        </is>
      </c>
      <c r="F44" s="3" t="inlineStr">
        <is>
          <t>观察</t>
        </is>
      </c>
      <c r="G44" s="3" t="inlineStr">
        <is>
          <t>—</t>
        </is>
      </c>
      <c r="H44" s="3" t="inlineStr">
        <is>
          <t>C</t>
        </is>
      </c>
    </row>
    <row r="45">
      <c r="A45" s="3" t="inlineStr">
        <is>
          <t>MRO-TEK / Syrotech</t>
        </is>
      </c>
      <c r="B45" s="3" t="inlineStr">
        <is>
          <t>印度</t>
        </is>
      </c>
      <c r="C45" s="3" t="inlineStr">
        <is>
          <t>品牌商</t>
        </is>
      </c>
      <c r="D45" s="3" t="inlineStr">
        <is>
          <t>○</t>
        </is>
      </c>
      <c r="E45" s="3" t="inlineStr">
        <is>
          <t>本地网络</t>
        </is>
      </c>
      <c r="F45" s="3" t="inlineStr">
        <is>
          <t>中长线</t>
        </is>
      </c>
      <c r="G45" s="3" t="inlineStr">
        <is>
          <t>PLI 本地化/散件</t>
        </is>
      </c>
      <c r="H45" s="3" t="inlineStr">
        <is>
          <t>C</t>
        </is>
      </c>
    </row>
    <row r="46">
      <c r="A46" s="3" t="inlineStr">
        <is>
          <t>Intelbras</t>
        </is>
      </c>
      <c r="B46" s="3" t="inlineStr">
        <is>
          <t>巴西</t>
        </is>
      </c>
      <c r="C46" s="3" t="inlineStr">
        <is>
          <t>品牌商(大量中国OEM)</t>
        </is>
      </c>
      <c r="D46" s="3" t="inlineStr">
        <is>
          <t>○</t>
        </is>
      </c>
      <c r="E46" s="3" t="inlineStr">
        <is>
          <t>安防/网络巨头</t>
        </is>
      </c>
      <c r="F46" s="3" t="inlineStr">
        <is>
          <t>⭐ 潜在客户</t>
        </is>
      </c>
      <c r="G46" s="3" t="inlineStr">
        <is>
          <t>外采补线</t>
        </is>
      </c>
      <c r="H46" s="3" t="inlineStr">
        <is>
          <t>A</t>
        </is>
      </c>
    </row>
    <row r="47">
      <c r="A47" s="3" t="inlineStr">
        <is>
          <t>Datacom / Furukawa 拉美</t>
        </is>
      </c>
      <c r="B47" s="3" t="inlineStr">
        <is>
          <t>巴西</t>
        </is>
      </c>
      <c r="C47" s="3" t="inlineStr">
        <is>
          <t>品牌商</t>
        </is>
      </c>
      <c r="D47" s="3" t="inlineStr">
        <is>
          <t>○</t>
        </is>
      </c>
      <c r="E47" s="3" t="inlineStr">
        <is>
          <t>运营商/企业</t>
        </is>
      </c>
      <c r="F47" s="3" t="inlineStr">
        <is>
          <t>中长线</t>
        </is>
      </c>
      <c r="G47" s="3" t="inlineStr">
        <is>
          <t>—</t>
        </is>
      </c>
      <c r="H47" s="3" t="inlineStr">
        <is>
          <t>C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42" customWidth="1" min="4" max="4"/>
    <col width="40" customWidth="1" min="5" max="5"/>
    <col width="34" customWidth="1" min="6" max="6"/>
    <col width="24" customWidth="1" min="7" max="7"/>
    <col width="32" customWidth="1" min="8" max="8"/>
    <col width="28" customWidth="1" min="9" max="9"/>
    <col width="8" customWidth="1" min="10" max="10"/>
  </cols>
  <sheetData>
    <row r="1">
      <c r="A1" s="2" t="inlineStr">
        <is>
          <t>#</t>
        </is>
      </c>
      <c r="B1" s="2" t="inlineStr">
        <is>
          <t>公司</t>
        </is>
      </c>
      <c r="C1" s="2" t="inlineStr">
        <is>
          <t>国家</t>
        </is>
      </c>
      <c r="D1" s="2" t="inlineStr">
        <is>
          <t>主入口/联系方式</t>
        </is>
      </c>
      <c r="E1" s="2" t="inlineStr">
        <is>
          <t>现有交换机线</t>
        </is>
      </c>
      <c r="F1" s="2" t="inlineStr">
        <is>
          <t>⭐缺口</t>
        </is>
      </c>
      <c r="G1" s="2" t="inlineStr">
        <is>
          <t>首推 SKU</t>
        </is>
      </c>
      <c r="H1" s="2" t="inlineStr">
        <is>
          <t>第一句话钩子</t>
        </is>
      </c>
      <c r="I1" s="2" t="inlineStr">
        <is>
          <t>最大风险</t>
        </is>
      </c>
      <c r="J1" s="2" t="inlineStr">
        <is>
          <t>优先级</t>
        </is>
      </c>
    </row>
    <row r="2">
      <c r="A2" s="3" t="n">
        <v>1</v>
      </c>
      <c r="B2" s="3" t="inlineStr">
        <is>
          <t>Digital Data Communications (LevelOne/equip)</t>
        </is>
      </c>
      <c r="C2" s="3" t="inlineStr">
        <is>
          <t>德国 Dortmund</t>
        </is>
      </c>
      <c r="D2" s="3" t="inlineStr">
        <is>
          <t>LinkedIn（Group CEO Amanda Chen）+ 官网；制造在台湾&amp;中国</t>
        </is>
      </c>
      <c r="E2" s="3" t="inlineStr">
        <is>
          <t>LevelOne PoE 交换机/媒转/AP，多为非管理与 web-smart</t>
        </is>
      </c>
      <c r="F2" s="3" t="inlineStr">
        <is>
          <t>缺可管理 L2+ / L3 汇聚 / 工业宽温</t>
        </is>
      </c>
      <c r="G2" s="3" t="inlineStr">
        <is>
          <t>LT-S8328XG + LT-IS6312XG</t>
        </is>
      </c>
      <c r="H2" s="3" t="inlineStr">
        <is>
          <t>你们的 PoE 线最强，但停在 web-smart</t>
        </is>
      </c>
      <c r="I2" s="3" t="inlineStr">
        <is>
          <t>他们自己也做 ODM 服务，可能视你为竞争</t>
        </is>
      </c>
      <c r="J2" s="3" t="inlineStr">
        <is>
          <t>⭐⭐⭐</t>
        </is>
      </c>
    </row>
    <row r="3">
      <c r="A3" s="3" t="n">
        <v>2</v>
      </c>
      <c r="B3" s="3" t="inlineStr">
        <is>
          <t>2direct GmbH (LogiLink)</t>
        </is>
      </c>
      <c r="C3" s="3" t="inlineStr">
        <is>
          <t>德国 Schalksmühle</t>
        </is>
      </c>
      <c r="D3" s="3" t="inlineStr">
        <is>
          <t>官网 kontakt；Langenstück 5, D-58579</t>
        </is>
      </c>
      <c r="E3" s="3" t="inlineStr">
        <is>
          <t>LogiLink 网络线以配件/非管理为主</t>
        </is>
      </c>
      <c r="F3" s="3" t="inlineStr">
        <is>
          <t>缺可管理 L2+ 与工业线</t>
        </is>
      </c>
      <c r="G3" s="3" t="inlineStr">
        <is>
          <t>全系贴牌阶梯</t>
        </is>
      </c>
      <c r="H3" s="3" t="inlineStr">
        <is>
          <t>你们公开说做 OEM 项目</t>
        </is>
      </c>
      <c r="I3" s="3" t="inlineStr">
        <is>
          <t>价格敏感，需给阶梯价</t>
        </is>
      </c>
      <c r="J3" s="3" t="inlineStr">
        <is>
          <t>⭐⭐⭐</t>
        </is>
      </c>
    </row>
    <row r="4">
      <c r="A4" s="3" t="n">
        <v>3</v>
      </c>
      <c r="B4" s="3" t="inlineStr">
        <is>
          <t>Nedis</t>
        </is>
      </c>
      <c r="C4" s="3" t="inlineStr">
        <is>
          <t>荷兰</t>
        </is>
      </c>
      <c r="D4" s="3" t="inlineStr">
        <is>
          <t>nedis.com/en-us/business/become-a-partner 表单</t>
        </is>
      </c>
      <c r="E4" s="3" t="inlineStr">
        <is>
          <t>8口千兆非管理(NSWH8P100BK)、8口PoE 150W(GS-1008P)、部分贴 Edimax</t>
        </is>
      </c>
      <c r="F4" s="3" t="inlineStr">
        <is>
          <t>几乎只有非管理/SOHO</t>
        </is>
      </c>
      <c r="G4" s="3" t="inlineStr">
        <is>
          <t>8/16/24口 PoE+ 贴牌</t>
        </is>
      </c>
      <c r="H4" s="3" t="inlineStr">
        <is>
          <t>你们贴牌覆盖所有品类，交换机只有非管理</t>
        </is>
      </c>
      <c r="I4" s="3" t="inlineStr">
        <is>
          <t>决策慢，需走品类经理</t>
        </is>
      </c>
      <c r="J4" s="3" t="inlineStr">
        <is>
          <t>⭐⭐</t>
        </is>
      </c>
    </row>
    <row r="5">
      <c r="A5" s="3" t="n">
        <v>4</v>
      </c>
      <c r="B5" s="3" t="inlineStr">
        <is>
          <t>Distrelec (RS Group, 自有品牌 RND)</t>
        </is>
      </c>
      <c r="C5" s="3" t="inlineStr">
        <is>
          <t>瑞士/欧洲</t>
        </is>
      </c>
      <c r="D5" s="3" t="inlineStr">
        <is>
          <t>Supplier onboarding</t>
        </is>
      </c>
      <c r="E5" s="3" t="inlineStr">
        <is>
          <t>RND 以无源/仪器/元件为主</t>
        </is>
      </c>
      <c r="F5" s="3" t="inlineStr">
        <is>
          <t>缺有源网络（可管理/工业以太网）</t>
        </is>
      </c>
      <c r="G5" s="3" t="inlineStr">
        <is>
          <t>工业线 + 可管理</t>
        </is>
      </c>
      <c r="H5" s="3" t="inlineStr">
        <is>
          <t>RND 缺有源网络这一层</t>
        </is>
      </c>
      <c r="I5" s="3" t="inlineStr">
        <is>
          <t>供应商准入流程长</t>
        </is>
      </c>
      <c r="J5" s="3" t="inlineStr">
        <is>
          <t>⭐⭐</t>
        </is>
      </c>
    </row>
    <row r="6">
      <c r="A6" s="3" t="n">
        <v>5</v>
      </c>
      <c r="B6" s="3" t="inlineStr">
        <is>
          <t>Conrad Electronic</t>
        </is>
      </c>
      <c r="C6" s="3" t="inlineStr">
        <is>
          <t>德国</t>
        </is>
      </c>
      <c r="D6" s="3" t="inlineStr">
        <is>
          <t>platform.conrad.de → Become a Seller（Mirakl 平台，已有650+卖家）</t>
        </is>
      </c>
      <c r="E6" s="3" t="inlineStr">
        <is>
          <t>分销 + 自有品牌</t>
        </is>
      </c>
      <c r="F6" s="3" t="inlineStr">
        <is>
          <t>需德语内容/EAN/CE/WEEE/LUCID</t>
        </is>
      </c>
      <c r="G6" s="3" t="inlineStr">
        <is>
          <t>自有品牌上架（最快出单）</t>
        </is>
      </c>
      <c r="H6" s="3" t="inlineStr">
        <is>
          <t>4-8周即可上平台出单</t>
        </is>
      </c>
      <c r="I6" s="3" t="inlineStr">
        <is>
          <t>需德语产品数据与德国合规号</t>
        </is>
      </c>
      <c r="J6" s="3" t="inlineStr">
        <is>
          <t>⭐⭐</t>
        </is>
      </c>
    </row>
    <row r="7">
      <c r="A7" s="3" t="n">
        <v>6</v>
      </c>
      <c r="B7" s="3" t="inlineStr">
        <is>
          <t>IC Intracom (Intellinet/Manhattan)</t>
        </is>
      </c>
      <c r="C7" s="3" t="inlineStr">
        <is>
          <t>德国 Halver / 美国 FL</t>
        </is>
      </c>
      <c r="D7" s="3" t="inlineStr">
        <is>
          <t>sales@intellinetnetwork.eu；+49 2353 7007 0；WEEE DE40753042 / LUCID DE2489084505093</t>
        </is>
      </c>
      <c r="E7" s="3" t="inlineStr">
        <is>
          <t>Intellinet 可管理偏少，多为非管理与 web-smart PoE</t>
        </is>
      </c>
      <c r="F7" s="3" t="inlineStr">
        <is>
          <t>缺可管理 L2+ / PoE++ / 工业</t>
        </is>
      </c>
      <c r="G7" s="3" t="inlineStr">
        <is>
          <t>可管理 L2+ + 工业线</t>
        </is>
      </c>
      <c r="H7" s="3" t="inlineStr">
        <is>
          <t>你们亚洲有 QC、欧盟合规号齐全，沟通成本最低</t>
        </is>
      </c>
      <c r="I7" s="3" t="inlineStr">
        <is>
          <t>他们已有亚洲供应</t>
        </is>
      </c>
      <c r="J7" s="3" t="inlineStr">
        <is>
          <t>⭐⭐</t>
        </is>
      </c>
    </row>
    <row r="8">
      <c r="A8" s="3" t="n">
        <v>7</v>
      </c>
      <c r="B8" s="3" t="inlineStr">
        <is>
          <t>Deltaco (DistIT → Aurdel)</t>
        </is>
      </c>
      <c r="C8" s="3" t="inlineStr">
        <is>
          <t>瑞典</t>
        </is>
      </c>
      <c r="D8" s="3" t="inlineStr">
        <is>
          <t>官网 B2B</t>
        </is>
      </c>
      <c r="E8" s="3" t="inlineStr">
        <is>
          <t>含 switches/转换器/光纤，偏北欧零售 SOHO</t>
        </is>
      </c>
      <c r="F8" s="3" t="inlineStr">
        <is>
          <t>可管理 PoE 与工业线薄弱</t>
        </is>
      </c>
      <c r="G8" s="3" t="inlineStr">
        <is>
          <t>北欧 PoE+ / 工业线</t>
        </is>
      </c>
      <c r="H8" s="3" t="inlineStr">
        <is>
          <t>从台湾进口到自有品牌的这条路我们熟</t>
        </is>
      </c>
      <c r="I8" s="3" t="inlineStr">
        <is>
          <t>集团合并期，决策链变化</t>
        </is>
      </c>
      <c r="J8" s="3" t="inlineStr">
        <is>
          <t>⭐</t>
        </is>
      </c>
    </row>
    <row r="9">
      <c r="A9" s="3" t="n">
        <v>8</v>
      </c>
      <c r="B9" s="3" t="inlineStr">
        <is>
          <t>StarTech.com</t>
        </is>
      </c>
      <c r="C9" s="3" t="inlineStr">
        <is>
          <t>加拿大多伦多</t>
        </is>
      </c>
      <c r="D9" s="3" t="inlineStr">
        <is>
          <t>官网供应商入口（⚠️ 不要发冷邮件，CASL）</t>
        </is>
      </c>
      <c r="E9" s="3" t="inlineStr">
        <is>
          <t>IES61002POE / IES81000PoE(TAA) / IESC1G50UP / IES1G52UPDIN / IES5102 —— 全部非管理</t>
        </is>
      </c>
      <c r="F9" s="3" t="inlineStr">
        <is>
          <t>没有可管理工业交换机、无 PoE++、无环网</t>
        </is>
      </c>
      <c r="G9" s="3" t="inlineStr">
        <is>
          <t>可管理工业线</t>
        </is>
      </c>
      <c r="H9" s="3" t="inlineStr">
        <is>
          <t>你们的工业交换机全是非管理型</t>
        </is>
      </c>
      <c r="I9" s="3" t="inlineStr">
        <is>
          <t>⚠️ TAA SKU 不能碰（中国原产）</t>
        </is>
      </c>
      <c r="J9" s="3" t="inlineStr">
        <is>
          <t>⭐</t>
        </is>
      </c>
    </row>
    <row r="10">
      <c r="A10" s="3" t="n">
        <v>9</v>
      </c>
      <c r="B10" s="3" t="inlineStr">
        <is>
          <t>Intelbras</t>
        </is>
      </c>
      <c r="C10" s="3" t="inlineStr">
        <is>
          <t>巴西</t>
        </is>
      </c>
      <c r="D10" s="3" t="inlineStr">
        <is>
          <t>Amilcar Scheffer（网络方案与产品总监）/ Elton Thiesen（企业线经理）</t>
        </is>
      </c>
      <c r="E10" s="3" t="inlineStr">
        <is>
          <t>SG 5204 MR L2+、S3028G-PB Max(L3,380W)、SG 2404 PoE L2+ 等；与 H3C 合作本地化生产</t>
        </is>
      </c>
      <c r="F10" s="3" t="inlineStr">
        <is>
          <t>接入层低价位 / PoE++ / 工业宽温；SKD/CKD 机会</t>
        </is>
      </c>
      <c r="G10" s="3" t="inlineStr">
        <is>
          <t>接入层 + SKD/CKD 散件</t>
        </is>
      </c>
      <c r="H10" s="3" t="inlineStr">
        <is>
          <t>H3C 覆盖核心，接入层与本地组装是空间</t>
        </is>
      </c>
      <c r="I10" s="3" t="inlineStr">
        <is>
          <t>H3C 关系深；需葡语与 ANATEL 确认</t>
        </is>
      </c>
      <c r="J10" s="3" t="inlineStr">
        <is>
          <t>⭐</t>
        </is>
      </c>
    </row>
    <row r="11">
      <c r="A11" s="3" t="n">
        <v>10</v>
      </c>
      <c r="B11" s="3" t="inlineStr">
        <is>
          <t>Antaira</t>
        </is>
      </c>
      <c r="C11" s="3" t="inlineStr">
        <is>
          <t>美国(台系供应链)</t>
        </is>
      </c>
      <c r="D11" s="3" t="inlineStr">
        <is>
          <t>其合作方：Switch SFP(UK)、Things Embedded</t>
        </is>
      </c>
      <c r="E11" s="3" t="inlineStr">
        <is>
          <t>工业以太网为主</t>
        </is>
      </c>
      <c r="F11" s="3" t="inlineStr">
        <is>
          <t>同价位下规格与质保</t>
        </is>
      </c>
      <c r="G11" s="3" t="inlineStr">
        <is>
          <t>4×10G + PoE++ + ERPS</t>
        </is>
      </c>
      <c r="H11" s="3" t="inlineStr">
        <is>
          <t>项目要更大规格时他们够不着</t>
        </is>
      </c>
      <c r="I11" s="3" t="inlineStr">
        <is>
          <t>主要是竞品；打其渠道</t>
        </is>
      </c>
      <c r="J11" s="3" t="inlineStr">
        <is>
          <t>B</t>
        </is>
      </c>
    </row>
    <row r="12">
      <c r="A12" s="3" t="n">
        <v>11</v>
      </c>
      <c r="B12" s="3" t="inlineStr">
        <is>
          <t>ComNet (ACRE)</t>
        </is>
      </c>
      <c r="C12" s="3" t="inlineStr">
        <is>
          <t>美国 Danbury CT</t>
        </is>
      </c>
      <c r="D12" s="3" t="inlineStr">
        <is>
          <t>+1 203 796 5300；comnetcustomercare@acresecurity.com</t>
        </is>
      </c>
      <c r="E12" s="3" t="inlineStr">
        <is>
          <t>光纤/铜缆/无线传输，有限终身质保，IEC61850-3 产品线</t>
        </is>
      </c>
      <c r="F12" s="3" t="inlineStr">
        <is>
          <t>ITS/电力集成商渠道；非核心网段第二供应源</t>
        </is>
      </c>
      <c r="G12" s="3" t="inlineStr">
        <is>
          <t>ITS 与电力项目配套</t>
        </is>
      </c>
      <c r="H12" s="3" t="inlineStr">
        <is>
          <t>打其下游集成商</t>
        </is>
      </c>
      <c r="I12" s="3" t="inlineStr">
        <is>
          <t>美国本土制造，本地保护</t>
        </is>
      </c>
      <c r="J12" s="3" t="inlineStr">
        <is>
          <t>B</t>
        </is>
      </c>
    </row>
    <row r="13">
      <c r="A13" s="3" t="n">
        <v>12</v>
      </c>
      <c r="B13" s="3" t="inlineStr">
        <is>
          <t>Teltonika Networks</t>
        </is>
      </c>
      <c r="C13" s="3" t="inlineStr">
        <is>
          <t>立陶宛</t>
        </is>
      </c>
      <c r="D13" s="3" t="inlineStr">
        <is>
          <t>其各国分销商（如英国 Diamond 分销商 Millbeck）</t>
        </is>
      </c>
      <c r="E13" s="3" t="inlineStr">
        <is>
          <t>TSW202/TSW212（8×GE+2SFP，8K MAC/512KB，MSRP $129），开放 SDK 可自写固件</t>
        </is>
      </c>
      <c r="F13" s="3" t="inlineStr">
        <is>
          <t>无 10G 上行、无 PoE++、无 ERPS、只有 8 口</t>
        </is>
      </c>
      <c r="G13" s="3" t="inlineStr">
        <is>
          <t>LT-IS6312XG 正面对冲</t>
        </is>
      </c>
      <c r="H13" s="3" t="inlineStr">
        <is>
          <t>8 口以上他们没有</t>
        </is>
      </c>
      <c r="I13" s="3" t="inlineStr">
        <is>
          <t>有 SDK + RMS 云，工程师粘性高</t>
        </is>
      </c>
      <c r="J13" s="3" t="inlineStr">
        <is>
          <t>B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30" customWidth="1" min="2" max="2"/>
    <col width="22" customWidth="1" min="3" max="3"/>
    <col width="26" customWidth="1" min="4" max="4"/>
    <col width="30" customWidth="1" min="5" max="5"/>
    <col width="16" customWidth="1" min="6" max="6"/>
    <col width="26" customWidth="1" min="7" max="7"/>
  </cols>
  <sheetData>
    <row r="1">
      <c r="A1" s="2" t="inlineStr">
        <is>
          <t>品牌/型号</t>
        </is>
      </c>
      <c r="B1" s="2" t="inlineStr">
        <is>
          <t>规格</t>
        </is>
      </c>
      <c r="C1" s="2" t="inlineStr">
        <is>
          <t>渠道</t>
        </is>
      </c>
      <c r="D1" s="2" t="inlineStr">
        <is>
          <t>街价（含税/未税以渠道为准）</t>
        </is>
      </c>
      <c r="E1" s="2" t="inlineStr">
        <is>
          <t>你的对标 SmartByte 型号</t>
        </is>
      </c>
      <c r="F1" s="2" t="inlineStr">
        <is>
          <t>你的卖价</t>
        </is>
      </c>
      <c r="G1" s="2" t="inlineStr">
        <is>
          <t>倍数</t>
        </is>
      </c>
    </row>
    <row r="2">
      <c r="A2" s="3" t="inlineStr">
        <is>
          <t>ORing 8口 managed DIN（12/24/48V）</t>
        </is>
      </c>
      <c r="B2" s="3" t="inlineStr">
        <is>
          <t>8×FE managed，IP30</t>
        </is>
      </c>
      <c r="C2" s="3" t="inlineStr">
        <is>
          <t>spectra.de（德）</t>
        </is>
      </c>
      <c r="D2" s="3" t="inlineStr">
        <is>
          <t>€343</t>
        </is>
      </c>
      <c r="E2" s="3" t="inlineStr">
        <is>
          <t>LT-IS6306G-2GX4GT（4GE+2SFP）</t>
        </is>
      </c>
      <c r="F2" s="3" t="inlineStr">
        <is>
          <t>$132 ≈ €122</t>
        </is>
      </c>
      <c r="G2" s="3" t="inlineStr">
        <is>
          <t>—</t>
        </is>
      </c>
    </row>
    <row r="3">
      <c r="A3" s="3" t="inlineStr">
        <is>
          <t>ORing 6口 lite-managed PoE</t>
        </is>
      </c>
      <c r="B3" s="3" t="inlineStr">
        <is>
          <t>4FE PoE + 2 SFP</t>
        </is>
      </c>
      <c r="C3" s="3" t="inlineStr">
        <is>
          <t>spectra.de</t>
        </is>
      </c>
      <c r="D3" s="3" t="inlineStr">
        <is>
          <t>€363</t>
        </is>
      </c>
      <c r="E3" s="3" t="inlineStr">
        <is>
          <t>LT-IS6310GP-2GX8GT（8GE PoE+2SFP）</t>
        </is>
      </c>
      <c r="F3" s="3" t="inlineStr">
        <is>
          <t>$143 ≈ €132</t>
        </is>
      </c>
      <c r="G3" s="3" t="inlineStr">
        <is>
          <t>≈1/2.8</t>
        </is>
      </c>
    </row>
    <row r="4">
      <c r="A4" s="3" t="inlineStr">
        <is>
          <t>ORing 12口 Gb PoE managed</t>
        </is>
      </c>
      <c r="B4" s="3" t="inlineStr">
        <is>
          <t>8GE+4GE PoE+2SFP</t>
        </is>
      </c>
      <c r="C4" s="3" t="inlineStr">
        <is>
          <t>spectra.de</t>
        </is>
      </c>
      <c r="D4" s="3" t="inlineStr">
        <is>
          <t>€1,043</t>
        </is>
      </c>
      <c r="E4" s="3" t="inlineStr">
        <is>
          <t>LT-IS6312XGP-4XS8GT（8GE PoE+4×10G）</t>
        </is>
      </c>
      <c r="F4" s="3" t="inlineStr">
        <is>
          <t>$169 ≈ €156</t>
        </is>
      </c>
      <c r="G4" s="3" t="inlineStr">
        <is>
          <t>≈1/6.7</t>
        </is>
      </c>
    </row>
    <row r="5">
      <c r="A5" s="3" t="inlineStr">
        <is>
          <t>ORing EN50155 12口 10G PoE</t>
        </is>
      </c>
      <c r="B5" s="3" t="inlineStr">
        <is>
          <t>M12，IP30</t>
        </is>
      </c>
      <c r="C5" s="3" t="inlineStr">
        <is>
          <t>spectra.de</t>
        </is>
      </c>
      <c r="D5" s="3" t="inlineStr">
        <is>
          <t>€2,718</t>
        </is>
      </c>
      <c r="E5" s="3" t="inlineStr">
        <is>
          <t>—（铁路线不打）</t>
        </is>
      </c>
      <c r="F5" s="3" t="inlineStr">
        <is>
          <t>—</t>
        </is>
      </c>
      <c r="G5" s="3" t="inlineStr">
        <is>
          <t>—</t>
        </is>
      </c>
    </row>
    <row r="6">
      <c r="A6" s="3" t="inlineStr">
        <is>
          <t>PLANET IGS-5225-4T2S</t>
        </is>
      </c>
      <c r="B6" s="3" t="inlineStr">
        <is>
          <t>4GE+2×1G/2.5G SFP</t>
        </is>
      </c>
      <c r="C6" s="3" t="inlineStr">
        <is>
          <t>fiber24 / shop4power</t>
        </is>
      </c>
      <c r="D6" s="3" t="inlineStr">
        <is>
          <t>€252 / €207</t>
        </is>
      </c>
      <c r="E6" s="3" t="inlineStr">
        <is>
          <t>LT-IS6306G-2GX4GT</t>
        </is>
      </c>
      <c r="F6" s="3" t="inlineStr">
        <is>
          <t>$101 ≈ €93</t>
        </is>
      </c>
      <c r="G6" s="3" t="inlineStr">
        <is>
          <t>≈1/2.4</t>
        </is>
      </c>
    </row>
    <row r="7">
      <c r="A7" s="3" t="inlineStr">
        <is>
          <t>PLANET IGS-5225-4P2S</t>
        </is>
      </c>
      <c r="B7" s="3" t="inlineStr">
        <is>
          <t>4GE PoE + 2 SFP</t>
        </is>
      </c>
      <c r="C7" s="3" t="inlineStr">
        <is>
          <t>fiber24</t>
        </is>
      </c>
      <c r="D7" s="3" t="inlineStr">
        <is>
          <t>€293</t>
        </is>
      </c>
      <c r="E7" s="3" t="inlineStr">
        <is>
          <t>LT-IS6310GP-2GX8GT</t>
        </is>
      </c>
      <c r="F7" s="3" t="inlineStr">
        <is>
          <t>$110 ≈ €101</t>
        </is>
      </c>
      <c r="G7" s="3" t="inlineStr">
        <is>
          <t>≈1/2.9</t>
        </is>
      </c>
    </row>
    <row r="8">
      <c r="A8" s="3" t="inlineStr">
        <is>
          <t>PLANET IGS-5225-8P2T2S</t>
        </is>
      </c>
      <c r="B8" s="3" t="inlineStr">
        <is>
          <t>8 PoE</t>
        </is>
      </c>
      <c r="C8" s="3" t="inlineStr">
        <is>
          <t>fiber24</t>
        </is>
      </c>
      <c r="D8" s="3" t="inlineStr">
        <is>
          <t>€469</t>
        </is>
      </c>
      <c r="E8" s="3" t="inlineStr">
        <is>
          <t>LT-IS6312XGP-4XS8GT</t>
        </is>
      </c>
      <c r="F8" s="3" t="inlineStr">
        <is>
          <t>$130 ≈ €120</t>
        </is>
      </c>
      <c r="G8" s="3" t="inlineStr">
        <is>
          <t>≈1/3.9</t>
        </is>
      </c>
    </row>
    <row r="9">
      <c r="A9" s="3" t="inlineStr">
        <is>
          <t>PLANET IGS-5225-8T2S2X</t>
        </is>
      </c>
      <c r="B9" s="3" t="inlineStr">
        <is>
          <t>8GE+2SFP+2×10G SFP+</t>
        </is>
      </c>
      <c r="C9" s="3" t="inlineStr">
        <is>
          <t>fiber24</t>
        </is>
      </c>
      <c r="D9" s="3" t="inlineStr">
        <is>
          <t>€540</t>
        </is>
      </c>
      <c r="E9" s="3" t="inlineStr">
        <is>
          <t>LT-IS6312XG-4XS8GT</t>
        </is>
      </c>
      <c r="F9" s="3" t="inlineStr">
        <is>
          <t>$118 ≈ €109</t>
        </is>
      </c>
      <c r="G9" s="3" t="inlineStr">
        <is>
          <t>≈1/5</t>
        </is>
      </c>
    </row>
    <row r="10">
      <c r="A10" s="3" t="inlineStr">
        <is>
          <t>Moxa EDS-405A</t>
        </is>
      </c>
      <c r="B10" s="3" t="inlineStr">
        <is>
          <t>5×FE managed，Turbo Ring</t>
        </is>
      </c>
      <c r="C10" s="3" t="inlineStr">
        <is>
          <t>TME（波）/ RSP（美）</t>
        </is>
      </c>
      <c r="D10" s="3" t="inlineStr">
        <is>
          <t>€429 / $654</t>
        </is>
      </c>
      <c r="E10" s="3" t="inlineStr">
        <is>
          <t>LT-IS3210G-2GX8GT 或 LT-IS6310G</t>
        </is>
      </c>
      <c r="F10" s="3" t="inlineStr">
        <is>
          <t>$99 ≈ €91</t>
        </is>
      </c>
      <c r="G10" s="3" t="inlineStr">
        <is>
          <t>≈1/4.7</t>
        </is>
      </c>
    </row>
    <row r="11">
      <c r="A11" s="3" t="inlineStr">
        <is>
          <t>StarTech IE-5G-INDUSTRIAL</t>
        </is>
      </c>
      <c r="B11" s="3" t="inlineStr">
        <is>
          <t>5口非管理工业</t>
        </is>
      </c>
      <c r="C11" s="3" t="inlineStr">
        <is>
          <t>捷克电商</t>
        </is>
      </c>
      <c r="D11" s="3" t="inlineStr">
        <is>
          <t>≈€86–100（2,179–2,525 CZK）</t>
        </is>
      </c>
      <c r="E11" s="3" t="inlineStr">
        <is>
          <t>LT-IS3206G-2GX4GT</t>
        </is>
      </c>
      <c r="F11" s="3" t="inlineStr">
        <is>
          <t>$45 ≈ €42</t>
        </is>
      </c>
      <c r="G11" s="3" t="inlineStr">
        <is>
          <t>（非管理，不比）</t>
        </is>
      </c>
    </row>
    <row r="12">
      <c r="A12" s="3" t="inlineStr">
        <is>
          <t>TRENDnet TI-PG102</t>
        </is>
      </c>
      <c r="B12" s="3" t="inlineStr">
        <is>
          <t>PoE++</t>
        </is>
      </c>
      <c r="C12" s="3" t="inlineStr">
        <is>
          <t>捷克电商</t>
        </is>
      </c>
      <c r="D12" s="3" t="inlineStr">
        <is>
          <t>≈€418（10,458 CZK）</t>
        </is>
      </c>
      <c r="E12" s="3" t="inlineStr">
        <is>
          <t>LT-IS6312XGP-4XS8GT-2BT</t>
        </is>
      </c>
      <c r="F12" s="3" t="inlineStr">
        <is>
          <t>$144 ≈ €133</t>
        </is>
      </c>
      <c r="G12" s="3" t="inlineStr">
        <is>
          <t>≈1/3.1</t>
        </is>
      </c>
    </row>
    <row r="13">
      <c r="A13" s="3" t="inlineStr">
        <is>
          <t>Zyxel RGS200-12P</t>
        </is>
      </c>
      <c r="B13" s="3" t="inlineStr">
        <is>
          <t>12口 PoE</t>
        </is>
      </c>
      <c r="C13" s="3" t="inlineStr">
        <is>
          <t>捷克电商</t>
        </is>
      </c>
      <c r="D13" s="3" t="inlineStr">
        <is>
          <t>≈€1,060–1,240（26.6–31k CZK）</t>
        </is>
      </c>
      <c r="E13" s="3" t="inlineStr">
        <is>
          <t>LT-IS6318GP-2GX16GT</t>
        </is>
      </c>
      <c r="F13" s="3" t="inlineStr">
        <is>
          <t>$189 ≈ €174</t>
        </is>
      </c>
      <c r="G13" s="3" t="inlineStr">
        <is>
          <t>≈1/6.5</t>
        </is>
      </c>
    </row>
    <row r="14">
      <c r="A14" s="3" t="inlineStr">
        <is>
          <t>Conexpro GNT-IG1008GP</t>
        </is>
      </c>
      <c r="B14" s="3" t="inlineStr">
        <is>
          <t>8×GE PoE DIN</t>
        </is>
      </c>
      <c r="C14" s="3" t="inlineStr">
        <is>
          <t>TS Bohemia（捷）</t>
        </is>
      </c>
      <c r="D14" s="3" t="inlineStr">
        <is>
          <t>≈€55（1,329–1,468 CZK）</t>
        </is>
      </c>
      <c r="E14" s="3" t="inlineStr">
        <is>
          <t>—</t>
        </is>
      </c>
      <c r="F14" s="3" t="inlineStr">
        <is>
          <t>—</t>
        </is>
      </c>
      <c r="G14" s="3" t="inlineStr">
        <is>
          <t>⚠️ 价格地板，勿硬拼</t>
        </is>
      </c>
    </row>
    <row r="15">
      <c r="A15" s="3" t="inlineStr">
        <is>
          <t>Moxa EDS-G308（8口Gb）</t>
        </is>
      </c>
      <c r="B15" s="3" t="inlineStr">
        <is>
          <t>8×GE 非管理</t>
        </is>
      </c>
      <c r="C15" s="3" t="inlineStr">
        <is>
          <t>Inmac Wstore（法）</t>
        </is>
      </c>
      <c r="D15" s="3" t="inlineStr">
        <is>
          <t>€298</t>
        </is>
      </c>
      <c r="E15" s="3" t="inlineStr">
        <is>
          <t>LT-IS6310G-2GX8GT</t>
        </is>
      </c>
      <c r="F15" s="3" t="inlineStr">
        <is>
          <t>$99 ≈ €91</t>
        </is>
      </c>
      <c r="G15" s="3" t="inlineStr">
        <is>
          <t>≈1/3.3</t>
        </is>
      </c>
    </row>
    <row r="16">
      <c r="A16" s="3" t="inlineStr">
        <is>
          <t>PLANET 工业DIN 8口Gb</t>
        </is>
      </c>
      <c r="B16" s="3" t="inlineStr">
        <is>
          <t>8×GE DIN</t>
        </is>
      </c>
      <c r="C16" s="3" t="inlineStr">
        <is>
          <t>ekanet（西）</t>
        </is>
      </c>
      <c r="D16" s="3" t="inlineStr">
        <is>
          <t>€111（未税）</t>
        </is>
      </c>
      <c r="E16" s="3" t="inlineStr">
        <is>
          <t>LT-IS6310G-2GX8GT</t>
        </is>
      </c>
      <c r="F16" s="3" t="inlineStr">
        <is>
          <t>$99 ≈ €91</t>
        </is>
      </c>
      <c r="G16" s="3" t="inlineStr">
        <is>
          <t>≈1/1.2（需靠10G/管理拉开）</t>
        </is>
      </c>
    </row>
    <row r="17">
      <c r="A17" s="3" t="inlineStr">
        <is>
          <t>PLANET 工业DIN 4口PoE+2SFP</t>
        </is>
      </c>
      <c r="B17" s="3" t="inlineStr">
        <is>
          <t>4GE PoE+2SFP</t>
        </is>
      </c>
      <c r="C17" s="3" t="inlineStr">
        <is>
          <t>ekanet（西）</t>
        </is>
      </c>
      <c r="D17" s="3" t="inlineStr">
        <is>
          <t>€139（未税）</t>
        </is>
      </c>
      <c r="E17" s="3" t="inlineStr">
        <is>
          <t>LT-IS6310GP-2GX8GT</t>
        </is>
      </c>
      <c r="F17" s="3" t="inlineStr">
        <is>
          <t>$110 ≈ €101</t>
        </is>
      </c>
      <c r="G17" s="3" t="inlineStr">
        <is>
          <t>≈1/1.4</t>
        </is>
      </c>
    </row>
    <row r="18">
      <c r="A18" s="3" t="inlineStr">
        <is>
          <t>工业 8口 PoE 130W</t>
        </is>
      </c>
      <c r="B18" s="3" t="inlineStr">
        <is>
          <t>8口PoE DIN</t>
        </is>
      </c>
      <c r="C18" s="3" t="inlineStr">
        <is>
          <t>atecnica（意）</t>
        </is>
      </c>
      <c r="D18" s="3" t="inlineStr">
        <is>
          <t>€71</t>
        </is>
      </c>
      <c r="E18" s="3" t="inlineStr">
        <is>
          <t>LT-IS6312XGP-4XS8GT</t>
        </is>
      </c>
      <c r="F18" s="3" t="inlineStr">
        <is>
          <t>$130 ≈ €120</t>
        </is>
      </c>
      <c r="G18" s="3" t="inlineStr">
        <is>
          <t>⚠️低价对手，不打这款</t>
        </is>
      </c>
    </row>
    <row r="19">
      <c r="A19" s="3" t="inlineStr">
        <is>
          <t>管理型 8口 PoE+2SFP（ERPS/SNMPv3）</t>
        </is>
      </c>
      <c r="B19" s="3" t="inlineStr">
        <is>
          <t>8×1G PoE DIN</t>
        </is>
      </c>
      <c r="C19" s="3" t="inlineStr">
        <is>
          <t>Direktronik（瑞典）</t>
        </is>
      </c>
      <c r="D19" s="3" t="inlineStr">
        <is>
          <t>1,460 SEK ≈ €127</t>
        </is>
      </c>
      <c r="E19" s="3" t="inlineStr">
        <is>
          <t>LT-IS6312XGP-4XS8GT</t>
        </is>
      </c>
      <c r="F19" s="3" t="inlineStr">
        <is>
          <t>$130 ≈ €120</t>
        </is>
      </c>
      <c r="G19" s="3" t="inlineStr">
        <is>
          <t>≈1/1.05 → 必须用10G/PoE++拉开</t>
        </is>
      </c>
    </row>
    <row r="20">
      <c r="A20" s="3" t="inlineStr">
        <is>
          <t>管理型 8×2.5G PoE 90W + 2×10G SFP+</t>
        </is>
      </c>
      <c r="B20" s="3" t="inlineStr">
        <is>
          <t>8口2.5G PoE DIN</t>
        </is>
      </c>
      <c r="C20" s="3" t="inlineStr">
        <is>
          <t>Direktronik（瑞典）</t>
        </is>
      </c>
      <c r="D20" s="3" t="inlineStr">
        <is>
          <t>3,760 SEK ≈ €327</t>
        </is>
      </c>
      <c r="E20" s="3" t="inlineStr">
        <is>
          <t>LT-IS6312XGP-4XS8GT-2BT</t>
        </is>
      </c>
      <c r="F20" s="3" t="inlineStr">
        <is>
          <t>$144 ≈ €133</t>
        </is>
      </c>
      <c r="G20" s="3" t="inlineStr">
        <is>
          <t>≈1/2.5</t>
        </is>
      </c>
    </row>
    <row r="21">
      <c r="A21" s="3" t="inlineStr">
        <is>
          <t>管理型 8口 PoE+ + 12×SFP</t>
        </is>
      </c>
      <c r="B21" s="3" t="inlineStr">
        <is>
          <t>8PoE+12SFP DIN</t>
        </is>
      </c>
      <c r="C21" s="3" t="inlineStr">
        <is>
          <t>Direktronik（瑞典）</t>
        </is>
      </c>
      <c r="D21" s="3" t="inlineStr">
        <is>
          <t>2,850 SEK ≈ €248</t>
        </is>
      </c>
      <c r="E21" s="3" t="inlineStr">
        <is>
          <t>LT-IS6320XG-4XS8GX8GT-D</t>
        </is>
      </c>
      <c r="F21" s="3" t="inlineStr">
        <is>
          <t>$251 ≈ €231</t>
        </is>
      </c>
      <c r="G21" s="3" t="inlineStr">
        <is>
          <t>≈1/1.07</t>
        </is>
      </c>
    </row>
    <row r="22">
      <c r="A22" s="3" t="inlineStr">
        <is>
          <t>TRENDnet TI-E50 / TI-E80</t>
        </is>
      </c>
      <c r="B22" s="3" t="inlineStr">
        <is>
          <t>5/8口FE DIN 非管理（TAA）</t>
        </is>
      </c>
      <c r="C22" s="3" t="inlineStr">
        <is>
          <t>Inmac（法）</t>
        </is>
      </c>
      <c r="D22" s="3" t="inlineStr">
        <is>
          <t>€52 / €70</t>
        </is>
      </c>
      <c r="E22" s="3" t="inlineStr">
        <is>
          <t>—（TAA不碰）</t>
        </is>
      </c>
      <c r="F22" s="3" t="inlineStr">
        <is>
          <t>—</t>
        </is>
      </c>
      <c r="G22" s="3" t="inlineStr">
        <is>
          <t>—</t>
        </is>
      </c>
    </row>
    <row r="23">
      <c r="A23" s="3" t="inlineStr">
        <is>
          <t>StarTech IES51000 / IES5102</t>
        </is>
      </c>
      <c r="B23" s="3" t="inlineStr">
        <is>
          <t>5口Gb / 5口FE 非管理（TAA）</t>
        </is>
      </c>
      <c r="C23" s="3" t="inlineStr">
        <is>
          <t>Inmac（法）</t>
        </is>
      </c>
      <c r="D23" s="3" t="inlineStr">
        <is>
          <t>€182 / €86</t>
        </is>
      </c>
      <c r="E23" s="3" t="inlineStr">
        <is>
          <t>—（TAA不碰）</t>
        </is>
      </c>
      <c r="F23" s="3" t="inlineStr">
        <is>
          <t>—</t>
        </is>
      </c>
      <c r="G23" s="3" t="inlineStr">
        <is>
          <t>—</t>
        </is>
      </c>
    </row>
    <row r="24">
      <c r="A24" s="3" t="inlineStr">
        <is>
          <t>TP-Link Omada IES206GPP</t>
        </is>
      </c>
      <c r="B24" s="3" t="inlineStr">
        <is>
          <t>6口Gb Easy Managed + PoE++，云管理</t>
        </is>
      </c>
      <c r="C24" s="3" t="inlineStr">
        <is>
          <t>Omada 北欧站</t>
        </is>
      </c>
      <c r="D24" s="3" t="inlineStr">
        <is>
          <t>（工业线新进入者）</t>
        </is>
      </c>
      <c r="E24" s="3" t="inlineStr">
        <is>
          <t>LT-IS6310GP-2GX8GT-2BT</t>
        </is>
      </c>
      <c r="F24" s="3" t="inlineStr">
        <is>
          <t>$124 ≈ €114</t>
        </is>
      </c>
      <c r="G24" s="3" t="inlineStr">
        <is>
          <t>⚠️威胁：云+品牌，打ERPS/CLI/无云锁定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40" customWidth="1" min="3" max="3"/>
    <col width="20" customWidth="1" min="4" max="4"/>
    <col width="12" customWidth="1" min="5" max="5"/>
    <col width="16" customWidth="1" min="6" max="6"/>
    <col width="30" customWidth="1" min="7" max="7"/>
  </cols>
  <sheetData>
    <row r="1">
      <c r="A1" s="2" t="inlineStr">
        <is>
          <t>类别</t>
        </is>
      </c>
      <c r="B1" s="2" t="inlineStr">
        <is>
          <t>SmartByte型号</t>
        </is>
      </c>
      <c r="C1" s="2" t="inlineStr">
        <is>
          <t>关键规格</t>
        </is>
      </c>
      <c r="D1" s="2" t="inlineStr">
        <is>
          <t>¥未税(2026.09.01-12.30)</t>
        </is>
      </c>
      <c r="E1" s="2" t="inlineStr">
        <is>
          <t>$进价(7.1)</t>
        </is>
      </c>
      <c r="F1" s="2" t="inlineStr">
        <is>
          <t>$建议卖价(+30%)</t>
        </is>
      </c>
      <c r="G1" s="2" t="inlineStr">
        <is>
          <t>⭐主推客户</t>
        </is>
      </c>
    </row>
    <row r="2">
      <c r="A2" s="3" t="inlineStr">
        <is>
          <t>商业L2+ 走量</t>
        </is>
      </c>
      <c r="B2" s="3" t="inlineStr">
        <is>
          <t>LT-S8328G-4GX24GT-S</t>
        </is>
      </c>
      <c r="C2" s="3" t="inlineStr">
        <is>
          <t>24×GE + 4×1G/2.5G SFP（AC5爆款）</t>
        </is>
      </c>
      <c r="D2" s="3" t="n">
        <v>460</v>
      </c>
      <c r="E2" s="3" t="n">
        <v>65</v>
      </c>
      <c r="F2" s="3" t="n">
        <v>85</v>
      </c>
      <c r="G2" s="3" t="inlineStr">
        <is>
          <t>2direct / Nedis</t>
        </is>
      </c>
    </row>
    <row r="3">
      <c r="A3" s="3" t="inlineStr">
        <is>
          <t>商业L2+</t>
        </is>
      </c>
      <c r="B3" s="3" t="inlineStr">
        <is>
          <t>LT-S8310GP-2GX8GT</t>
        </is>
      </c>
      <c r="C3" s="3" t="inlineStr">
        <is>
          <t>8×GE PoE + 4 SFP，120W</t>
        </is>
      </c>
      <c r="D3" s="3" t="n">
        <v>450</v>
      </c>
      <c r="E3" s="3" t="n">
        <v>63</v>
      </c>
      <c r="F3" s="3" t="n">
        <v>82</v>
      </c>
      <c r="G3" s="3" t="inlineStr">
        <is>
          <t>Nedis / Intos</t>
        </is>
      </c>
    </row>
    <row r="4">
      <c r="A4" s="3" t="inlineStr">
        <is>
          <t>商业L2+</t>
        </is>
      </c>
      <c r="B4" s="3" t="inlineStr">
        <is>
          <t>LT-S8328GP-4GX24GT-S</t>
        </is>
      </c>
      <c r="C4" s="3" t="inlineStr">
        <is>
          <t>24×GE PoE + 4 SFP，280W</t>
        </is>
      </c>
      <c r="D4" s="3" t="n">
        <v>750</v>
      </c>
      <c r="E4" s="3" t="n">
        <v>106</v>
      </c>
      <c r="F4" s="3" t="n">
        <v>138</v>
      </c>
      <c r="G4" s="3" t="inlineStr">
        <is>
          <t>2direct / Intos</t>
        </is>
      </c>
    </row>
    <row r="5">
      <c r="A5" s="3" t="inlineStr">
        <is>
          <t>商业L2+</t>
        </is>
      </c>
      <c r="B5" s="3" t="inlineStr">
        <is>
          <t>LT-S8328GP-4GX24GT</t>
        </is>
      </c>
      <c r="C5" s="3" t="inlineStr">
        <is>
          <t>24×GE PoE + 4 SFP，440W</t>
        </is>
      </c>
      <c r="D5" s="3" t="n">
        <v>1200</v>
      </c>
      <c r="E5" s="3" t="n">
        <v>169</v>
      </c>
      <c r="F5" s="3" t="n">
        <v>220</v>
      </c>
      <c r="G5" s="3" t="inlineStr">
        <is>
          <t>Intos（对标其380W款）</t>
        </is>
      </c>
    </row>
    <row r="6">
      <c r="A6" s="3" t="inlineStr">
        <is>
          <t>商业L2+ ⭐</t>
        </is>
      </c>
      <c r="B6" s="3" t="inlineStr">
        <is>
          <t>LT-S8328XG-4XS24GT-S</t>
        </is>
      </c>
      <c r="C6" s="3" t="inlineStr">
        <is>
          <t>24×GE + 4×10G SFP+（AC5爆款）</t>
        </is>
      </c>
      <c r="D6" s="3" t="n">
        <v>710</v>
      </c>
      <c r="E6" s="3" t="n">
        <v>100</v>
      </c>
      <c r="F6" s="3" t="n">
        <v>130</v>
      </c>
      <c r="G6" s="3" t="inlineStr">
        <is>
          <t>ASSMANN / Nedis / IC Intracom</t>
        </is>
      </c>
    </row>
    <row r="7">
      <c r="A7" s="3" t="inlineStr">
        <is>
          <t>商业L2+ ⭐</t>
        </is>
      </c>
      <c r="B7" s="3" t="inlineStr">
        <is>
          <t>LT-S8328XGP-4XS24GT-S</t>
        </is>
      </c>
      <c r="C7" s="3" t="inlineStr">
        <is>
          <t>24×GE PoE + 4×10G SFP+，280W</t>
        </is>
      </c>
      <c r="D7" s="3" t="n">
        <v>1010</v>
      </c>
      <c r="E7" s="3" t="n">
        <v>142</v>
      </c>
      <c r="F7" s="3" t="n">
        <v>185</v>
      </c>
      <c r="G7" s="3" t="inlineStr">
        <is>
          <t>ASSMANN / IC Intracom</t>
        </is>
      </c>
    </row>
    <row r="8">
      <c r="A8" s="3" t="inlineStr">
        <is>
          <t>商业L2+</t>
        </is>
      </c>
      <c r="B8" s="3" t="inlineStr">
        <is>
          <t>LT-S8352G-4GX48GT</t>
        </is>
      </c>
      <c r="C8" s="3" t="inlineStr">
        <is>
          <t>48×GE + 4 SFP</t>
        </is>
      </c>
      <c r="D8" s="3" t="n">
        <v>1320</v>
      </c>
      <c r="E8" s="3" t="n">
        <v>186</v>
      </c>
      <c r="F8" s="3" t="n">
        <v>242</v>
      </c>
      <c r="G8" s="3" t="inlineStr">
        <is>
          <t>DDC / Intos</t>
        </is>
      </c>
    </row>
    <row r="9">
      <c r="A9" s="3" t="inlineStr">
        <is>
          <t>商业L2+</t>
        </is>
      </c>
      <c r="B9" s="3" t="inlineStr">
        <is>
          <t>LT-S8352GP-4GX48GT</t>
        </is>
      </c>
      <c r="C9" s="3" t="inlineStr">
        <is>
          <t>48×GE PoE + 4 SFP，440W</t>
        </is>
      </c>
      <c r="D9" s="3" t="n">
        <v>1720</v>
      </c>
      <c r="E9" s="3" t="n">
        <v>242</v>
      </c>
      <c r="F9" s="3" t="n">
        <v>315</v>
      </c>
      <c r="G9" s="3" t="inlineStr">
        <is>
          <t>DDC</t>
        </is>
      </c>
    </row>
    <row r="10">
      <c r="A10" s="3" t="inlineStr">
        <is>
          <t>商业L2+</t>
        </is>
      </c>
      <c r="B10" s="3" t="inlineStr">
        <is>
          <t>LT-S8352XG-4XS48GT</t>
        </is>
      </c>
      <c r="C10" s="3" t="inlineStr">
        <is>
          <t>48×GE + 4×10G SFP+</t>
        </is>
      </c>
      <c r="D10" s="3" t="n">
        <v>1470</v>
      </c>
      <c r="E10" s="3" t="n">
        <v>207</v>
      </c>
      <c r="F10" s="3" t="n">
        <v>269</v>
      </c>
      <c r="G10" s="3" t="inlineStr">
        <is>
          <t>DDC</t>
        </is>
      </c>
    </row>
    <row r="11">
      <c r="A11" s="3" t="inlineStr">
        <is>
          <t>商业L2+</t>
        </is>
      </c>
      <c r="B11" s="3" t="inlineStr">
        <is>
          <t>LT-S8352XGP-4XS48GT</t>
        </is>
      </c>
      <c r="C11" s="3" t="inlineStr">
        <is>
          <t>48×GE PoE + 4×10G，440W/850W</t>
        </is>
      </c>
      <c r="D11" s="3" t="n">
        <v>1870</v>
      </c>
      <c r="E11" s="3" t="n">
        <v>263</v>
      </c>
      <c r="F11" s="3" t="n">
        <v>342</v>
      </c>
      <c r="G11" s="3" t="inlineStr">
        <is>
          <t>DDC / Intos</t>
        </is>
      </c>
    </row>
    <row r="12">
      <c r="A12" s="3" t="inlineStr">
        <is>
          <t>商业L3</t>
        </is>
      </c>
      <c r="B12" s="3" t="inlineStr">
        <is>
          <t>LT-S8528XG-4XS24GT</t>
        </is>
      </c>
      <c r="C12" s="3" t="inlineStr">
        <is>
          <t>L3，24×GE + 4×10G</t>
        </is>
      </c>
      <c r="D12" s="3" t="n">
        <v>1500</v>
      </c>
      <c r="E12" s="3" t="n">
        <v>211</v>
      </c>
      <c r="F12" s="3" t="n">
        <v>274</v>
      </c>
      <c r="G12" s="3" t="inlineStr">
        <is>
          <t>DDC（他们没有L3）</t>
        </is>
      </c>
    </row>
    <row r="13">
      <c r="A13" s="3" t="inlineStr">
        <is>
          <t>商业L3</t>
        </is>
      </c>
      <c r="B13" s="3" t="inlineStr">
        <is>
          <t>LT-S8528XGP-4XS24GT</t>
        </is>
      </c>
      <c r="C13" s="3" t="inlineStr">
        <is>
          <t>L3 PoE，400W</t>
        </is>
      </c>
      <c r="D13" s="3" t="n">
        <v>1900</v>
      </c>
      <c r="E13" s="3" t="n">
        <v>268</v>
      </c>
      <c r="F13" s="3" t="n">
        <v>348</v>
      </c>
      <c r="G13" s="3" t="inlineStr">
        <is>
          <t>DDC</t>
        </is>
      </c>
    </row>
    <row r="14">
      <c r="A14" s="3" t="inlineStr">
        <is>
          <t>商业L3</t>
        </is>
      </c>
      <c r="B14" s="3" t="inlineStr">
        <is>
          <t>LT-S8552XG-4XS48GT</t>
        </is>
      </c>
      <c r="C14" s="3" t="inlineStr">
        <is>
          <t>L3 48×GE + 4×10G</t>
        </is>
      </c>
      <c r="D14" s="3" t="n">
        <v>2600</v>
      </c>
      <c r="E14" s="3" t="n">
        <v>366</v>
      </c>
      <c r="F14" s="3" t="n">
        <v>476</v>
      </c>
      <c r="G14" s="3" t="inlineStr">
        <is>
          <t>DDC</t>
        </is>
      </c>
    </row>
    <row r="15">
      <c r="A15" s="3" t="inlineStr">
        <is>
          <t>商业L3</t>
        </is>
      </c>
      <c r="B15" s="3" t="inlineStr">
        <is>
          <t>LT-S8552XGP-4XS48GT</t>
        </is>
      </c>
      <c r="C15" s="3" t="inlineStr">
        <is>
          <t>L3 48×GE PoE，400W</t>
        </is>
      </c>
      <c r="D15" s="3" t="n">
        <v>3100</v>
      </c>
      <c r="E15" s="3" t="n">
        <v>437</v>
      </c>
      <c r="F15" s="3" t="n">
        <v>568</v>
      </c>
      <c r="G15" s="3" t="inlineStr">
        <is>
          <t>IC Intracom（试探高端）</t>
        </is>
      </c>
    </row>
    <row r="16">
      <c r="A16" s="3" t="inlineStr">
        <is>
          <t>工业L2+</t>
        </is>
      </c>
      <c r="B16" s="3" t="inlineStr">
        <is>
          <t>LT-IS6306GP-2GX4GT</t>
        </is>
      </c>
      <c r="C16" s="3" t="inlineStr">
        <is>
          <t>4×GE PoE + 2 SFP，DC12~58V</t>
        </is>
      </c>
      <c r="D16" s="3" t="n">
        <v>720</v>
      </c>
      <c r="E16" s="3" t="n">
        <v>101</v>
      </c>
      <c r="F16" s="3" t="n">
        <v>132</v>
      </c>
      <c r="G16" s="3" t="inlineStr">
        <is>
          <t>工业入门</t>
        </is>
      </c>
    </row>
    <row r="17">
      <c r="A17" s="3" t="inlineStr">
        <is>
          <t>工业L2+</t>
        </is>
      </c>
      <c r="B17" s="3" t="inlineStr">
        <is>
          <t>LT-IS6310GP-2GX8GT</t>
        </is>
      </c>
      <c r="C17" s="3" t="inlineStr">
        <is>
          <t>8×GE PoE + 2 SFP</t>
        </is>
      </c>
      <c r="D17" s="3" t="n">
        <v>780</v>
      </c>
      <c r="E17" s="3" t="n">
        <v>110</v>
      </c>
      <c r="F17" s="3" t="n">
        <v>143</v>
      </c>
      <c r="G17" s="3" t="inlineStr">
        <is>
          <t>2direct / Nedis</t>
        </is>
      </c>
    </row>
    <row r="18">
      <c r="A18" s="3" t="inlineStr">
        <is>
          <t>工业L2+</t>
        </is>
      </c>
      <c r="B18" s="3" t="inlineStr">
        <is>
          <t>LT-IS6312GP-4GX8GT</t>
        </is>
      </c>
      <c r="C18" s="3" t="inlineStr">
        <is>
          <t>8×GE PoE + 4 SFP</t>
        </is>
      </c>
      <c r="D18" s="3" t="n">
        <v>820</v>
      </c>
      <c r="E18" s="3" t="n">
        <v>115</v>
      </c>
      <c r="F18" s="3" t="n">
        <v>150</v>
      </c>
      <c r="G18" s="3" t="inlineStr">
        <is>
          <t>工业走量</t>
        </is>
      </c>
    </row>
    <row r="19">
      <c r="A19" s="3" t="inlineStr">
        <is>
          <t>工业L2+</t>
        </is>
      </c>
      <c r="B19" s="3" t="inlineStr">
        <is>
          <t>LT-IS6318GP-2GX16GT</t>
        </is>
      </c>
      <c r="C19" s="3" t="inlineStr">
        <is>
          <t>16×GE PoE + 2 SFP</t>
        </is>
      </c>
      <c r="D19" s="3" t="n">
        <v>1340</v>
      </c>
      <c r="E19" s="3" t="n">
        <v>189</v>
      </c>
      <c r="F19" s="3" t="n">
        <v>245</v>
      </c>
      <c r="G19" s="3" t="inlineStr">
        <is>
          <t>集成商</t>
        </is>
      </c>
    </row>
    <row r="20">
      <c r="A20" s="3" t="inlineStr">
        <is>
          <t>工业L2+</t>
        </is>
      </c>
      <c r="B20" s="3" t="inlineStr">
        <is>
          <t>LT-IS6320GP-4GX16GT-D</t>
        </is>
      </c>
      <c r="C20" s="3" t="inlineStr">
        <is>
          <t>16×GE PoE + DI/DO/RS485</t>
        </is>
      </c>
      <c r="D20" s="3" t="n">
        <v>1760</v>
      </c>
      <c r="E20" s="3" t="n">
        <v>248</v>
      </c>
      <c r="F20" s="3" t="n">
        <v>322</v>
      </c>
      <c r="G20" s="3" t="inlineStr">
        <is>
          <t>IC Intracom / ITS集成商</t>
        </is>
      </c>
    </row>
    <row r="21">
      <c r="A21" s="3" t="inlineStr">
        <is>
          <t>工业L2+</t>
        </is>
      </c>
      <c r="B21" s="3" t="inlineStr">
        <is>
          <t>LT-IS6328GP-4GX24GT</t>
        </is>
      </c>
      <c r="C21" s="3" t="inlineStr">
        <is>
          <t>24×GE PoE + DI/DO/RS485</t>
        </is>
      </c>
      <c r="D21" s="3" t="n">
        <v>1900</v>
      </c>
      <c r="E21" s="3" t="n">
        <v>268</v>
      </c>
      <c r="F21" s="3" t="n">
        <v>348</v>
      </c>
      <c r="G21" s="3" t="inlineStr">
        <is>
          <t>ITS / 电力配套</t>
        </is>
      </c>
    </row>
    <row r="22">
      <c r="A22" s="3" t="inlineStr">
        <is>
          <t>工业L2+ 10G ⭐</t>
        </is>
      </c>
      <c r="B22" s="3" t="inlineStr">
        <is>
          <t>LT-IS6312XG-4XS8GT</t>
        </is>
      </c>
      <c r="C22" s="3" t="inlineStr">
        <is>
          <t>8×GE + 4×10G SFP+，-40~75℃</t>
        </is>
      </c>
      <c r="D22" s="3" t="n">
        <v>840</v>
      </c>
      <c r="E22" s="3" t="n">
        <v>118</v>
      </c>
      <c r="F22" s="3" t="n">
        <v>154</v>
      </c>
      <c r="G22" s="3" t="inlineStr">
        <is>
          <t>ASSMANN / Intos</t>
        </is>
      </c>
    </row>
    <row r="23">
      <c r="A23" s="3" t="inlineStr">
        <is>
          <t>工业L2+ 10G ⭐</t>
        </is>
      </c>
      <c r="B23" s="3" t="inlineStr">
        <is>
          <t>LT-IS6312XGP-4XS8GT</t>
        </is>
      </c>
      <c r="C23" s="3" t="inlineStr">
        <is>
          <t>8×GE PoE + 4×10G SFP+</t>
        </is>
      </c>
      <c r="D23" s="3" t="n">
        <v>920</v>
      </c>
      <c r="E23" s="3" t="n">
        <v>130</v>
      </c>
      <c r="F23" s="3" t="n">
        <v>169</v>
      </c>
      <c r="G23" s="3" t="inlineStr">
        <is>
          <t>Intos / 工业PoE项目</t>
        </is>
      </c>
    </row>
    <row r="24">
      <c r="A24" s="3" t="inlineStr">
        <is>
          <t>工业L2+ 10G</t>
        </is>
      </c>
      <c r="B24" s="3" t="inlineStr">
        <is>
          <t>LT-IS6312XGP-4XS8GT-2BT</t>
        </is>
      </c>
      <c r="C24" s="3" t="inlineStr">
        <is>
          <t>+ PoE++（1-2口）</t>
        </is>
      </c>
      <c r="D24" s="3" t="n">
        <v>1020</v>
      </c>
      <c r="E24" s="3" t="n">
        <v>144</v>
      </c>
      <c r="F24" s="3" t="n">
        <v>187</v>
      </c>
      <c r="G24" s="3" t="inlineStr">
        <is>
          <t>PoE++ 场景</t>
        </is>
      </c>
    </row>
    <row r="25">
      <c r="A25" s="3" t="inlineStr">
        <is>
          <t>工业L2+ 10G</t>
        </is>
      </c>
      <c r="B25" s="3" t="inlineStr">
        <is>
          <t>LT-IS6318XGP-2XS16GT</t>
        </is>
      </c>
      <c r="C25" s="3" t="inlineStr">
        <is>
          <t>16×GE PoE + 2×10G</t>
        </is>
      </c>
      <c r="D25" s="3" t="n">
        <v>1660</v>
      </c>
      <c r="E25" s="3" t="n">
        <v>234</v>
      </c>
      <c r="F25" s="3" t="n">
        <v>304</v>
      </c>
      <c r="G25" s="3" t="inlineStr">
        <is>
          <t>集成商</t>
        </is>
      </c>
    </row>
    <row r="26">
      <c r="A26" s="3" t="inlineStr">
        <is>
          <t>工业L2+ 10G</t>
        </is>
      </c>
      <c r="B26" s="3" t="inlineStr">
        <is>
          <t>LT-IS6320XG-4XS8GX8GT-D</t>
        </is>
      </c>
      <c r="C26" s="3" t="inlineStr">
        <is>
          <t>8×GE + 8 SFP + 4×10G，DI/DO/RS485</t>
        </is>
      </c>
      <c r="D26" s="3" t="n">
        <v>1780</v>
      </c>
      <c r="E26" s="3" t="n">
        <v>251</v>
      </c>
      <c r="F26" s="3" t="n">
        <v>326</v>
      </c>
      <c r="G26" s="3" t="inlineStr">
        <is>
          <t>ITS 机柜</t>
        </is>
      </c>
    </row>
    <row r="27">
      <c r="A27" s="3" t="inlineStr">
        <is>
          <t>工业L2+ 10G</t>
        </is>
      </c>
      <c r="B27" s="3" t="inlineStr">
        <is>
          <t>LT-IS6328XGP-4XS24GT</t>
        </is>
      </c>
      <c r="C27" s="3" t="inlineStr">
        <is>
          <t>24×GE PoE + 4×10G</t>
        </is>
      </c>
      <c r="D27" s="3" t="n">
        <v>2200</v>
      </c>
      <c r="E27" s="3" t="n">
        <v>310</v>
      </c>
      <c r="F27" s="3" t="n">
        <v>403</v>
      </c>
      <c r="G27" s="3" t="inlineStr">
        <is>
          <t>DDC</t>
        </is>
      </c>
    </row>
    <row r="28">
      <c r="A28" s="3" t="inlineStr">
        <is>
          <t>工业L2+ 10G</t>
        </is>
      </c>
      <c r="B28" s="3" t="inlineStr">
        <is>
          <t>LT-IS6328XGP-4XS24GT-4BT</t>
        </is>
      </c>
      <c r="C28" s="3" t="inlineStr">
        <is>
          <t>+ PoE++（1-4口）</t>
        </is>
      </c>
      <c r="D28" s="3" t="n">
        <v>2400</v>
      </c>
      <c r="E28" s="3" t="n">
        <v>338</v>
      </c>
      <c r="F28" s="3" t="n">
        <v>439</v>
      </c>
      <c r="G28" s="3" t="inlineStr">
        <is>
          <t>PoE++ 场景</t>
        </is>
      </c>
    </row>
    <row r="29">
      <c r="A29" s="3" t="inlineStr">
        <is>
          <t>工业L3</t>
        </is>
      </c>
      <c r="B29" s="3" t="inlineStr">
        <is>
          <t>LT-IS6520XGP-4XS16GT</t>
        </is>
      </c>
      <c r="C29" s="3" t="inlineStr">
        <is>
          <t>L3 16×GE PoE + 4×10G</t>
        </is>
      </c>
      <c r="D29" s="3" t="n">
        <v>2510</v>
      </c>
      <c r="E29" s="3" t="n">
        <v>354</v>
      </c>
      <c r="F29" s="3" t="n">
        <v>460</v>
      </c>
      <c r="G29" s="3" t="inlineStr">
        <is>
          <t>工业L3项目</t>
        </is>
      </c>
    </row>
    <row r="30">
      <c r="A30" s="3" t="inlineStr">
        <is>
          <t>工业L3</t>
        </is>
      </c>
      <c r="B30" s="3" t="inlineStr">
        <is>
          <t>LT-IS6528XGP-4XS24GT</t>
        </is>
      </c>
      <c r="C30" s="3" t="inlineStr">
        <is>
          <t>L3 24×GE PoE + 4×10G</t>
        </is>
      </c>
      <c r="D30" s="3" t="n">
        <v>2700</v>
      </c>
      <c r="E30" s="3" t="n">
        <v>380</v>
      </c>
      <c r="F30" s="3" t="n">
        <v>494</v>
      </c>
      <c r="G30" s="3" t="inlineStr">
        <is>
          <t>工业L3项目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44" customWidth="1" min="4" max="4"/>
    <col width="14" customWidth="1" min="5" max="5"/>
    <col width="20" customWidth="1" min="6" max="6"/>
    <col width="16" customWidth="1" min="7" max="7"/>
    <col width="18" customWidth="1" min="8" max="8"/>
    <col width="10" customWidth="1" min="9" max="9"/>
    <col width="16" customWidth="1" min="10" max="10"/>
  </cols>
  <sheetData>
    <row r="1">
      <c r="A1" t="inlineStr">
        <is>
          <t>说明：来自仓库 MikroTik_L2Plus_Switches.xlsx 去重后 49 款（抓取值，可能有误）；'实测价' 列为 2026-09 官网核实值。</t>
        </is>
      </c>
    </row>
    <row r="2">
      <c r="A2" s="2" t="inlineStr">
        <is>
          <t>型号</t>
        </is>
      </c>
      <c r="B2" s="2" t="inlineStr">
        <is>
          <t>抓取价格</t>
        </is>
      </c>
      <c r="C2" s="2" t="inlineStr">
        <is>
          <t>实测价 ✅</t>
        </is>
      </c>
      <c r="D2" s="2" t="inlineStr">
        <is>
          <t>端口配置</t>
        </is>
      </c>
      <c r="E2" s="2" t="inlineStr">
        <is>
          <t>交换芯片</t>
        </is>
      </c>
      <c r="F2" s="2" t="inlineStr">
        <is>
          <t>OS</t>
        </is>
      </c>
      <c r="G2" s="2" t="inlineStr">
        <is>
          <t>工作温度</t>
        </is>
      </c>
      <c r="H2" s="2" t="inlineStr">
        <is>
          <t>PoE 输出</t>
        </is>
      </c>
      <c r="I2" s="2" t="inlineStr">
        <is>
          <t>PoE 预算</t>
        </is>
      </c>
      <c r="J2" s="2" t="inlineStr">
        <is>
          <t>分段/备注</t>
        </is>
      </c>
    </row>
    <row r="3">
      <c r="A3" s="3" t="inlineStr">
        <is>
          <t>CRS106-1C-5S</t>
        </is>
      </c>
      <c r="B3" s="3" t="inlineStr">
        <is>
          <t>$89.00</t>
        </is>
      </c>
      <c r="C3" s="3" t="inlineStr"/>
      <c r="D3" s="3" t="inlineStr">
        <is>
          <t>1x Combo (GbE/SFP), 5x SFP (1G)</t>
        </is>
      </c>
      <c r="E3" s="3" t="inlineStr">
        <is>
          <t>QCA8511</t>
        </is>
      </c>
      <c r="F3" s="3" t="inlineStr">
        <is>
          <t>RouterOS v7 / SwOS</t>
        </is>
      </c>
      <c r="G3" s="3" t="inlineStr">
        <is>
          <t>-20°C to +60°C</t>
        </is>
      </c>
      <c r="H3" s="3" t="inlineStr"/>
      <c r="I3" s="3" t="inlineStr"/>
      <c r="J3" s="3" t="inlineStr"/>
    </row>
    <row r="4">
      <c r="A4" s="3" t="inlineStr">
        <is>
          <t>CRS112-8G-4S-IN</t>
        </is>
      </c>
      <c r="B4" s="3" t="inlineStr">
        <is>
          <t>$119.00</t>
        </is>
      </c>
      <c r="C4" s="3" t="inlineStr"/>
      <c r="D4" s="3" t="inlineStr">
        <is>
          <t>8x GbE RJ45, 4x SFP (1G)</t>
        </is>
      </c>
      <c r="E4" s="3" t="inlineStr">
        <is>
          <t>QCA8513</t>
        </is>
      </c>
      <c r="F4" s="3" t="inlineStr">
        <is>
          <t>RouterOS v7 / SwOS</t>
        </is>
      </c>
      <c r="G4" s="3" t="inlineStr">
        <is>
          <t>-20°C to +60°C</t>
        </is>
      </c>
      <c r="H4" s="3" t="inlineStr"/>
      <c r="I4" s="3" t="inlineStr"/>
      <c r="J4" s="3" t="inlineStr"/>
    </row>
    <row r="5">
      <c r="A5" s="3" t="inlineStr">
        <is>
          <t>CRS112-8P-4S-IN</t>
        </is>
      </c>
      <c r="B5" s="3" t="inlineStr">
        <is>
          <t>$209.00</t>
        </is>
      </c>
      <c r="C5" s="3" t="inlineStr"/>
      <c r="D5" s="3" t="inlineStr">
        <is>
          <t>8x GbE RJ45, 4x SFP</t>
        </is>
      </c>
      <c r="E5" s="3" t="inlineStr">
        <is>
          <t>QCA8511</t>
        </is>
      </c>
      <c r="F5" s="3" t="inlineStr">
        <is>
          <t>RouterOS</t>
        </is>
      </c>
      <c r="G5" s="3" t="inlineStr">
        <is>
          <t>-20°C to 60°C</t>
        </is>
      </c>
      <c r="H5" s="3" t="inlineStr">
        <is>
          <t>PoE (802.3af)</t>
        </is>
      </c>
      <c r="I5" s="3" t="inlineStr"/>
      <c r="J5" s="3" t="inlineStr"/>
    </row>
    <row r="6">
      <c r="A6" s="3" t="inlineStr">
        <is>
          <t>CRS210-8G-2S+IN</t>
        </is>
      </c>
      <c r="B6" s="3" t="inlineStr">
        <is>
          <t>$229.00</t>
        </is>
      </c>
      <c r="C6" s="3" t="inlineStr"/>
      <c r="D6" s="3" t="inlineStr">
        <is>
          <t>8x GbE RJ45, 2x SFP+</t>
        </is>
      </c>
      <c r="E6" s="3" t="inlineStr">
        <is>
          <t>QCA8519-AC2C</t>
        </is>
      </c>
      <c r="F6" s="3" t="inlineStr">
        <is>
          <t>RouterOS</t>
        </is>
      </c>
      <c r="G6" s="3" t="inlineStr">
        <is>
          <t>-40°C to 70°C</t>
        </is>
      </c>
      <c r="H6" s="3" t="inlineStr">
        <is>
          <t>PoE (802.3af)</t>
        </is>
      </c>
      <c r="I6" s="3" t="inlineStr"/>
      <c r="J6" s="3" t="inlineStr"/>
    </row>
    <row r="7">
      <c r="A7" s="3" t="inlineStr">
        <is>
          <t>CRS212-1G-10S-1S+IN</t>
        </is>
      </c>
      <c r="B7" s="3" t="inlineStr">
        <is>
          <t>$219.00</t>
        </is>
      </c>
      <c r="C7" s="3" t="inlineStr"/>
      <c r="D7" s="3" t="inlineStr">
        <is>
          <t>1x GbE RJ45, 10x SFP, 1x SFP+</t>
        </is>
      </c>
      <c r="E7" s="3" t="inlineStr">
        <is>
          <t>QCA8519</t>
        </is>
      </c>
      <c r="F7" s="3" t="inlineStr">
        <is>
          <t>RouterOS</t>
        </is>
      </c>
      <c r="G7" s="3" t="inlineStr">
        <is>
          <t>-40°C to 70°C</t>
        </is>
      </c>
      <c r="H7" s="3" t="inlineStr"/>
      <c r="I7" s="3" t="inlineStr"/>
      <c r="J7" s="3" t="inlineStr"/>
    </row>
    <row r="8">
      <c r="A8" s="3" t="inlineStr">
        <is>
          <t>CRS304-4XG-IN</t>
        </is>
      </c>
      <c r="B8" s="3" t="inlineStr">
        <is>
          <t>$199.00</t>
        </is>
      </c>
      <c r="C8" s="3" t="inlineStr"/>
      <c r="D8" s="3" t="inlineStr">
        <is>
          <t>4x 10GbE RJ45</t>
        </is>
      </c>
      <c r="E8" s="3" t="inlineStr">
        <is>
          <t>98DX2528</t>
        </is>
      </c>
      <c r="F8" s="3" t="inlineStr">
        <is>
          <t>RouterOS v7</t>
        </is>
      </c>
      <c r="G8" s="3" t="inlineStr">
        <is>
          <t>-40°C to 70°C</t>
        </is>
      </c>
      <c r="H8" s="3" t="inlineStr">
        <is>
          <t>PoE (802.3af)</t>
        </is>
      </c>
      <c r="I8" s="3" t="inlineStr"/>
      <c r="J8" s="3" t="inlineStr"/>
    </row>
    <row r="9">
      <c r="A9" s="3" t="inlineStr">
        <is>
          <t>CRS305-1G-4S+IN</t>
        </is>
      </c>
      <c r="B9" s="3" t="inlineStr">
        <is>
          <t>$149.00</t>
        </is>
      </c>
      <c r="C9" s="3" t="inlineStr"/>
      <c r="D9" s="3" t="inlineStr">
        <is>
          <t>1x GbE RJ45, 4x SFP+</t>
        </is>
      </c>
      <c r="E9" s="3" t="inlineStr">
        <is>
          <t>98DX3236</t>
        </is>
      </c>
      <c r="F9" s="3" t="inlineStr">
        <is>
          <t>RouterOS / SwitchOS</t>
        </is>
      </c>
      <c r="G9" s="3" t="inlineStr">
        <is>
          <t>-40°C to 70°C</t>
        </is>
      </c>
      <c r="H9" s="3" t="inlineStr">
        <is>
          <t>PoE (802.3af)</t>
        </is>
      </c>
      <c r="I9" s="3" t="inlineStr"/>
      <c r="J9" s="3" t="inlineStr"/>
    </row>
    <row r="10">
      <c r="A10" s="3" t="inlineStr">
        <is>
          <t>CRS305-1G-4S+OUT</t>
        </is>
      </c>
      <c r="B10" s="3" t="inlineStr">
        <is>
          <t>$229.00</t>
        </is>
      </c>
      <c r="C10" s="3" t="inlineStr"/>
      <c r="D10" s="3" t="inlineStr"/>
      <c r="E10" s="3" t="inlineStr">
        <is>
          <t>98DX226S</t>
        </is>
      </c>
      <c r="F10" s="3" t="inlineStr">
        <is>
          <t>RouterOS v7 / SwOS</t>
        </is>
      </c>
      <c r="G10" s="3" t="inlineStr">
        <is>
          <t>-40°C to 70°C</t>
        </is>
      </c>
      <c r="H10" s="3" t="inlineStr">
        <is>
          <t>PoE (802.3af)</t>
        </is>
      </c>
      <c r="I10" s="3" t="inlineStr"/>
      <c r="J10" s="3" t="inlineStr"/>
    </row>
    <row r="11">
      <c r="A11" s="3" t="inlineStr">
        <is>
          <t>CRS309-1G-8S+IN</t>
        </is>
      </c>
      <c r="B11" s="3" t="inlineStr">
        <is>
          <t>$269.00</t>
        </is>
      </c>
      <c r="C11" s="3" t="inlineStr"/>
      <c r="D11" s="3" t="inlineStr">
        <is>
          <t>1x GbE RJ45, 8x SFP+</t>
        </is>
      </c>
      <c r="E11" s="3" t="inlineStr">
        <is>
          <t>98DX8208</t>
        </is>
      </c>
      <c r="F11" s="3" t="inlineStr">
        <is>
          <t>RouterOS / SwitchOS</t>
        </is>
      </c>
      <c r="G11" s="3" t="inlineStr">
        <is>
          <t>-40°C to 70°C</t>
        </is>
      </c>
      <c r="H11" s="3" t="inlineStr">
        <is>
          <t>PoE (802.3af)</t>
        </is>
      </c>
      <c r="I11" s="3" t="inlineStr"/>
      <c r="J11" s="3" t="inlineStr">
        <is>
          <t>全光/高速，不打</t>
        </is>
      </c>
    </row>
    <row r="12">
      <c r="A12" s="3" t="inlineStr">
        <is>
          <t>CRS310-1G-5S-4S+IN</t>
        </is>
      </c>
      <c r="B12" s="3" t="inlineStr">
        <is>
          <t>$199.00</t>
        </is>
      </c>
      <c r="C12" s="3" t="inlineStr"/>
      <c r="D12" s="3" t="inlineStr">
        <is>
          <t>1x GbE RJ45, 5x SFP, 5x SFP+</t>
        </is>
      </c>
      <c r="E12" s="3" t="inlineStr">
        <is>
          <t>98DX226S</t>
        </is>
      </c>
      <c r="F12" s="3" t="inlineStr">
        <is>
          <t>RouterOS v7 / SwitchOS</t>
        </is>
      </c>
      <c r="G12" s="3" t="inlineStr">
        <is>
          <t>-40°C to 70°C</t>
        </is>
      </c>
      <c r="H12" s="3" t="inlineStr">
        <is>
          <t>PoE (802.3af)</t>
        </is>
      </c>
      <c r="I12" s="3" t="inlineStr"/>
      <c r="J12" s="3" t="inlineStr"/>
    </row>
    <row r="13">
      <c r="A13" s="3" t="inlineStr">
        <is>
          <t>CRS310-1G-5S-4S+OUT</t>
        </is>
      </c>
      <c r="B13" s="3" t="inlineStr">
        <is>
          <t>$249.00</t>
        </is>
      </c>
      <c r="C13" s="3" t="inlineStr"/>
      <c r="D13" s="3" t="inlineStr">
        <is>
          <t>5x SFP+</t>
        </is>
      </c>
      <c r="E13" s="3" t="inlineStr">
        <is>
          <t>98DX226S</t>
        </is>
      </c>
      <c r="F13" s="3" t="inlineStr">
        <is>
          <t>RouterOS v7 / SwitchOS</t>
        </is>
      </c>
      <c r="G13" s="3" t="inlineStr">
        <is>
          <t>-40°C to 70°C</t>
        </is>
      </c>
      <c r="H13" s="3" t="inlineStr">
        <is>
          <t>PoE (802.3af)</t>
        </is>
      </c>
      <c r="I13" s="3" t="inlineStr"/>
      <c r="J13" s="3" t="inlineStr"/>
    </row>
    <row r="14">
      <c r="A14" s="3" t="inlineStr">
        <is>
          <t>CRS310-8G+2S+IN</t>
        </is>
      </c>
      <c r="B14" s="3" t="inlineStr">
        <is>
          <t>$149.00</t>
        </is>
      </c>
      <c r="C14" s="3" t="inlineStr"/>
      <c r="D14" s="3" t="inlineStr">
        <is>
          <t>8x 2.5GbE RJ45, 2x SFP+ (10G)</t>
        </is>
      </c>
      <c r="E14" s="3" t="inlineStr">
        <is>
          <t>98DX226S</t>
        </is>
      </c>
      <c r="F14" s="3" t="inlineStr">
        <is>
          <t>RouterOS v7 / SwOS</t>
        </is>
      </c>
      <c r="G14" s="3" t="inlineStr">
        <is>
          <t>-40°C to +60°C</t>
        </is>
      </c>
      <c r="H14" s="3" t="inlineStr"/>
      <c r="I14" s="3" t="inlineStr"/>
      <c r="J14" s="3" t="inlineStr"/>
    </row>
    <row r="15">
      <c r="A15" s="3" t="inlineStr">
        <is>
          <t>CRS312-4C+8XG</t>
        </is>
      </c>
      <c r="B15" s="3" t="inlineStr">
        <is>
          <t>$349.00</t>
        </is>
      </c>
      <c r="C15" s="3" t="inlineStr"/>
      <c r="D15" s="3" t="inlineStr">
        <is>
          <t>4x Combo (10G SFP+/RJ45), 8x 10GbE RJ45</t>
        </is>
      </c>
      <c r="E15" s="3" t="inlineStr">
        <is>
          <t>98DX8212</t>
        </is>
      </c>
      <c r="F15" s="3" t="inlineStr">
        <is>
          <t>RouterOS v7 / SwOS</t>
        </is>
      </c>
      <c r="G15" s="3" t="inlineStr">
        <is>
          <t>-20°C to +60°C</t>
        </is>
      </c>
      <c r="H15" s="3" t="inlineStr"/>
      <c r="I15" s="3" t="inlineStr"/>
      <c r="J15" s="3" t="inlineStr">
        <is>
          <t>全光/高速，不打</t>
        </is>
      </c>
    </row>
    <row r="16">
      <c r="A16" s="3" t="inlineStr">
        <is>
          <t>CRS312-4C+8XG-RM</t>
        </is>
      </c>
      <c r="B16" s="3" t="inlineStr">
        <is>
          <t>$699.00</t>
        </is>
      </c>
      <c r="C16" s="3" t="inlineStr"/>
      <c r="D16" s="3" t="inlineStr">
        <is>
          <t>8x 10GbE RJ45, 4x Combo</t>
        </is>
      </c>
      <c r="E16" s="3" t="inlineStr">
        <is>
          <t>98DX8212</t>
        </is>
      </c>
      <c r="F16" s="3" t="inlineStr">
        <is>
          <t>RouterOS v7 / SwitchOS</t>
        </is>
      </c>
      <c r="G16" s="3" t="inlineStr">
        <is>
          <t>-30°C to 70°C</t>
        </is>
      </c>
      <c r="H16" s="3" t="inlineStr"/>
      <c r="I16" s="3" t="inlineStr"/>
      <c r="J16" s="3" t="inlineStr">
        <is>
          <t>全光/高速，不打</t>
        </is>
      </c>
    </row>
    <row r="17">
      <c r="A17" s="3" t="inlineStr">
        <is>
          <t>CRS317-1G-16S+RM</t>
        </is>
      </c>
      <c r="B17" s="3" t="inlineStr">
        <is>
          <t>$499.00</t>
        </is>
      </c>
      <c r="C17" s="3" t="inlineStr"/>
      <c r="D17" s="3" t="inlineStr">
        <is>
          <t>10x GbE RJ45, 16x SFP+</t>
        </is>
      </c>
      <c r="E17" s="3" t="inlineStr">
        <is>
          <t>98DX8216</t>
        </is>
      </c>
      <c r="F17" s="3" t="inlineStr">
        <is>
          <t>RouterOS / SwitchOS</t>
        </is>
      </c>
      <c r="G17" s="3" t="inlineStr">
        <is>
          <t>-20°C to 60°C</t>
        </is>
      </c>
      <c r="H17" s="3" t="inlineStr"/>
      <c r="I17" s="3" t="inlineStr"/>
      <c r="J17" s="3" t="inlineStr">
        <is>
          <t>全光/高速，不打</t>
        </is>
      </c>
    </row>
    <row r="18">
      <c r="A18" s="3" t="inlineStr">
        <is>
          <t>CRS318-16P-2S+OUT</t>
        </is>
      </c>
      <c r="B18" s="3" t="inlineStr">
        <is>
          <t>$279.00</t>
        </is>
      </c>
      <c r="C18" s="3" t="inlineStr"/>
      <c r="D18" s="3" t="inlineStr">
        <is>
          <t>16x GbE RJ45</t>
        </is>
      </c>
      <c r="E18" s="3" t="inlineStr">
        <is>
          <t>98DX226S</t>
        </is>
      </c>
      <c r="F18" s="3" t="inlineStr">
        <is>
          <t>RouterOS / SwitchOS</t>
        </is>
      </c>
      <c r="G18" s="3" t="inlineStr">
        <is>
          <t>-40°C to 70°C</t>
        </is>
      </c>
      <c r="H18" s="3" t="inlineStr">
        <is>
          <t>PoE (802.3af)</t>
        </is>
      </c>
      <c r="I18" s="3" t="inlineStr"/>
      <c r="J18" s="3" t="inlineStr"/>
    </row>
    <row r="19">
      <c r="A19" s="3" t="inlineStr">
        <is>
          <t>CRS318-16P-2S+RM</t>
        </is>
      </c>
      <c r="B19" s="3" t="inlineStr">
        <is>
          <t>$329.00</t>
        </is>
      </c>
      <c r="C19" s="3" t="inlineStr"/>
      <c r="D19" s="3" t="inlineStr">
        <is>
          <t>16x GbE RJ45 (PoE-out), 2x SFP+ (10G)</t>
        </is>
      </c>
      <c r="E19" s="3" t="inlineStr">
        <is>
          <t>98DX3236</t>
        </is>
      </c>
      <c r="F19" s="3" t="inlineStr">
        <is>
          <t>RouterOS v7 / SwOS</t>
        </is>
      </c>
      <c r="G19" s="3" t="inlineStr">
        <is>
          <t>-20°C to +60°C</t>
        </is>
      </c>
      <c r="H19" s="3" t="inlineStr">
        <is>
          <t>PoE+ (802.3af/at/bt)</t>
        </is>
      </c>
      <c r="I19" s="3" t="inlineStr">
        <is>
          <t>300 W</t>
        </is>
      </c>
      <c r="J19" s="3" t="inlineStr"/>
    </row>
    <row r="20">
      <c r="A20" s="3" t="inlineStr">
        <is>
          <t>CRS318-1F</t>
        </is>
      </c>
      <c r="B20" s="3" t="inlineStr">
        <is>
          <t>$169.00</t>
        </is>
      </c>
      <c r="C20" s="3" t="inlineStr"/>
      <c r="D20" s="3" t="inlineStr">
        <is>
          <t>15x 100M Fiber</t>
        </is>
      </c>
      <c r="E20" s="3" t="inlineStr">
        <is>
          <t>98DX224S</t>
        </is>
      </c>
      <c r="F20" s="3" t="inlineStr">
        <is>
          <t>RouterOS / SwitchOS</t>
        </is>
      </c>
      <c r="G20" s="3" t="inlineStr">
        <is>
          <t>-40°C to 70°C</t>
        </is>
      </c>
      <c r="H20" s="3" t="inlineStr">
        <is>
          <t>Passive PoE</t>
        </is>
      </c>
      <c r="I20" s="3" t="inlineStr"/>
      <c r="J20" s="3" t="inlineStr"/>
    </row>
    <row r="21">
      <c r="A21" s="3" t="inlineStr">
        <is>
          <t>CRS318-1Fi-15Fr-2S</t>
        </is>
      </c>
      <c r="B21" s="3" t="inlineStr">
        <is>
          <t>$225.00</t>
        </is>
      </c>
      <c r="C21" s="3" t="inlineStr"/>
      <c r="D21" s="3" t="inlineStr">
        <is>
          <t>15x 100M Fiber, 1x 1G Fiber, 2x SFP</t>
        </is>
      </c>
      <c r="E21" s="3" t="inlineStr">
        <is>
          <t>98DX3236</t>
        </is>
      </c>
      <c r="F21" s="3" t="inlineStr">
        <is>
          <t>RouterOS v7 / SwOS</t>
        </is>
      </c>
      <c r="G21" s="3" t="inlineStr">
        <is>
          <t>-20°C to +70°C</t>
        </is>
      </c>
      <c r="H21" s="3" t="inlineStr"/>
      <c r="I21" s="3" t="inlineStr"/>
      <c r="J21" s="3" t="inlineStr"/>
    </row>
    <row r="22">
      <c r="A22" s="3" t="inlineStr">
        <is>
          <t>CRS320-8P-8B-4S+RM</t>
        </is>
      </c>
      <c r="B22" s="3" t="inlineStr">
        <is>
          <t>$489.00</t>
        </is>
      </c>
      <c r="C22" s="3" t="inlineStr"/>
      <c r="D22" s="3" t="inlineStr">
        <is>
          <t>17x GbE RJ45, 4x SFP+</t>
        </is>
      </c>
      <c r="E22" s="3" t="inlineStr">
        <is>
          <t>98DX226S</t>
        </is>
      </c>
      <c r="F22" s="3" t="inlineStr">
        <is>
          <t>RouterOS v7 / SwitchOS</t>
        </is>
      </c>
      <c r="G22" s="3" t="inlineStr">
        <is>
          <t>-10°C to 50°C</t>
        </is>
      </c>
      <c r="H22" s="3" t="inlineStr">
        <is>
          <t>PoE+ (802.3bt)</t>
        </is>
      </c>
      <c r="I22" s="3" t="inlineStr"/>
      <c r="J22" s="3" t="inlineStr"/>
    </row>
    <row r="23">
      <c r="A23" s="3" t="inlineStr">
        <is>
          <t>CRS326-24G-2S+IN</t>
        </is>
      </c>
      <c r="B23" s="3" t="inlineStr">
        <is>
          <t>$199.00</t>
        </is>
      </c>
      <c r="C23" s="3" t="inlineStr"/>
      <c r="D23" s="3" t="inlineStr">
        <is>
          <t>24x GbE RJ45, 2x SFP+ (10G)</t>
        </is>
      </c>
      <c r="E23" s="3" t="inlineStr">
        <is>
          <t>98DX3236</t>
        </is>
      </c>
      <c r="F23" s="3" t="inlineStr">
        <is>
          <t>RouterOS v7 / SwOS</t>
        </is>
      </c>
      <c r="G23" s="3" t="inlineStr">
        <is>
          <t>-40°C to +60°C</t>
        </is>
      </c>
      <c r="H23" s="3" t="inlineStr"/>
      <c r="I23" s="3" t="inlineStr"/>
      <c r="J23" s="3" t="inlineStr"/>
    </row>
    <row r="24">
      <c r="A24" s="3" t="inlineStr">
        <is>
          <t>CRS326-24G-2S+RM</t>
        </is>
      </c>
      <c r="B24" s="3" t="inlineStr">
        <is>
          <t>$219.00</t>
        </is>
      </c>
      <c r="C24" s="3" t="n">
        <v>209</v>
      </c>
      <c r="D24" s="3" t="inlineStr">
        <is>
          <t>24x GbE RJ45, 2x SFP+ (10G)</t>
        </is>
      </c>
      <c r="E24" s="3" t="inlineStr">
        <is>
          <t>98DX3236</t>
        </is>
      </c>
      <c r="F24" s="3" t="inlineStr">
        <is>
          <t>RouterOS v7 / SwOS</t>
        </is>
      </c>
      <c r="G24" s="3" t="inlineStr">
        <is>
          <t>-20°C to +60°C</t>
        </is>
      </c>
      <c r="H24" s="3" t="inlineStr"/>
      <c r="I24" s="3" t="inlineStr"/>
      <c r="J24" s="3" t="inlineStr"/>
    </row>
    <row r="25">
      <c r="A25" s="3" t="inlineStr">
        <is>
          <t>CRS326-24S+2Q+RM</t>
        </is>
      </c>
      <c r="B25" s="3" t="inlineStr">
        <is>
          <t>$599.00</t>
        </is>
      </c>
      <c r="C25" s="3" t="inlineStr"/>
      <c r="D25" s="3" t="inlineStr">
        <is>
          <t>24x SFP+</t>
        </is>
      </c>
      <c r="E25" s="3" t="inlineStr">
        <is>
          <t>98DX8332</t>
        </is>
      </c>
      <c r="F25" s="3" t="inlineStr">
        <is>
          <t>RouterOS v7 / SwitchOS</t>
        </is>
      </c>
      <c r="G25" s="3" t="inlineStr">
        <is>
          <t>-20°C to 60°C</t>
        </is>
      </c>
      <c r="H25" s="3" t="inlineStr"/>
      <c r="I25" s="3" t="inlineStr"/>
      <c r="J25" s="3" t="inlineStr">
        <is>
          <t>全光/高速，不打</t>
        </is>
      </c>
    </row>
    <row r="26">
      <c r="A26" s="3" t="inlineStr">
        <is>
          <t>CRS326-4C+20G+2Q+RM</t>
        </is>
      </c>
      <c r="B26" s="3" t="inlineStr">
        <is>
          <t>$999.00</t>
        </is>
      </c>
      <c r="C26" s="3" t="inlineStr"/>
      <c r="D26" s="3" t="inlineStr">
        <is>
          <t>5x GbE RJ45, 20x 2.5GbE, 4x Combo</t>
        </is>
      </c>
      <c r="E26" s="3" t="inlineStr">
        <is>
          <t>98DX8332</t>
        </is>
      </c>
      <c r="F26" s="3" t="inlineStr">
        <is>
          <t>RouterOS v7</t>
        </is>
      </c>
      <c r="G26" s="3" t="inlineStr">
        <is>
          <t>-20°C to 60°C</t>
        </is>
      </c>
      <c r="H26" s="3" t="inlineStr"/>
      <c r="I26" s="3" t="inlineStr"/>
      <c r="J26" s="3" t="inlineStr"/>
    </row>
    <row r="27">
      <c r="A27" s="3" t="inlineStr">
        <is>
          <t>CRS326-4C+20G+2S+RM</t>
        </is>
      </c>
      <c r="B27" s="3" t="inlineStr">
        <is>
          <t>$239.00</t>
        </is>
      </c>
      <c r="C27" s="3" t="inlineStr"/>
      <c r="D27" s="3" t="inlineStr">
        <is>
          <t>4x Combo (GbE/SFP), 20x GbE RJ45, 2x SFP+ (10G)</t>
        </is>
      </c>
      <c r="E27" s="3" t="inlineStr">
        <is>
          <t>98DX3236</t>
        </is>
      </c>
      <c r="F27" s="3" t="inlineStr">
        <is>
          <t>RouterOS v7 / SwOS</t>
        </is>
      </c>
      <c r="G27" s="3" t="inlineStr">
        <is>
          <t>-20°C to +60°C</t>
        </is>
      </c>
      <c r="H27" s="3" t="inlineStr"/>
      <c r="I27" s="3" t="inlineStr"/>
      <c r="J27" s="3" t="inlineStr"/>
    </row>
    <row r="28">
      <c r="A28" s="3" t="inlineStr">
        <is>
          <t>CRS328-24P-4S+RM</t>
        </is>
      </c>
      <c r="B28" s="3" t="inlineStr">
        <is>
          <t>$489.00</t>
        </is>
      </c>
      <c r="C28" s="3" t="n">
        <v>489</v>
      </c>
      <c r="D28" s="3" t="inlineStr">
        <is>
          <t>24x GbE RJ45, 4x SFP+</t>
        </is>
      </c>
      <c r="E28" s="3" t="inlineStr">
        <is>
          <t>98DX3236</t>
        </is>
      </c>
      <c r="F28" s="3" t="inlineStr">
        <is>
          <t>RouterOS / SwitchOS</t>
        </is>
      </c>
      <c r="G28" s="3" t="inlineStr">
        <is>
          <t>-20°C to 60°C</t>
        </is>
      </c>
      <c r="H28" s="3" t="inlineStr">
        <is>
          <t>PoE (802.3af)</t>
        </is>
      </c>
      <c r="I28" s="3" t="inlineStr"/>
      <c r="J28" s="3" t="inlineStr"/>
    </row>
    <row r="29">
      <c r="A29" s="3" t="inlineStr">
        <is>
          <t>CRS328-4C-20S-4S+RM</t>
        </is>
      </c>
      <c r="B29" s="3" t="inlineStr">
        <is>
          <t>$449.00</t>
        </is>
      </c>
      <c r="C29" s="3" t="inlineStr"/>
      <c r="D29" s="3" t="inlineStr">
        <is>
          <t>4x Combo, 20x SFP, 4x SFP+</t>
        </is>
      </c>
      <c r="E29" s="3" t="inlineStr">
        <is>
          <t>98DX3236</t>
        </is>
      </c>
      <c r="F29" s="3" t="inlineStr">
        <is>
          <t>RouterOS / SwitchOS</t>
        </is>
      </c>
      <c r="G29" s="3" t="inlineStr">
        <is>
          <t>-20°C to 60°C</t>
        </is>
      </c>
      <c r="H29" s="3" t="inlineStr"/>
      <c r="I29" s="3" t="inlineStr"/>
      <c r="J29" s="3" t="inlineStr">
        <is>
          <t>全光/高速，不打</t>
        </is>
      </c>
    </row>
    <row r="30">
      <c r="A30" s="3" t="inlineStr">
        <is>
          <t>CRS332-32S+RM</t>
        </is>
      </c>
      <c r="B30" s="3" t="inlineStr">
        <is>
          <t>$749.00</t>
        </is>
      </c>
      <c r="C30" s="3" t="inlineStr"/>
      <c r="D30" s="3" t="inlineStr">
        <is>
          <t>32x SFP+ (10G), 6x Combo (SFP+/RJ45)</t>
        </is>
      </c>
      <c r="E30" s="3" t="inlineStr">
        <is>
          <t>98DX8332</t>
        </is>
      </c>
      <c r="F30" s="3" t="inlineStr">
        <is>
          <t>RouterOS v7 / SwOS</t>
        </is>
      </c>
      <c r="G30" s="3" t="inlineStr">
        <is>
          <t>-20°C to +60°C</t>
        </is>
      </c>
      <c r="H30" s="3" t="inlineStr"/>
      <c r="I30" s="3" t="inlineStr"/>
      <c r="J30" s="3" t="inlineStr">
        <is>
          <t>全光/高速，不打</t>
        </is>
      </c>
    </row>
    <row r="31">
      <c r="A31" s="3" t="inlineStr">
        <is>
          <t>CRS354-48G-4S+2Q+RM</t>
        </is>
      </c>
      <c r="B31" s="3" t="inlineStr">
        <is>
          <t>$599.00</t>
        </is>
      </c>
      <c r="C31" s="3" t="n">
        <v>599</v>
      </c>
      <c r="D31" s="3" t="inlineStr">
        <is>
          <t>48x GbE RJ45, 4x SFP+</t>
        </is>
      </c>
      <c r="E31" s="3" t="inlineStr">
        <is>
          <t>98DX3257</t>
        </is>
      </c>
      <c r="F31" s="3" t="inlineStr">
        <is>
          <t>RouterOS v7 / SwitchOS</t>
        </is>
      </c>
      <c r="G31" s="3" t="inlineStr">
        <is>
          <t>-20°C to 60°C</t>
        </is>
      </c>
      <c r="H31" s="3" t="inlineStr"/>
      <c r="I31" s="3" t="inlineStr"/>
      <c r="J31" s="3" t="inlineStr"/>
    </row>
    <row r="32">
      <c r="A32" s="3" t="inlineStr">
        <is>
          <t>CRS354-48P-4S+2Q+RM</t>
        </is>
      </c>
      <c r="B32" s="3" t="inlineStr">
        <is>
          <t>$999.00</t>
        </is>
      </c>
      <c r="C32" s="3" t="inlineStr"/>
      <c r="D32" s="3" t="inlineStr">
        <is>
          <t>4x SFP+</t>
        </is>
      </c>
      <c r="E32" s="3" t="inlineStr">
        <is>
          <t>98DX3257</t>
        </is>
      </c>
      <c r="F32" s="3" t="inlineStr">
        <is>
          <t>RouterOS v7 / SwitchOS</t>
        </is>
      </c>
      <c r="G32" s="3" t="inlineStr">
        <is>
          <t>-20°C to 60°C</t>
        </is>
      </c>
      <c r="H32" s="3" t="inlineStr">
        <is>
          <t>PoE (802.3af)</t>
        </is>
      </c>
      <c r="I32" s="3" t="inlineStr"/>
      <c r="J32" s="3" t="inlineStr"/>
    </row>
    <row r="33">
      <c r="A33" s="3" t="inlineStr">
        <is>
          <t>CRS418-8P-8G-2S+5</t>
        </is>
      </c>
      <c r="B33" s="3" t="inlineStr">
        <is>
          <t>$499.00</t>
        </is>
      </c>
      <c r="C33" s="3" t="inlineStr"/>
      <c r="D33" s="3" t="inlineStr">
        <is>
          <t>16x GbE RJ45, 2x SFP+</t>
        </is>
      </c>
      <c r="E33" s="3" t="inlineStr">
        <is>
          <t>98DX226S</t>
        </is>
      </c>
      <c r="F33" s="3" t="inlineStr">
        <is>
          <t>RouterOS v7</t>
        </is>
      </c>
      <c r="G33" s="3" t="inlineStr">
        <is>
          <t>-20°C to 70°C</t>
        </is>
      </c>
      <c r="H33" s="3" t="inlineStr">
        <is>
          <t>PoE (802.3af)</t>
        </is>
      </c>
      <c r="I33" s="3" t="inlineStr"/>
      <c r="J33" s="3" t="inlineStr"/>
    </row>
    <row r="34">
      <c r="A34" s="3" t="inlineStr">
        <is>
          <t>CRS418-8P-8G-2S+RM</t>
        </is>
      </c>
      <c r="B34" s="3" t="inlineStr">
        <is>
          <t>$449.00</t>
        </is>
      </c>
      <c r="C34" s="3" t="inlineStr"/>
      <c r="D34" s="3" t="inlineStr">
        <is>
          <t>16x GbE RJ45, 2x SFP+</t>
        </is>
      </c>
      <c r="E34" s="3" t="inlineStr">
        <is>
          <t>98DX226S</t>
        </is>
      </c>
      <c r="F34" s="3" t="inlineStr">
        <is>
          <t>RouterOS v7</t>
        </is>
      </c>
      <c r="G34" s="3" t="inlineStr">
        <is>
          <t>-20°C to 70°C</t>
        </is>
      </c>
      <c r="H34" s="3" t="inlineStr">
        <is>
          <t>PoE (802.3af)</t>
        </is>
      </c>
      <c r="I34" s="3" t="inlineStr"/>
      <c r="J34" s="3" t="inlineStr"/>
    </row>
    <row r="35">
      <c r="A35" s="3" t="inlineStr">
        <is>
          <t>CRS504-4XQ-IN</t>
        </is>
      </c>
      <c r="B35" s="3" t="inlineStr">
        <is>
          <t>$799.00</t>
        </is>
      </c>
      <c r="C35" s="3" t="inlineStr"/>
      <c r="D35" s="3" t="inlineStr">
        <is>
          <t>4x QSFP28</t>
        </is>
      </c>
      <c r="E35" s="3" t="inlineStr">
        <is>
          <t>98DX4310</t>
        </is>
      </c>
      <c r="F35" s="3" t="inlineStr">
        <is>
          <t>RouterOS v7</t>
        </is>
      </c>
      <c r="G35" s="3" t="inlineStr">
        <is>
          <t>-40°C to 70°C</t>
        </is>
      </c>
      <c r="H35" s="3" t="inlineStr"/>
      <c r="I35" s="3" t="inlineStr"/>
      <c r="J35" s="3" t="inlineStr">
        <is>
          <t>全光/高速，不打</t>
        </is>
      </c>
    </row>
    <row r="36">
      <c r="A36" s="3" t="inlineStr">
        <is>
          <t>CRS504-4XQ-OUT</t>
        </is>
      </c>
      <c r="B36" s="3" t="inlineStr">
        <is>
          <t>$899.00</t>
        </is>
      </c>
      <c r="C36" s="3" t="inlineStr"/>
      <c r="D36" s="3" t="inlineStr">
        <is>
          <t>100x GbE RJ45, 4x QSFP28</t>
        </is>
      </c>
      <c r="E36" s="3" t="inlineStr">
        <is>
          <t>98DX4310</t>
        </is>
      </c>
      <c r="F36" s="3" t="inlineStr">
        <is>
          <t>RouterOS v7</t>
        </is>
      </c>
      <c r="G36" s="3" t="inlineStr">
        <is>
          <t>-40°C to 70°C</t>
        </is>
      </c>
      <c r="H36" s="3" t="inlineStr">
        <is>
          <t>PoE+ (802.3bt)</t>
        </is>
      </c>
      <c r="I36" s="3" t="inlineStr"/>
      <c r="J36" s="3" t="inlineStr">
        <is>
          <t>全光/高速，不打</t>
        </is>
      </c>
    </row>
    <row r="37">
      <c r="A37" s="3" t="inlineStr">
        <is>
          <t>CRS510-8XS-2XQ-IN</t>
        </is>
      </c>
      <c r="B37" s="3" t="inlineStr">
        <is>
          <t>$999.00</t>
        </is>
      </c>
      <c r="C37" s="3" t="inlineStr"/>
      <c r="D37" s="3" t="inlineStr">
        <is>
          <t>8x SFP+, 2x QSFP28</t>
        </is>
      </c>
      <c r="E37" s="3" t="inlineStr">
        <is>
          <t>98DX4310</t>
        </is>
      </c>
      <c r="F37" s="3" t="inlineStr">
        <is>
          <t>RouterOS v7</t>
        </is>
      </c>
      <c r="G37" s="3" t="inlineStr">
        <is>
          <t>-40°C to 70°C</t>
        </is>
      </c>
      <c r="H37" s="3" t="inlineStr"/>
      <c r="I37" s="3" t="inlineStr"/>
      <c r="J37" s="3" t="inlineStr">
        <is>
          <t>全光/高速，不打</t>
        </is>
      </c>
    </row>
    <row r="38">
      <c r="A38" s="3" t="inlineStr">
        <is>
          <t>CRS518-16XS-2XQ-RM</t>
        </is>
      </c>
      <c r="B38" s="3" t="inlineStr">
        <is>
          <t>$1595.00</t>
        </is>
      </c>
      <c r="C38" s="3" t="inlineStr"/>
      <c r="D38" s="3" t="inlineStr">
        <is>
          <t>16x SFP+, 2x QSFP28</t>
        </is>
      </c>
      <c r="E38" s="3" t="inlineStr">
        <is>
          <t>98DX8525</t>
        </is>
      </c>
      <c r="F38" s="3" t="inlineStr">
        <is>
          <t>RouterOS v7</t>
        </is>
      </c>
      <c r="G38" s="3" t="inlineStr">
        <is>
          <t>-40°C to 70°C</t>
        </is>
      </c>
      <c r="H38" s="3" t="inlineStr"/>
      <c r="I38" s="3" t="inlineStr"/>
      <c r="J38" s="3" t="inlineStr">
        <is>
          <t>全光/高速，不打</t>
        </is>
      </c>
    </row>
    <row r="39">
      <c r="A39" s="3" t="inlineStr">
        <is>
          <t>CRS520-4XS-16XQ-RM</t>
        </is>
      </c>
      <c r="B39" s="3" t="inlineStr">
        <is>
          <t>$2195.00</t>
        </is>
      </c>
      <c r="C39" s="3" t="inlineStr"/>
      <c r="D39" s="3" t="inlineStr">
        <is>
          <t>100x GbE RJ45, 4x SFP+, 16x QSFP28</t>
        </is>
      </c>
      <c r="E39" s="3" t="inlineStr">
        <is>
          <t>98CX8410</t>
        </is>
      </c>
      <c r="F39" s="3" t="inlineStr">
        <is>
          <t>RouterOS v7</t>
        </is>
      </c>
      <c r="G39" s="3" t="inlineStr">
        <is>
          <t>-20°C to 50°C</t>
        </is>
      </c>
      <c r="H39" s="3" t="inlineStr"/>
      <c r="I39" s="3" t="inlineStr"/>
      <c r="J39" s="3" t="inlineStr">
        <is>
          <t>全光/高速，不打</t>
        </is>
      </c>
    </row>
    <row r="40">
      <c r="A40" s="3" t="inlineStr">
        <is>
          <t>CRS804-4DDQ-</t>
        </is>
      </c>
      <c r="B40" s="3" t="inlineStr">
        <is>
          <t>$1295.00</t>
        </is>
      </c>
      <c r="C40" s="3" t="inlineStr"/>
      <c r="D40" s="3" t="inlineStr"/>
      <c r="E40" s="3" t="inlineStr">
        <is>
          <t>98DX7335</t>
        </is>
      </c>
      <c r="F40" s="3" t="inlineStr">
        <is>
          <t>RouterOS v7</t>
        </is>
      </c>
      <c r="G40" s="3" t="inlineStr">
        <is>
          <t>-10°C to 60°C</t>
        </is>
      </c>
      <c r="H40" s="3" t="inlineStr"/>
      <c r="I40" s="3" t="inlineStr"/>
      <c r="J40" s="3" t="inlineStr"/>
    </row>
    <row r="41">
      <c r="A41" s="3" t="inlineStr">
        <is>
          <t>CRS812-8DS-2DQ-2DDQ-RM</t>
        </is>
      </c>
      <c r="B41" s="3" t="inlineStr">
        <is>
          <t>$1295.00</t>
        </is>
      </c>
      <c r="C41" s="3" t="inlineStr"/>
      <c r="D41" s="3" t="inlineStr"/>
      <c r="E41" s="3" t="inlineStr">
        <is>
          <t>98DX7335</t>
        </is>
      </c>
      <c r="F41" s="3" t="inlineStr">
        <is>
          <t>RouterOS v7</t>
        </is>
      </c>
      <c r="G41" s="3" t="inlineStr">
        <is>
          <t>-10°C to 50°C</t>
        </is>
      </c>
      <c r="H41" s="3" t="inlineStr"/>
      <c r="I41" s="3" t="inlineStr"/>
      <c r="J41" s="3" t="inlineStr"/>
    </row>
    <row r="42">
      <c r="A42" s="3" t="inlineStr">
        <is>
          <t>CSS106-1G-4P-1S</t>
        </is>
      </c>
      <c r="B42" s="3" t="inlineStr">
        <is>
          <t>$55.95</t>
        </is>
      </c>
      <c r="C42" s="3" t="inlineStr"/>
      <c r="D42" s="3" t="inlineStr">
        <is>
          <t>260x GbE RJ45</t>
        </is>
      </c>
      <c r="E42" s="3" t="inlineStr">
        <is>
          <t>QCA8337</t>
        </is>
      </c>
      <c r="F42" s="3" t="inlineStr">
        <is>
          <t>MikroTik SwOS</t>
        </is>
      </c>
      <c r="G42" s="3" t="inlineStr">
        <is>
          <t>-20°C to 70°C</t>
        </is>
      </c>
      <c r="H42" s="3" t="inlineStr">
        <is>
          <t>Passive PoE</t>
        </is>
      </c>
      <c r="I42" s="3" t="inlineStr"/>
      <c r="J42" s="3" t="inlineStr"/>
    </row>
    <row r="43">
      <c r="A43" s="3" t="inlineStr">
        <is>
          <t>CSS106-5G-1S</t>
        </is>
      </c>
      <c r="B43" s="3" t="inlineStr">
        <is>
          <t>$39.95</t>
        </is>
      </c>
      <c r="C43" s="3" t="inlineStr"/>
      <c r="D43" s="3" t="inlineStr">
        <is>
          <t>5x GbE RJ45</t>
        </is>
      </c>
      <c r="E43" s="3" t="inlineStr">
        <is>
          <t>QCA8337</t>
        </is>
      </c>
      <c r="F43" s="3" t="inlineStr">
        <is>
          <t>MikroTik SwOS</t>
        </is>
      </c>
      <c r="G43" s="3" t="inlineStr">
        <is>
          <t>-20°C to 70°C</t>
        </is>
      </c>
      <c r="H43" s="3" t="inlineStr">
        <is>
          <t>Passive PoE</t>
        </is>
      </c>
      <c r="I43" s="3" t="inlineStr"/>
      <c r="J43" s="3" t="inlineStr"/>
    </row>
    <row r="44">
      <c r="A44" s="3" t="inlineStr">
        <is>
          <t>CSS318-16G-2S+IN</t>
        </is>
      </c>
      <c r="B44" s="3" t="inlineStr">
        <is>
          <t>$139.00</t>
        </is>
      </c>
      <c r="C44" s="3" t="inlineStr"/>
      <c r="D44" s="3" t="inlineStr">
        <is>
          <t>16x GbE RJ45, 2x SFP+</t>
        </is>
      </c>
      <c r="E44" s="3" t="inlineStr">
        <is>
          <t>98DX2518</t>
        </is>
      </c>
      <c r="F44" s="3" t="inlineStr">
        <is>
          <t>SwOS</t>
        </is>
      </c>
      <c r="G44" s="3" t="inlineStr">
        <is>
          <t>-40°C to 70°C</t>
        </is>
      </c>
      <c r="H44" s="3" t="inlineStr"/>
      <c r="I44" s="3" t="inlineStr"/>
      <c r="J44" s="3" t="inlineStr"/>
    </row>
    <row r="45">
      <c r="A45" s="3" t="inlineStr">
        <is>
          <t>CSS326-24G-2S+RM</t>
        </is>
      </c>
      <c r="B45" s="3" t="inlineStr">
        <is>
          <t>$199.00</t>
        </is>
      </c>
      <c r="C45" s="3" t="n">
        <v>159</v>
      </c>
      <c r="D45" s="3" t="inlineStr">
        <is>
          <t>24x GbE RJ45, 2x SFP+ (10G)</t>
        </is>
      </c>
      <c r="E45" s="3" t="inlineStr">
        <is>
          <t>98DX3236</t>
        </is>
      </c>
      <c r="F45" s="3" t="inlineStr">
        <is>
          <t>SwOS</t>
        </is>
      </c>
      <c r="G45" s="3" t="inlineStr">
        <is>
          <t>-20°C to +60°C</t>
        </is>
      </c>
      <c r="H45" s="3" t="inlineStr"/>
      <c r="I45" s="3" t="inlineStr"/>
      <c r="J45" s="3" t="inlineStr"/>
    </row>
    <row r="46">
      <c r="A46" s="3" t="inlineStr">
        <is>
          <t>CSS606-1G-2G</t>
        </is>
      </c>
      <c r="B46" s="3" t="inlineStr">
        <is>
          <t>$139.00</t>
        </is>
      </c>
      <c r="C46" s="3" t="inlineStr"/>
      <c r="D46" s="3" t="inlineStr">
        <is>
          <t>3x GbE RJ45</t>
        </is>
      </c>
      <c r="E46" s="3" t="inlineStr">
        <is>
          <t>88E6193X</t>
        </is>
      </c>
      <c r="F46" s="3" t="inlineStr">
        <is>
          <t>SwOS</t>
        </is>
      </c>
      <c r="G46" s="3" t="inlineStr">
        <is>
          <t>-40°C to 70°C</t>
        </is>
      </c>
      <c r="H46" s="3" t="inlineStr">
        <is>
          <t>Passive PoE</t>
        </is>
      </c>
      <c r="I46" s="3" t="inlineStr">
        <is>
          <t>Built for th…</t>
        </is>
      </c>
      <c r="J46" s="3" t="inlineStr"/>
    </row>
    <row r="47">
      <c r="A47" s="3" t="inlineStr">
        <is>
          <t>CSS610-1G</t>
        </is>
      </c>
      <c r="B47" s="3" t="inlineStr">
        <is>
          <t>$139.00</t>
        </is>
      </c>
      <c r="C47" s="3" t="inlineStr"/>
      <c r="D47" s="3" t="inlineStr"/>
      <c r="E47" s="3" t="inlineStr">
        <is>
          <t>88E6193X</t>
        </is>
      </c>
      <c r="F47" s="3" t="inlineStr">
        <is>
          <t>SwitchOS Lite</t>
        </is>
      </c>
      <c r="G47" s="3" t="inlineStr">
        <is>
          <t>-40°C to 70°C</t>
        </is>
      </c>
      <c r="H47" s="3" t="inlineStr">
        <is>
          <t>Passive PoE</t>
        </is>
      </c>
      <c r="I47" s="3" t="inlineStr"/>
      <c r="J47" s="3" t="inlineStr"/>
    </row>
    <row r="48">
      <c r="A48" s="3" t="inlineStr">
        <is>
          <t>CSS610-1Gi-7R-2S+OUT</t>
        </is>
      </c>
      <c r="B48" s="3" t="inlineStr">
        <is>
          <t>$99.00</t>
        </is>
      </c>
      <c r="C48" s="3" t="inlineStr"/>
      <c r="D48" s="3" t="inlineStr">
        <is>
          <t>1x GbE RJ45, 7x 100M Fiber (Reverse PoE), 2x SFP+ (10G)</t>
        </is>
      </c>
      <c r="E48" s="3" t="inlineStr">
        <is>
          <t>98DX3236</t>
        </is>
      </c>
      <c r="F48" s="3" t="inlineStr">
        <is>
          <t>SwOS</t>
        </is>
      </c>
      <c r="G48" s="3" t="inlineStr">
        <is>
          <t>-40°C to +70°C</t>
        </is>
      </c>
      <c r="H48" s="3" t="inlineStr"/>
      <c r="I48" s="3" t="inlineStr"/>
      <c r="J48" s="3" t="inlineStr"/>
    </row>
    <row r="49">
      <c r="A49" s="3" t="inlineStr">
        <is>
          <t>CSS610-8G-2S+IN</t>
        </is>
      </c>
      <c r="B49" s="3" t="inlineStr">
        <is>
          <t>$119.00</t>
        </is>
      </c>
      <c r="C49" s="3" t="n">
        <v>119</v>
      </c>
      <c r="D49" s="3" t="inlineStr">
        <is>
          <t>8x GbE RJ45, 2x SFP+</t>
        </is>
      </c>
      <c r="E49" s="3" t="inlineStr">
        <is>
          <t>88E6193X</t>
        </is>
      </c>
      <c r="F49" s="3" t="inlineStr">
        <is>
          <t>SwitchOS Lite</t>
        </is>
      </c>
      <c r="G49" s="3" t="inlineStr">
        <is>
          <t>-20°C to 60°C</t>
        </is>
      </c>
      <c r="H49" s="3" t="inlineStr">
        <is>
          <t>Passive PoE</t>
        </is>
      </c>
      <c r="I49" s="3" t="inlineStr"/>
      <c r="J49" s="3" t="inlineStr"/>
    </row>
    <row r="50">
      <c r="A50" s="3" t="inlineStr">
        <is>
          <t>CSS610-8P-2S+IN</t>
        </is>
      </c>
      <c r="B50" s="3" t="inlineStr">
        <is>
          <t>$229.00</t>
        </is>
      </c>
      <c r="C50" s="3" t="inlineStr"/>
      <c r="D50" s="3" t="inlineStr">
        <is>
          <t>2x SFP+</t>
        </is>
      </c>
      <c r="E50" s="3" t="inlineStr">
        <is>
          <t>88E6193X</t>
        </is>
      </c>
      <c r="F50" s="3" t="inlineStr">
        <is>
          <t>SwitchOS Lite</t>
        </is>
      </c>
      <c r="G50" s="3" t="inlineStr">
        <is>
          <t>-40°C to 70°C</t>
        </is>
      </c>
      <c r="H50" s="3" t="inlineStr">
        <is>
          <t>PoE (802.3af)</t>
        </is>
      </c>
      <c r="I50" s="3" t="inlineStr">
        <is>
          <t>of 140 W</t>
        </is>
      </c>
      <c r="J50" s="3" t="inlineStr"/>
    </row>
    <row r="51">
      <c r="A51" s="3" t="inlineStr">
        <is>
          <t>CSS610-8P-2S+OUT</t>
        </is>
      </c>
      <c r="B51" s="3" t="inlineStr">
        <is>
          <t>$199.00</t>
        </is>
      </c>
      <c r="C51" s="3" t="inlineStr"/>
      <c r="D51" s="3" t="inlineStr">
        <is>
          <t>8x GbE RJ45</t>
        </is>
      </c>
      <c r="E51" s="3" t="inlineStr">
        <is>
          <t>88E6193</t>
        </is>
      </c>
      <c r="F51" s="3" t="inlineStr">
        <is>
          <t>SwOS Lite</t>
        </is>
      </c>
      <c r="G51" s="3" t="inlineStr">
        <is>
          <t>-40°C to 70°C</t>
        </is>
      </c>
      <c r="H51" s="3" t="inlineStr">
        <is>
          <t>PoE (802.3af)</t>
        </is>
      </c>
      <c r="I51" s="3" t="inlineStr"/>
      <c r="J51" s="3" t="inlineStr"/>
    </row>
  </sheetData>
  <mergeCells count="1">
    <mergeCell ref="A1:J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44" customWidth="1" min="2" max="2"/>
    <col width="16" customWidth="1" min="3" max="3"/>
    <col width="26" customWidth="1" min="4" max="4"/>
    <col width="20" customWidth="1" min="5" max="5"/>
    <col width="26" customWidth="1" min="6" max="6"/>
    <col width="36" customWidth="1" min="7" max="7"/>
    <col width="32" customWidth="1" min="8" max="8"/>
  </cols>
  <sheetData>
    <row r="1">
      <c r="A1" s="2" t="inlineStr">
        <is>
          <t>#</t>
        </is>
      </c>
      <c r="B1" s="2" t="inlineStr">
        <is>
          <t>文件/证书</t>
        </is>
      </c>
      <c r="C1" s="2" t="inlineStr">
        <is>
          <t>适用地区</t>
        </is>
      </c>
      <c r="D1" s="2" t="inlineStr">
        <is>
          <t>必备性</t>
        </is>
      </c>
      <c r="E1" s="2" t="inlineStr">
        <is>
          <t>谁出具</t>
        </is>
      </c>
      <c r="F1" s="2" t="inlineStr">
        <is>
          <t>你目前状态</t>
        </is>
      </c>
      <c r="G1" s="2" t="inlineStr">
        <is>
          <t>怎么补</t>
        </is>
      </c>
      <c r="H1" s="2" t="inlineStr">
        <is>
          <t>对客户的价值</t>
        </is>
      </c>
    </row>
    <row r="2">
      <c r="A2" s="3" t="n">
        <v>1</v>
      </c>
      <c r="B2" s="3" t="inlineStr">
        <is>
          <t>EN 55032 / EN 55035 EMC 测试报告</t>
        </is>
      </c>
      <c r="C2" s="3" t="inlineStr">
        <is>
          <t>EU/UK</t>
        </is>
      </c>
      <c r="D2" s="3" t="inlineStr">
        <is>
          <t>必备</t>
        </is>
      </c>
      <c r="E2" s="3" t="inlineStr">
        <is>
          <t>第三方实验室</t>
        </is>
      </c>
      <c r="F2" s="3" t="inlineStr">
        <is>
          <t>需向 SmartByte 要带型号的完整报告</t>
        </is>
      </c>
      <c r="G2" s="3" t="inlineStr">
        <is>
          <t>向工厂索取原件，核对型号/日期/实验室资质</t>
        </is>
      </c>
      <c r="H2" s="3" t="inlineStr">
        <is>
          <t>CE 与 UKCA 的技术基础</t>
        </is>
      </c>
    </row>
    <row r="3">
      <c r="A3" s="3" t="n">
        <v>2</v>
      </c>
      <c r="B3" s="3" t="inlineStr">
        <is>
          <t>EN IEC 62368-1 安全测试报告（LVD）</t>
        </is>
      </c>
      <c r="C3" s="3" t="inlineStr">
        <is>
          <t>EU/UK</t>
        </is>
      </c>
      <c r="D3" s="3" t="inlineStr">
        <is>
          <t>必备</t>
        </is>
      </c>
      <c r="E3" s="3" t="inlineStr">
        <is>
          <t>第三方实验室</t>
        </is>
      </c>
      <c r="F3" s="3" t="inlineStr">
        <is>
          <t>需确认是 62368-1 而非 60950-1</t>
        </is>
      </c>
      <c r="G3" s="3" t="inlineStr">
        <is>
          <t>索取；若仍是旧标准需补测</t>
        </is>
      </c>
      <c r="H3" s="3" t="inlineStr">
        <is>
          <t>客户合规部第一件事就是查这个</t>
        </is>
      </c>
    </row>
    <row r="4">
      <c r="A4" s="3" t="n">
        <v>3</v>
      </c>
      <c r="B4" s="3" t="inlineStr">
        <is>
          <t>RoHS 10 项检测报告 + EN IEC 63000 技术文档</t>
        </is>
      </c>
      <c r="C4" s="3" t="inlineStr">
        <is>
          <t>EU/UK</t>
        </is>
      </c>
      <c r="D4" s="3" t="inlineStr">
        <is>
          <t>必备</t>
        </is>
      </c>
      <c r="E4" s="3" t="inlineStr">
        <is>
          <t>实验室</t>
        </is>
      </c>
      <c r="F4" s="3" t="inlineStr">
        <is>
          <t>有声明，需报告原件</t>
        </is>
      </c>
      <c r="G4" s="3" t="inlineStr">
        <is>
          <t>索取报告原件</t>
        </is>
      </c>
      <c r="H4" s="3" t="inlineStr">
        <is>
          <t>无报告=无 CE</t>
        </is>
      </c>
    </row>
    <row r="5">
      <c r="A5" s="3" t="n">
        <v>4</v>
      </c>
      <c r="B5" s="3" t="inlineStr">
        <is>
          <t>REACH SVHC 声明 / SCIP 通报数据</t>
        </is>
      </c>
      <c r="C5" s="3" t="inlineStr">
        <is>
          <t>EU</t>
        </is>
      </c>
      <c r="D5" s="3" t="inlineStr">
        <is>
          <t>必备</t>
        </is>
      </c>
      <c r="E5" s="3" t="inlineStr">
        <is>
          <t>供应链</t>
        </is>
      </c>
      <c r="F5" s="3" t="inlineStr">
        <is>
          <t>⚠️ SCIP 多半没有</t>
        </is>
      </c>
      <c r="G5" s="3" t="inlineStr">
        <is>
          <t>要 SVHC 清单；&gt;0.1% 需物料数据</t>
        </is>
      </c>
      <c r="H5" s="3" t="inlineStr">
        <is>
          <t>缺少会被海关/市场监管拦下</t>
        </is>
      </c>
    </row>
    <row r="6">
      <c r="A6" s="3" t="n">
        <v>5</v>
      </c>
      <c r="B6" s="3" t="inlineStr">
        <is>
          <t>EU DoC（欧盟符合性声明）模板</t>
        </is>
      </c>
      <c r="C6" s="3" t="inlineStr">
        <is>
          <t>EU</t>
        </is>
      </c>
      <c r="D6" s="3" t="inlineStr">
        <is>
          <t>必备</t>
        </is>
      </c>
      <c r="E6" s="3" t="inlineStr">
        <is>
          <t>制造商（贴牌客户）</t>
        </is>
      </c>
      <c r="F6" s="3" t="inlineStr">
        <is>
          <t>需工厂提供可改写模板</t>
        </is>
      </c>
      <c r="G6" s="3" t="inlineStr">
        <is>
          <t>向工厂要模板 + 客户签署</t>
        </is>
      </c>
      <c r="H6" s="3" t="inlineStr">
        <is>
          <t>没有 DoC 就不能贴 CE</t>
        </is>
      </c>
    </row>
    <row r="7">
      <c r="A7" s="3" t="n">
        <v>6</v>
      </c>
      <c r="B7" s="3" t="inlineStr">
        <is>
          <t>EU Authorised Representative（欧盟授权代表）</t>
        </is>
      </c>
      <c r="C7" s="3" t="inlineStr">
        <is>
          <t>EU</t>
        </is>
      </c>
      <c r="D7" s="3" t="inlineStr">
        <is>
          <t>必备（非欧盟制造商）</t>
        </is>
      </c>
      <c r="E7" s="3" t="inlineStr">
        <is>
          <t>客户指定</t>
        </is>
      </c>
      <c r="F7" s="3" t="inlineStr">
        <is>
          <t>由客户承担</t>
        </is>
      </c>
      <c r="G7" s="3" t="inlineStr">
        <is>
          <t>可协助对接第三方 AR 服务（增值）</t>
        </is>
      </c>
      <c r="H7" s="3" t="inlineStr">
        <is>
          <t>OEM 谈判最常见的断点</t>
        </is>
      </c>
    </row>
    <row r="8">
      <c r="A8" s="3" t="n">
        <v>7</v>
      </c>
      <c r="B8" s="3" t="inlineStr">
        <is>
          <t>WEEE 注册号（DE stiftung ear / FR / IT / ES / NL / SE / PL BDO）</t>
        </is>
      </c>
      <c r="C8" s="3" t="inlineStr">
        <is>
          <t>EU各国</t>
        </is>
      </c>
      <c r="D8" s="3" t="inlineStr">
        <is>
          <t>必备</t>
        </is>
      </c>
      <c r="E8" s="3" t="inlineStr">
        <is>
          <t>客户（品牌方）</t>
        </is>
      </c>
      <c r="F8" s="3" t="inlineStr">
        <is>
          <t>客户持有</t>
        </is>
      </c>
      <c r="G8" s="3" t="inlineStr">
        <is>
          <t>我们提供型号重量与材料拆分数据</t>
        </is>
      </c>
      <c r="H8" s="3" t="inlineStr">
        <is>
          <t>没有注册号不能在该国销售</t>
        </is>
      </c>
    </row>
    <row r="9">
      <c r="A9" s="3" t="n">
        <v>8</v>
      </c>
      <c r="B9" s="3" t="inlineStr">
        <is>
          <t>包装法：德国 VerpackG LUCID + 双元系统；法国 EPR；PPWR (EU)2025/40</t>
        </is>
      </c>
      <c r="C9" s="3" t="inlineStr">
        <is>
          <t>EU</t>
        </is>
      </c>
      <c r="D9" s="3" t="inlineStr">
        <is>
          <t>必备</t>
        </is>
      </c>
      <c r="E9" s="3" t="inlineStr">
        <is>
          <t>客户</t>
        </is>
      </c>
      <c r="F9" s="3" t="inlineStr">
        <is>
          <t>客户持有</t>
        </is>
      </c>
      <c r="G9" s="3" t="inlineStr">
        <is>
          <t>我们提供包装材料与重量数据</t>
        </is>
      </c>
      <c r="H9" s="3" t="inlineStr">
        <is>
          <t>德国查得最严</t>
        </is>
      </c>
    </row>
    <row r="10">
      <c r="A10" s="3" t="n">
        <v>9</v>
      </c>
      <c r="B10" s="3" t="inlineStr">
        <is>
          <t>ErP (EU)2019/1782 外置电源能效（等同 DoE Level VI）</t>
        </is>
      </c>
      <c r="C10" s="3" t="inlineStr">
        <is>
          <t>EU/US</t>
        </is>
      </c>
      <c r="D10" s="3" t="inlineStr">
        <is>
          <t>带适配器时必备</t>
        </is>
      </c>
      <c r="E10" s="3" t="inlineStr">
        <is>
          <t>实验室</t>
        </is>
      </c>
      <c r="F10" s="3" t="inlineStr">
        <is>
          <t>需确认适配器证书</t>
        </is>
      </c>
      <c r="G10" s="3" t="inlineStr">
        <is>
          <t>索取适配器证书</t>
        </is>
      </c>
      <c r="H10" s="3" t="inlineStr">
        <is>
          <t>外置电源没证=整机不能上架</t>
        </is>
      </c>
    </row>
    <row r="11">
      <c r="A11" s="3" t="n">
        <v>10</v>
      </c>
      <c r="B11" s="3" t="inlineStr">
        <is>
          <t>CRA (EU)2024/2847 技术文档（交换机=Annex III Class I）</t>
        </is>
      </c>
      <c r="C11" s="3" t="inlineStr">
        <is>
          <t>EU</t>
        </is>
      </c>
      <c r="D11" s="3" t="inlineStr">
        <is>
          <t>2027-12-11 起必备</t>
        </is>
      </c>
      <c r="E11" s="3" t="inlineStr">
        <is>
          <t>制造商（客户）+ 我们提供输入</t>
        </is>
      </c>
      <c r="F11" s="3" t="inlineStr">
        <is>
          <t>⚠️ 基本空白</t>
        </is>
      </c>
      <c r="G11" s="3" t="inlineStr">
        <is>
          <t>SBOM + 漏洞政策 + 更新承诺 + EN 18031 路线图</t>
        </is>
      </c>
      <c r="H11" s="3" t="inlineStr">
        <is>
          <t>⭐ 2026-2027 最有杀伤力的差异化</t>
        </is>
      </c>
    </row>
    <row r="12">
      <c r="A12" s="3" t="n">
        <v>11</v>
      </c>
      <c r="B12" s="3" t="inlineStr">
        <is>
          <t>SBOM（SPDX / CycloneDX）</t>
        </is>
      </c>
      <c r="C12" s="3" t="inlineStr">
        <is>
          <t>EU/UK/US</t>
        </is>
      </c>
      <c r="D12" s="3" t="inlineStr">
        <is>
          <t>CRA 必备</t>
        </is>
      </c>
      <c r="E12" s="3" t="inlineStr">
        <is>
          <t>工厂</t>
        </is>
      </c>
      <c r="F12" s="3" t="inlineStr">
        <is>
          <t>⚠️ 没有</t>
        </is>
      </c>
      <c r="G12" s="3" t="inlineStr">
        <is>
          <t>向工厂索取并约定每版更新</t>
        </is>
      </c>
      <c r="H12" s="3" t="inlineStr">
        <is>
          <t>客户合规部无法自行生成</t>
        </is>
      </c>
    </row>
    <row r="13">
      <c r="A13" s="3" t="n">
        <v>12</v>
      </c>
      <c r="B13" s="3" t="inlineStr">
        <is>
          <t>漏洞处理政策（接收渠道/响应SLA/协调披露）</t>
        </is>
      </c>
      <c r="C13" s="3" t="inlineStr">
        <is>
          <t>EU</t>
        </is>
      </c>
      <c r="D13" s="3" t="inlineStr">
        <is>
          <t>CRA 必备</t>
        </is>
      </c>
      <c r="E13" s="3" t="inlineStr">
        <is>
          <t>工厂 + 我们</t>
        </is>
      </c>
      <c r="F13" s="3" t="inlineStr">
        <is>
          <t>⚠️ 没有</t>
        </is>
      </c>
      <c r="G13" s="3" t="inlineStr">
        <is>
          <t>起草 policy + security@ 邮箱 + 响应时限</t>
        </is>
      </c>
      <c r="H13" s="3" t="inlineStr">
        <is>
          <t>24h/72h 通报义务的基础</t>
        </is>
      </c>
    </row>
    <row r="14">
      <c r="A14" s="3" t="n">
        <v>13</v>
      </c>
      <c r="B14" s="3" t="inlineStr">
        <is>
          <t>固件签名 / 安全启动说明</t>
        </is>
      </c>
      <c r="C14" s="3" t="inlineStr">
        <is>
          <t>EU</t>
        </is>
      </c>
      <c r="D14" s="3" t="inlineStr">
        <is>
          <t>CRA 安全默认要求</t>
        </is>
      </c>
      <c r="E14" s="3" t="inlineStr">
        <is>
          <t>工厂</t>
        </is>
      </c>
      <c r="F14" s="3" t="inlineStr">
        <is>
          <t>需确认</t>
        </is>
      </c>
      <c r="G14" s="3" t="inlineStr">
        <is>
          <t>向工厂确认并出书面说明</t>
        </is>
      </c>
      <c r="H14" s="3" t="inlineStr">
        <is>
          <t>Class I 自评估的关键项</t>
        </is>
      </c>
    </row>
    <row r="15">
      <c r="A15" s="3" t="n">
        <v>14</v>
      </c>
      <c r="B15" s="3" t="inlineStr">
        <is>
          <t>固件更新支持期承诺（建议≥5年）</t>
        </is>
      </c>
      <c r="C15" s="3" t="inlineStr">
        <is>
          <t>EU/全球</t>
        </is>
      </c>
      <c r="D15" s="3" t="inlineStr">
        <is>
          <t>商业必备</t>
        </is>
      </c>
      <c r="E15" s="3" t="inlineStr">
        <is>
          <t>你 + 工厂</t>
        </is>
      </c>
      <c r="F15" s="3" t="inlineStr">
        <is>
          <t>需书面化</t>
        </is>
      </c>
      <c r="G15" s="3" t="inlineStr">
        <is>
          <t>写进合同附件</t>
        </is>
      </c>
      <c r="H15" s="3" t="inlineStr">
        <is>
          <t>大客户问卷必问</t>
        </is>
      </c>
    </row>
    <row r="16">
      <c r="A16" s="3" t="n">
        <v>15</v>
      </c>
      <c r="B16" s="3" t="inlineStr">
        <is>
          <t>EN 18031 系列符合性路线图</t>
        </is>
      </c>
      <c r="C16" s="3" t="inlineStr">
        <is>
          <t>EU</t>
        </is>
      </c>
      <c r="D16" s="3" t="inlineStr">
        <is>
          <t>决定能否走 Module A 自评</t>
        </is>
      </c>
      <c r="E16" s="3" t="inlineStr">
        <is>
          <t>第三方/自评</t>
        </is>
      </c>
      <c r="F16" s="3" t="inlineStr">
        <is>
          <t>⚠️ 没有</t>
        </is>
      </c>
      <c r="G16" s="3" t="inlineStr">
        <is>
          <t>做差距分析（gap analysis）</t>
        </is>
      </c>
      <c r="H16" s="3" t="inlineStr">
        <is>
          <t>有则可自评（省钱），无则第三方评估（费钱）</t>
        </is>
      </c>
    </row>
    <row r="17">
      <c r="A17" s="3" t="n">
        <v>16</v>
      </c>
      <c r="B17" s="3" t="inlineStr">
        <is>
          <t>UKCA + UK Responsible Person + UK DoC</t>
        </is>
      </c>
      <c r="C17" s="3" t="inlineStr">
        <is>
          <t>英国</t>
        </is>
      </c>
      <c r="D17" s="3" t="inlineStr">
        <is>
          <t>必备</t>
        </is>
      </c>
      <c r="E17" s="3" t="inlineStr">
        <is>
          <t>客户 + 我们协助</t>
        </is>
      </c>
      <c r="F17" s="3" t="inlineStr">
        <is>
          <t>CE 在英有过渡安排（以英国政府公告为准）</t>
        </is>
      </c>
      <c r="G17" s="3" t="inlineStr">
        <is>
          <t>按 UKCA 要求准备，UKRP 由客户指定</t>
        </is>
      </c>
      <c r="H17" s="3" t="inlineStr">
        <is>
          <t>英国客户必查</t>
        </is>
      </c>
    </row>
    <row r="18">
      <c r="A18" s="3" t="n">
        <v>17</v>
      </c>
      <c r="B18" s="3" t="inlineStr">
        <is>
          <t>FCC Part 15B SDoC（Class A/B）</t>
        </is>
      </c>
      <c r="C18" s="3" t="inlineStr">
        <is>
          <t>美国</t>
        </is>
      </c>
      <c r="D18" s="3" t="inlineStr">
        <is>
          <t>必备</t>
        </is>
      </c>
      <c r="E18" s="3" t="inlineStr">
        <is>
          <t>实验室/供方自我声明</t>
        </is>
      </c>
      <c r="F18" s="3" t="inlineStr">
        <is>
          <t>有 FCC</t>
        </is>
      </c>
      <c r="G18" s="3" t="inlineStr">
        <is>
          <t>核对 Class A/B 与型号</t>
        </is>
      </c>
      <c r="H18" s="3" t="inlineStr">
        <is>
          <t>无则不能进美国</t>
        </is>
      </c>
    </row>
    <row r="19">
      <c r="A19" s="3" t="n">
        <v>18</v>
      </c>
      <c r="B19" s="3" t="inlineStr">
        <is>
          <t>UL / ETL 62368-1</t>
        </is>
      </c>
      <c r="C19" s="3" t="inlineStr">
        <is>
          <t>美国/加拿大</t>
        </is>
      </c>
      <c r="D19" s="3" t="inlineStr">
        <is>
          <t>事实必备（非联邦强制）</t>
        </is>
      </c>
      <c r="E19" s="3" t="inlineStr">
        <is>
          <t>第三方</t>
        </is>
      </c>
      <c r="F19" s="3" t="inlineStr">
        <is>
          <t>⚠️ 还没有</t>
        </is>
      </c>
      <c r="G19" s="3" t="inlineStr">
        <is>
          <t>按首单量谈判分摊送测费用</t>
        </is>
      </c>
      <c r="H19" s="3" t="inlineStr">
        <is>
          <t>分销商与验收方几乎必要求</t>
        </is>
      </c>
    </row>
    <row r="20">
      <c r="A20" s="3" t="n">
        <v>19</v>
      </c>
      <c r="B20" s="3" t="inlineStr">
        <is>
          <t>ISED ICES-003 + CSA/cUL/ETL 安全标志</t>
        </is>
      </c>
      <c r="C20" s="3" t="inlineStr">
        <is>
          <t>加拿大</t>
        </is>
      </c>
      <c r="D20" s="3" t="inlineStr">
        <is>
          <t>必备</t>
        </is>
      </c>
      <c r="E20" s="3" t="inlineStr">
        <is>
          <t>第三方</t>
        </is>
      </c>
      <c r="F20" s="3" t="inlineStr">
        <is>
          <t>需确认</t>
        </is>
      </c>
      <c r="G20" s="3" t="inlineStr">
        <is>
          <t>ICES-003 通常可沿用 FCC 报告；安全标志需补</t>
        </is>
      </c>
      <c r="H20" s="3" t="inlineStr">
        <is>
          <t>魁北克还需法语标签（Bill 96）</t>
        </is>
      </c>
    </row>
    <row r="21">
      <c r="A21" s="3" t="n">
        <v>20</v>
      </c>
      <c r="B21" s="3" t="inlineStr">
        <is>
          <t>TAA 合规（美国联邦采购）</t>
        </is>
      </c>
      <c r="C21" s="3" t="inlineStr">
        <is>
          <t>美国</t>
        </is>
      </c>
      <c r="D21" s="3" t="inlineStr">
        <is>
          <t>政府项目必备</t>
        </is>
      </c>
      <c r="E21" s="3" t="inlineStr">
        <is>
          <t>—</t>
        </is>
      </c>
      <c r="F21" s="3" t="inlineStr">
        <is>
          <t>❌ 中国原产不可能 TAA</t>
        </is>
      </c>
      <c r="G21" s="3" t="inlineStr">
        <is>
          <t>不碰政府单，只做商用渠道</t>
        </is>
      </c>
      <c r="H21" s="3" t="inlineStr">
        <is>
          <t>提前说清，避免浪费时间</t>
        </is>
      </c>
    </row>
    <row r="22">
      <c r="A22" s="3" t="n">
        <v>21</v>
      </c>
      <c r="B22" s="3" t="inlineStr">
        <is>
          <t>NDAA 889 排除声明（非华为/中兴/海康/大华等）</t>
        </is>
      </c>
      <c r="C22" s="3" t="inlineStr">
        <is>
          <t>美国</t>
        </is>
      </c>
      <c r="D22" s="3" t="inlineStr">
        <is>
          <t>关键项目必备</t>
        </is>
      </c>
      <c r="E22" s="3" t="inlineStr">
        <is>
          <t>你出具</t>
        </is>
      </c>
      <c r="F22" s="3" t="inlineStr">
        <is>
          <t>可出具</t>
        </is>
      </c>
      <c r="G22" s="3" t="inlineStr">
        <is>
          <t>准备一份标准声明</t>
        </is>
      </c>
      <c r="H22" s="3" t="inlineStr">
        <is>
          <t>Marvell 方案不在受限清单</t>
        </is>
      </c>
    </row>
    <row r="23">
      <c r="A23" s="3" t="n">
        <v>22</v>
      </c>
      <c r="B23" s="3" t="inlineStr">
        <is>
          <t>EN 50155（轨交）/ IEC 61850-3（电力）/ IEC 62443-4-2（工控安全）/ EN 45545-2 / E-mark</t>
        </is>
      </c>
      <c r="C23" s="3" t="inlineStr">
        <is>
          <t>EU 行业</t>
        </is>
      </c>
      <c r="D23" s="3" t="inlineStr">
        <is>
          <t>项目要求</t>
        </is>
      </c>
      <c r="E23" s="3" t="inlineStr">
        <is>
          <t>第三方</t>
        </is>
      </c>
      <c r="F23" s="3" t="inlineStr">
        <is>
          <t>❌ 基本没有</t>
        </is>
      </c>
      <c r="G23" s="3" t="inlineStr">
        <is>
          <t>短期不做铁路/车载；攻工厂/ITS/CCTV/楼宇</t>
        </is>
      </c>
      <c r="H23" s="3" t="inlineStr">
        <is>
          <t>坦诚说明，不要硬接</t>
        </is>
      </c>
    </row>
    <row r="24">
      <c r="A24" s="3" t="n">
        <v>23</v>
      </c>
      <c r="B24" s="3" t="inlineStr">
        <is>
          <t>产品重量与材料拆分表（WEEE 申报用）</t>
        </is>
      </c>
      <c r="C24" s="3" t="inlineStr">
        <is>
          <t>EU</t>
        </is>
      </c>
      <c r="D24" s="3" t="inlineStr">
        <is>
          <t>必备</t>
        </is>
      </c>
      <c r="E24" s="3" t="inlineStr">
        <is>
          <t>工厂</t>
        </is>
      </c>
      <c r="F24" s="3" t="inlineStr">
        <is>
          <t>需索取</t>
        </is>
      </c>
      <c r="G24" s="3" t="inlineStr">
        <is>
          <t>逐型号整理成表</t>
        </is>
      </c>
      <c r="H24" s="3" t="inlineStr">
        <is>
          <t>客户申报 WEEE 的必需输入</t>
        </is>
      </c>
    </row>
    <row r="25">
      <c r="A25" s="3" t="n">
        <v>24</v>
      </c>
      <c r="B25" s="3" t="inlineStr">
        <is>
          <t>ISO 9001 / ISO 14001 证书</t>
        </is>
      </c>
      <c r="C25" s="3" t="inlineStr">
        <is>
          <t>全球</t>
        </is>
      </c>
      <c r="D25" s="3" t="inlineStr">
        <is>
          <t>大客户问卷必问</t>
        </is>
      </c>
      <c r="E25" s="3" t="inlineStr">
        <is>
          <t>工厂</t>
        </is>
      </c>
      <c r="F25" s="3" t="inlineStr">
        <is>
          <t>需索取</t>
        </is>
      </c>
      <c r="G25" s="3" t="inlineStr">
        <is>
          <t>索取证书与审核报告摘要</t>
        </is>
      </c>
      <c r="H25" s="3" t="inlineStr">
        <is>
          <t>问卷里的第一道门槛</t>
        </is>
      </c>
    </row>
    <row r="26">
      <c r="A26" s="3" t="n">
        <v>25</v>
      </c>
      <c r="B26" s="3" t="inlineStr">
        <is>
          <t>产品责任保险</t>
        </is>
      </c>
      <c r="C26" s="3" t="inlineStr">
        <is>
          <t>EU/US</t>
        </is>
      </c>
      <c r="D26" s="3" t="inlineStr">
        <is>
          <t>大客户常要求</t>
        </is>
      </c>
      <c r="E26" s="3" t="inlineStr">
        <is>
          <t>客户/双方</t>
        </is>
      </c>
      <c r="F26" s="3" t="inlineStr">
        <is>
          <t>需确认</t>
        </is>
      </c>
      <c r="G26" s="3" t="inlineStr">
        <is>
          <t>客户投保或双方共保</t>
        </is>
      </c>
      <c r="H26" s="3" t="inlineStr">
        <is>
          <t>贴牌客户作为制造商通常需要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26" customWidth="1" min="3" max="3"/>
    <col width="12" customWidth="1" min="4" max="4"/>
    <col width="22" customWidth="1" min="5" max="5"/>
    <col width="40" customWidth="1" min="6" max="6"/>
  </cols>
  <sheetData>
    <row r="1">
      <c r="A1" s="2" t="inlineStr">
        <is>
          <t>周期</t>
        </is>
      </c>
      <c r="B1" s="2" t="inlineStr">
        <is>
          <t>动作</t>
        </is>
      </c>
      <c r="C1" s="2" t="inlineStr">
        <is>
          <t>数量/频率</t>
        </is>
      </c>
      <c r="D1" s="2" t="inlineStr">
        <is>
          <t>负责人</t>
        </is>
      </c>
      <c r="E1" s="2" t="inlineStr">
        <is>
          <t>看什么数</t>
        </is>
      </c>
      <c r="F1" s="2" t="inlineStr">
        <is>
          <t>备注</t>
        </is>
      </c>
    </row>
    <row r="2">
      <c r="A2" s="3" t="inlineStr">
        <is>
          <t>每日</t>
        </is>
      </c>
      <c r="B2" s="3" t="inlineStr">
        <is>
          <t>新进名单+打分入池</t>
        </is>
      </c>
      <c r="C2" s="3" t="inlineStr">
        <is>
          <t>15-20 家</t>
        </is>
      </c>
      <c r="D2" s="3" t="inlineStr">
        <is>
          <t>开发</t>
        </is>
      </c>
      <c r="E2" s="3" t="inlineStr">
        <is>
          <t>新增名单</t>
        </is>
      </c>
      <c r="F2" s="3" t="inlineStr">
        <is>
          <t>宁可精准300不要垃圾3000</t>
        </is>
      </c>
    </row>
    <row r="3">
      <c r="A3" s="3" t="inlineStr">
        <is>
          <t>每日</t>
        </is>
      </c>
      <c r="B3" s="3" t="inlineStr">
        <is>
          <t>LinkedIn 邀请</t>
        </is>
      </c>
      <c r="C3" s="3" t="inlineStr">
        <is>
          <t>15-20（每周总量≤100）</t>
        </is>
      </c>
      <c r="D3" s="3" t="inlineStr">
        <is>
          <t>开发</t>
        </is>
      </c>
      <c r="E3" s="3" t="inlineStr">
        <is>
          <t>接受率≥35%</t>
        </is>
      </c>
      <c r="F3" s="3" t="inlineStr">
        <is>
          <t>新号前两周每天≤10</t>
        </is>
      </c>
    </row>
    <row r="4">
      <c r="A4" s="3" t="inlineStr">
        <is>
          <t>每日</t>
        </is>
      </c>
      <c r="B4" s="3" t="inlineStr">
        <is>
          <t>首触/跟进</t>
        </is>
      </c>
      <c r="C4" s="3" t="inlineStr">
        <is>
          <t>20-30</t>
        </is>
      </c>
      <c r="D4" s="3" t="inlineStr">
        <is>
          <t>开发</t>
        </is>
      </c>
      <c r="E4" s="3" t="inlineStr">
        <is>
          <t>回复率</t>
        </is>
      </c>
      <c r="F4" s="3" t="inlineStr">
        <is>
          <t>LinkedIn+邮件混合</t>
        </is>
      </c>
    </row>
    <row r="5">
      <c r="A5" s="3" t="inlineStr">
        <is>
          <t>每日</t>
        </is>
      </c>
      <c r="B5" s="3" t="inlineStr">
        <is>
          <t>处理回复</t>
        </is>
      </c>
      <c r="C5" s="3" t="inlineStr">
        <is>
          <t>2 小时内</t>
        </is>
      </c>
      <c r="D5" s="3" t="inlineStr">
        <is>
          <t>开发</t>
        </is>
      </c>
      <c r="E5" s="3" t="inlineStr">
        <is>
          <t>—</t>
        </is>
      </c>
      <c r="F5" s="3" t="inlineStr">
        <is>
          <t>超过2小时转化率腰斩</t>
        </is>
      </c>
    </row>
    <row r="6">
      <c r="A6" s="3" t="inlineStr">
        <is>
          <t>每日</t>
        </is>
      </c>
      <c r="B6" s="3" t="inlineStr">
        <is>
          <t>更新 CRM / 明日跟进</t>
        </is>
      </c>
      <c r="C6" s="3" t="inlineStr">
        <is>
          <t>下班前</t>
        </is>
      </c>
      <c r="D6" s="3" t="inlineStr">
        <is>
          <t>开发</t>
        </is>
      </c>
      <c r="E6" s="3" t="inlineStr">
        <is>
          <t>—</t>
        </is>
      </c>
      <c r="F6" s="3" t="inlineStr">
        <is>
          <t>客户不得停在'已触达'&gt;21天</t>
        </is>
      </c>
    </row>
    <row r="7">
      <c r="A7" s="3" t="inlineStr">
        <is>
          <t>每周二/四</t>
        </is>
      </c>
      <c r="B7" s="3" t="inlineStr">
        <is>
          <t>内容发布</t>
        </is>
      </c>
      <c r="C7" s="3" t="inlineStr">
        <is>
          <t>各 1 条</t>
        </is>
      </c>
      <c r="D7" s="3" t="inlineStr">
        <is>
          <t>内容</t>
        </is>
      </c>
      <c r="E7" s="3" t="inlineStr">
        <is>
          <t>互动率</t>
        </is>
      </c>
      <c r="F7" s="3" t="inlineStr">
        <is>
          <t>技术型 &gt; 广告型</t>
        </is>
      </c>
    </row>
    <row r="8">
      <c r="A8" s="3" t="inlineStr">
        <is>
          <t>每周五</t>
        </is>
      </c>
      <c r="B8" s="3" t="inlineStr">
        <is>
          <t>漏斗复盘</t>
        </is>
      </c>
      <c r="C8" s="3" t="inlineStr">
        <is>
          <t>1 小时</t>
        </is>
      </c>
      <c r="D8" s="3" t="inlineStr">
        <is>
          <t>负责人</t>
        </is>
      </c>
      <c r="E8" s="3" t="inlineStr">
        <is>
          <t>全漏斗</t>
        </is>
      </c>
      <c r="F8" s="3" t="inlineStr">
        <is>
          <t>砍掉最差管道的10%动作</t>
        </is>
      </c>
    </row>
    <row r="9">
      <c r="A9" s="3" t="inlineStr">
        <is>
          <t>每周五</t>
        </is>
      </c>
      <c r="B9" s="3" t="inlineStr">
        <is>
          <t>周报</t>
        </is>
      </c>
      <c r="C9" s="3" t="inlineStr">
        <is>
          <t>1 篇</t>
        </is>
      </c>
      <c r="D9" s="3" t="inlineStr">
        <is>
          <t>负责人</t>
        </is>
      </c>
      <c r="E9" s="3" t="inlineStr">
        <is>
          <t>—</t>
        </is>
      </c>
      <c r="F9" s="3" t="inlineStr">
        <is>
          <t>见手册附录A</t>
        </is>
      </c>
    </row>
    <row r="10">
      <c r="A10" s="3" t="inlineStr">
        <is>
          <t>每月</t>
        </is>
      </c>
      <c r="B10" s="3" t="inlineStr">
        <is>
          <t>A 类深挖（找老板/技术总监）</t>
        </is>
      </c>
      <c r="C10" s="3" t="inlineStr">
        <is>
          <t>30 家</t>
        </is>
      </c>
      <c r="D10" s="3" t="inlineStr">
        <is>
          <t>开发</t>
        </is>
      </c>
      <c r="E10" s="3" t="inlineStr">
        <is>
          <t>A类池 40-60 家</t>
        </is>
      </c>
      <c r="F10" s="3" t="inlineStr">
        <is>
          <t>定制化技术资料</t>
        </is>
      </c>
    </row>
    <row r="11">
      <c r="A11" s="3" t="inlineStr">
        <is>
          <t>每月</t>
        </is>
      </c>
      <c r="B11" s="3" t="inlineStr">
        <is>
          <t>线上 demo / POC 复盘</t>
        </is>
      </c>
      <c r="C11" s="3" t="inlineStr">
        <is>
          <t>2 次</t>
        </is>
      </c>
      <c r="D11" s="3" t="inlineStr">
        <is>
          <t>技术</t>
        </is>
      </c>
      <c r="E11" s="3" t="inlineStr">
        <is>
          <t>POC 通过率</t>
        </is>
      </c>
      <c r="F11" s="3" t="inlineStr"/>
    </row>
    <row r="12">
      <c r="A12" s="3" t="inlineStr">
        <is>
          <t>每月</t>
        </is>
      </c>
      <c r="B12" s="3" t="inlineStr">
        <is>
          <t>案例或技术文章</t>
        </is>
      </c>
      <c r="C12" s="3" t="inlineStr">
        <is>
          <t>1 篇</t>
        </is>
      </c>
      <c r="D12" s="3" t="inlineStr">
        <is>
          <t>内容</t>
        </is>
      </c>
      <c r="E12" s="3" t="inlineStr">
        <is>
          <t>—</t>
        </is>
      </c>
      <c r="F12" s="3" t="inlineStr">
        <is>
          <t>累计12篇/年</t>
        </is>
      </c>
    </row>
    <row r="13">
      <c r="A13" s="3" t="inlineStr">
        <is>
          <t>每月</t>
        </is>
      </c>
      <c r="B13" s="3" t="inlineStr">
        <is>
          <t>渠道价格与竞品复核</t>
        </is>
      </c>
      <c r="C13" s="3" t="inlineStr">
        <is>
          <t>1 次</t>
        </is>
      </c>
      <c r="D13" s="3" t="inlineStr">
        <is>
          <t>负责人</t>
        </is>
      </c>
      <c r="E13" s="3" t="inlineStr">
        <is>
          <t>—</t>
        </is>
      </c>
      <c r="F13" s="3" t="inlineStr"/>
    </row>
    <row r="14">
      <c r="A14" s="3" t="inlineStr">
        <is>
          <t>每季</t>
        </is>
      </c>
      <c r="B14" s="3" t="inlineStr">
        <is>
          <t>展会或客户拜访</t>
        </is>
      </c>
      <c r="C14" s="3" t="inlineStr">
        <is>
          <t>1 次</t>
        </is>
      </c>
      <c r="D14" s="3" t="inlineStr">
        <is>
          <t>负责人</t>
        </is>
      </c>
      <c r="E14" s="3" t="inlineStr">
        <is>
          <t>有效名片数</t>
        </is>
      </c>
      <c r="F14" s="3" t="inlineStr">
        <is>
          <t>会前40家预约会</t>
        </is>
      </c>
    </row>
    <row r="15">
      <c r="A15" s="3" t="inlineStr">
        <is>
          <t>每季</t>
        </is>
      </c>
      <c r="B15" s="3" t="inlineStr">
        <is>
          <t>产品-市场匹配回顾</t>
        </is>
      </c>
      <c r="C15" s="3" t="inlineStr">
        <is>
          <t>1 次</t>
        </is>
      </c>
      <c r="D15" s="3" t="inlineStr">
        <is>
          <t>负责人</t>
        </is>
      </c>
      <c r="E15" s="3" t="inlineStr">
        <is>
          <t>缺口台账频次</t>
        </is>
      </c>
      <c r="F15" s="3" t="inlineStr">
        <is>
          <t>同一需求出现3次→向SmartByte提案</t>
        </is>
      </c>
    </row>
    <row r="16">
      <c r="A16" s="3" t="inlineStr">
        <is>
          <t>每年</t>
        </is>
      </c>
      <c r="B16" s="3" t="inlineStr">
        <is>
          <t>展会</t>
        </is>
      </c>
      <c r="C16" s="3" t="inlineStr">
        <is>
          <t>2-3 次</t>
        </is>
      </c>
      <c r="D16" s="3" t="inlineStr">
        <is>
          <t>负责人</t>
        </is>
      </c>
      <c r="E16" s="3" t="inlineStr">
        <is>
          <t>—</t>
        </is>
      </c>
      <c r="F16" s="3" t="inlineStr">
        <is>
          <t>MUM / embedded world / Intertraffic 优先</t>
        </is>
      </c>
    </row>
    <row r="17">
      <c r="A17" s="3" t="inlineStr">
        <is>
          <t>每年</t>
        </is>
      </c>
      <c r="B17" s="3" t="inlineStr">
        <is>
          <t>与 SmartByte 年度共创会</t>
        </is>
      </c>
      <c r="C17" s="3" t="inlineStr">
        <is>
          <t>1 次</t>
        </is>
      </c>
      <c r="D17" s="3" t="inlineStr">
        <is>
          <t>负责人</t>
        </is>
      </c>
      <c r="E17" s="3" t="inlineStr">
        <is>
          <t>新品转化数</t>
        </is>
      </c>
      <c r="F17" s="3" t="inlineStr">
        <is>
          <t>把客户缺口变明年新品</t>
        </is>
      </c>
    </row>
    <row r="18">
      <c r="A18" s="3" t="inlineStr"/>
      <c r="B18" s="3" t="inlineStr"/>
      <c r="C18" s="3" t="inlineStr"/>
      <c r="D18" s="3" t="inlineStr"/>
      <c r="E18" s="3" t="inlineStr"/>
      <c r="F18" s="3" t="inlineStr"/>
    </row>
    <row r="19">
      <c r="A19" s="3" t="inlineStr">
        <is>
          <t>指标</t>
        </is>
      </c>
      <c r="B19" s="3" t="inlineStr">
        <is>
          <t>起步期(月)</t>
        </is>
      </c>
      <c r="C19" s="3" t="inlineStr">
        <is>
          <t>稳定期(月)</t>
        </is>
      </c>
      <c r="D19" s="3" t="inlineStr"/>
      <c r="E19" s="3" t="inlineStr"/>
      <c r="F19" s="3" t="inlineStr"/>
    </row>
    <row r="20">
      <c r="A20" s="3" t="inlineStr">
        <is>
          <t>新增名单</t>
        </is>
      </c>
      <c r="B20" s="3" t="inlineStr">
        <is>
          <t>300-400</t>
        </is>
      </c>
      <c r="C20" s="3" t="inlineStr">
        <is>
          <t>200-300</t>
        </is>
      </c>
      <c r="D20" s="3" t="inlineStr"/>
      <c r="E20" s="3" t="inlineStr"/>
      <c r="F20" s="3" t="inlineStr"/>
    </row>
    <row r="21">
      <c r="A21" s="3" t="inlineStr">
        <is>
          <t>触达次数</t>
        </is>
      </c>
      <c r="B21" s="3" t="inlineStr">
        <is>
          <t>500-600</t>
        </is>
      </c>
      <c r="C21" s="3" t="inlineStr">
        <is>
          <t>400-500</t>
        </is>
      </c>
      <c r="D21" s="3" t="inlineStr"/>
      <c r="E21" s="3" t="inlineStr"/>
      <c r="F21" s="3" t="inlineStr"/>
    </row>
    <row r="22">
      <c r="A22" s="3" t="inlineStr">
        <is>
          <t>LinkedIn 邀请</t>
        </is>
      </c>
      <c r="B22" s="3" t="inlineStr">
        <is>
          <t>250-300</t>
        </is>
      </c>
      <c r="C22" s="3" t="inlineStr">
        <is>
          <t>200-250</t>
        </is>
      </c>
      <c r="D22" s="3" t="inlineStr"/>
      <c r="E22" s="3" t="inlineStr"/>
      <c r="F22" s="3" t="inlineStr"/>
    </row>
    <row r="23">
      <c r="A23" s="3" t="inlineStr">
        <is>
          <t>邮件发送</t>
        </is>
      </c>
      <c r="B23" s="3" t="inlineStr">
        <is>
          <t>400-600</t>
        </is>
      </c>
      <c r="C23" s="3" t="inlineStr">
        <is>
          <t>400-600</t>
        </is>
      </c>
      <c r="D23" s="3" t="inlineStr"/>
      <c r="E23" s="3" t="inlineStr"/>
      <c r="F23" s="3" t="inlineStr"/>
    </row>
    <row r="24">
      <c r="A24" s="3" t="inlineStr">
        <is>
          <t>邀请接受率</t>
        </is>
      </c>
      <c r="B24" s="3" t="inlineStr">
        <is>
          <t>—</t>
        </is>
      </c>
      <c r="C24" s="3" t="inlineStr">
        <is>
          <t>≥35%</t>
        </is>
      </c>
      <c r="D24" s="3" t="inlineStr"/>
      <c r="E24" s="3" t="inlineStr"/>
      <c r="F24" s="3" t="inlineStr"/>
    </row>
    <row r="25">
      <c r="A25" s="3" t="inlineStr">
        <is>
          <t>邮件回复率</t>
        </is>
      </c>
      <c r="B25" s="3" t="inlineStr">
        <is>
          <t>—</t>
        </is>
      </c>
      <c r="C25" s="3" t="inlineStr">
        <is>
          <t>≥6%</t>
        </is>
      </c>
      <c r="D25" s="3" t="inlineStr"/>
      <c r="E25" s="3" t="inlineStr"/>
      <c r="F25" s="3" t="inlineStr"/>
    </row>
    <row r="26">
      <c r="A26" s="3" t="inlineStr">
        <is>
          <t>月度漏斗</t>
        </is>
      </c>
      <c r="B26" s="3" t="inlineStr">
        <is>
          <t>400触达→30回复→8技术对话→6样机→8报价→1-2首单</t>
        </is>
      </c>
      <c r="C26" s="3" t="inlineStr"/>
      <c r="D26" s="3" t="inlineStr"/>
      <c r="E26" s="3" t="inlineStr"/>
      <c r="F26" s="3" t="inlineStr"/>
    </row>
    <row r="27">
      <c r="A27" s="3" t="inlineStr">
        <is>
          <t>12个月目标</t>
        </is>
      </c>
      <c r="B27" s="3" t="inlineStr">
        <is>
          <t>新客户15-25家(OEM 3-5家) / 出货8-15k台 / 复购率≥50%</t>
        </is>
      </c>
      <c r="C27" s="3" t="inlineStr"/>
      <c r="D27" s="3" t="inlineStr"/>
      <c r="E27" s="3" t="inlineStr"/>
      <c r="F27" s="3" t="inlineStr"/>
    </row>
    <row r="28">
      <c r="A28" s="3" t="inlineStr">
        <is>
          <t>预算 轻模式</t>
        </is>
      </c>
      <c r="B28" s="3" t="inlineStr">
        <is>
          <t>≈ US$27k/年</t>
        </is>
      </c>
      <c r="C28" s="3" t="inlineStr"/>
      <c r="D28" s="3" t="inlineStr"/>
      <c r="E28" s="3" t="inlineStr"/>
      <c r="F28" s="3" t="inlineStr"/>
    </row>
    <row r="29">
      <c r="A29" s="3" t="inlineStr">
        <is>
          <t>预算 标准模式</t>
        </is>
      </c>
      <c r="B29" s="3" t="inlineStr">
        <is>
          <t>≈ US$87k/年（含参展+本地BD）</t>
        </is>
      </c>
      <c r="C29" s="3" t="inlineStr"/>
      <c r="D29" s="3" t="inlineStr"/>
      <c r="E29" s="3" t="inlineStr"/>
      <c r="F29" s="3" t="inlineStr"/>
    </row>
    <row r="30">
      <c r="A30" s="3" t="inlineStr">
        <is>
          <t>ROI门槛</t>
        </is>
      </c>
      <c r="B30" s="3" t="inlineStr">
        <is>
          <t>1个OEM客户 = 年3k台 × 毛利$15 = $45k</t>
        </is>
      </c>
      <c r="C30" s="3" t="inlineStr"/>
      <c r="D30" s="3" t="inlineStr"/>
      <c r="E30" s="3" t="inlineStr"/>
      <c r="F30" s="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7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10" customWidth="1" min="3" max="3"/>
    <col width="14" customWidth="1" min="4" max="4"/>
    <col width="16" customWidth="1" min="5" max="5"/>
    <col width="10" customWidth="1" min="6" max="6"/>
    <col width="34" customWidth="1" min="7" max="7"/>
  </cols>
  <sheetData>
    <row r="1" ht="45" customHeight="1">
      <c r="A1" s="6" t="inlineStr">
        <is>
          <t>说明：UN Comtrade，Reporter=Latvia(428)，HS 851762（交换/路由设备），Export，2024，FOB USD。MikroTik 占拉脱维亚该税号出口 3/4 以上，可视为 MikroTik 分销商进货地图。全球合计 USD 422,324,814。</t>
        </is>
      </c>
    </row>
    <row r="2">
      <c r="A2" s="5" t="inlineStr">
        <is>
          <t>排名</t>
        </is>
      </c>
      <c r="B2" s="5" t="inlineStr">
        <is>
          <t>国家/地区</t>
        </is>
      </c>
      <c r="C2" s="5" t="inlineStr">
        <is>
          <t>M49 代码</t>
        </is>
      </c>
      <c r="D2" s="5" t="inlineStr">
        <is>
          <t>区域</t>
        </is>
      </c>
      <c r="E2" s="5" t="inlineStr">
        <is>
          <t>出口额 USD</t>
        </is>
      </c>
      <c r="F2" s="5" t="inlineStr">
        <is>
          <t>占全球 %</t>
        </is>
      </c>
      <c r="G2" s="5" t="inlineStr">
        <is>
          <t>备注</t>
        </is>
      </c>
    </row>
    <row r="3">
      <c r="A3" t="n">
        <v>1</v>
      </c>
      <c r="B3" t="inlineStr">
        <is>
          <t>美国</t>
        </is>
      </c>
      <c r="C3" t="n">
        <v>842</v>
      </c>
      <c r="D3" t="inlineStr">
        <is>
          <t>北美</t>
        </is>
      </c>
      <c r="E3" s="7" t="n">
        <v>50994438</v>
      </c>
      <c r="F3" s="8">
        <f>E3/422324814</f>
        <v/>
      </c>
      <c r="G3" t="inlineStr">
        <is>
          <t>对华关税约 37.5%（2026-09）</t>
        </is>
      </c>
    </row>
    <row r="4">
      <c r="A4" t="n">
        <v>2</v>
      </c>
      <c r="B4" t="inlineStr">
        <is>
          <t>阿联酋(转口枢纽)</t>
        </is>
      </c>
      <c r="C4" t="n">
        <v>784</v>
      </c>
      <c r="D4" t="inlineStr">
        <is>
          <t>中东/土耳其</t>
        </is>
      </c>
      <c r="E4" s="7" t="n">
        <v>43018484</v>
      </c>
      <c r="F4" s="8">
        <f>E4/422324814</f>
        <v/>
      </c>
      <c r="G4" t="inlineStr">
        <is>
          <t>转口枢纽→中东/非洲/南亚</t>
        </is>
      </c>
    </row>
    <row r="5">
      <c r="A5" t="n">
        <v>3</v>
      </c>
      <c r="B5" t="inlineStr">
        <is>
          <t>波兰</t>
        </is>
      </c>
      <c r="C5" t="n">
        <v>616</v>
      </c>
      <c r="D5" t="inlineStr">
        <is>
          <t>欧洲</t>
        </is>
      </c>
      <c r="E5" s="7" t="n">
        <v>34368342</v>
      </c>
      <c r="F5" s="8">
        <f>E5/422324814</f>
        <v/>
      </c>
      <c r="G5" t="inlineStr">
        <is>
          <t>欧洲第一 MikroTik 国</t>
        </is>
      </c>
    </row>
    <row r="6">
      <c r="A6" t="n">
        <v>4</v>
      </c>
      <c r="B6" t="inlineStr">
        <is>
          <t>立陶宛(波罗的海分销枢纽)</t>
        </is>
      </c>
      <c r="C6" t="n">
        <v>440</v>
      </c>
      <c r="D6" t="inlineStr">
        <is>
          <t>欧洲</t>
        </is>
      </c>
      <c r="E6" s="7" t="n">
        <v>32525290</v>
      </c>
      <c r="F6" s="8">
        <f>E6/422324814</f>
        <v/>
      </c>
      <c r="G6" t="inlineStr">
        <is>
          <t>波罗的海分销枢纽</t>
        </is>
      </c>
    </row>
    <row r="7">
      <c r="A7" t="n">
        <v>5</v>
      </c>
      <c r="B7" t="inlineStr">
        <is>
          <t>捷克</t>
        </is>
      </c>
      <c r="C7" t="n">
        <v>203</v>
      </c>
      <c r="D7" t="inlineStr">
        <is>
          <t>欧洲</t>
        </is>
      </c>
      <c r="E7" s="7" t="n">
        <v>21822977</v>
      </c>
      <c r="F7" s="8">
        <f>E7/422324814</f>
        <v/>
      </c>
      <c r="G7" t="inlineStr">
        <is>
          <t>WISP 密度极高</t>
        </is>
      </c>
    </row>
    <row r="8">
      <c r="A8" t="n">
        <v>6</v>
      </c>
      <c r="B8" t="inlineStr">
        <is>
          <t>德国</t>
        </is>
      </c>
      <c r="C8" t="n">
        <v>276</v>
      </c>
      <c r="D8" t="inlineStr">
        <is>
          <t>欧洲</t>
        </is>
      </c>
      <c r="E8" s="7" t="n">
        <v>16002618</v>
      </c>
      <c r="F8" s="8">
        <f>E8/422324814</f>
        <v/>
      </c>
    </row>
    <row r="9">
      <c r="A9" t="n">
        <v>7</v>
      </c>
      <c r="B9" t="inlineStr">
        <is>
          <t>中国香港(转口枢纽)</t>
        </is>
      </c>
      <c r="C9" t="n">
        <v>344</v>
      </c>
      <c r="D9" t="inlineStr">
        <is>
          <t>亚太</t>
        </is>
      </c>
      <c r="E9" s="7" t="n">
        <v>15962714</v>
      </c>
      <c r="F9" s="8">
        <f>E9/422324814</f>
        <v/>
      </c>
      <c r="G9" t="inlineStr">
        <is>
          <t>转口枢纽→东南亚/南亚</t>
        </is>
      </c>
    </row>
    <row r="10">
      <c r="A10" t="n">
        <v>8</v>
      </c>
      <c r="B10" t="inlineStr">
        <is>
          <t>南非</t>
        </is>
      </c>
      <c r="C10" t="n">
        <v>710</v>
      </c>
      <c r="D10" t="inlineStr">
        <is>
          <t>非洲</t>
        </is>
      </c>
      <c r="E10" s="7" t="n">
        <v>11426199</v>
      </c>
      <c r="F10" s="8">
        <f>E10/422324814</f>
        <v/>
      </c>
    </row>
    <row r="11">
      <c r="A11" t="n">
        <v>9</v>
      </c>
      <c r="B11" t="inlineStr">
        <is>
          <t>印度尼西亚</t>
        </is>
      </c>
      <c r="C11" t="n">
        <v>360</v>
      </c>
      <c r="D11" t="inlineStr">
        <is>
          <t>亚太</t>
        </is>
      </c>
      <c r="E11" s="7" t="n">
        <v>11250898</v>
      </c>
      <c r="F11" s="8">
        <f>E11/422324814</f>
        <v/>
      </c>
    </row>
    <row r="12">
      <c r="A12" t="n">
        <v>10</v>
      </c>
      <c r="B12" t="inlineStr">
        <is>
          <t>哈萨克斯坦</t>
        </is>
      </c>
      <c r="C12" t="n">
        <v>398</v>
      </c>
      <c r="D12" t="inlineStr">
        <is>
          <t>独联体/中亚</t>
        </is>
      </c>
      <c r="E12" s="7" t="n">
        <v>10925270</v>
      </c>
      <c r="F12" s="8">
        <f>E12/422324814</f>
        <v/>
      </c>
    </row>
    <row r="13">
      <c r="A13" t="n">
        <v>11</v>
      </c>
      <c r="B13" t="inlineStr">
        <is>
          <t>英国</t>
        </is>
      </c>
      <c r="C13" t="n">
        <v>826</v>
      </c>
      <c r="D13" t="inlineStr">
        <is>
          <t>欧洲</t>
        </is>
      </c>
      <c r="E13" s="7" t="n">
        <v>8784753</v>
      </c>
      <c r="F13" s="8">
        <f>E13/422324814</f>
        <v/>
      </c>
    </row>
    <row r="14">
      <c r="A14" t="n">
        <v>12</v>
      </c>
      <c r="B14" t="inlineStr">
        <is>
          <t>爱沙尼亚</t>
        </is>
      </c>
      <c r="C14" t="n">
        <v>233</v>
      </c>
      <c r="D14" t="inlineStr">
        <is>
          <t>欧洲</t>
        </is>
      </c>
      <c r="E14" s="7" t="n">
        <v>8754532</v>
      </c>
      <c r="F14" s="8">
        <f>E14/422324814</f>
        <v/>
      </c>
      <c r="G14" t="inlineStr">
        <is>
          <t>波罗的海分销枢纽</t>
        </is>
      </c>
    </row>
    <row r="15">
      <c r="A15" t="n">
        <v>13</v>
      </c>
      <c r="B15" t="inlineStr">
        <is>
          <t>乌克兰</t>
        </is>
      </c>
      <c r="C15" t="n">
        <v>804</v>
      </c>
      <c r="D15" t="inlineStr">
        <is>
          <t>欧洲</t>
        </is>
      </c>
      <c r="E15" s="7" t="n">
        <v>8206878</v>
      </c>
      <c r="F15" s="8">
        <f>E15/422324814</f>
        <v/>
      </c>
    </row>
    <row r="16">
      <c r="A16" t="n">
        <v>14</v>
      </c>
      <c r="B16" t="inlineStr">
        <is>
          <t>意大利</t>
        </is>
      </c>
      <c r="C16" t="n">
        <v>380</v>
      </c>
      <c r="D16" t="inlineStr">
        <is>
          <t>欧洲</t>
        </is>
      </c>
      <c r="E16" s="7" t="n">
        <v>8186541</v>
      </c>
      <c r="F16" s="8">
        <f>E16/422324814</f>
        <v/>
      </c>
    </row>
    <row r="17">
      <c r="A17" t="n">
        <v>15</v>
      </c>
      <c r="B17" t="inlineStr">
        <is>
          <t>土耳其</t>
        </is>
      </c>
      <c r="C17" t="n">
        <v>792</v>
      </c>
      <c r="D17" t="inlineStr">
        <is>
          <t>中东/土耳其</t>
        </is>
      </c>
      <c r="E17" s="7" t="n">
        <v>7652474</v>
      </c>
      <c r="F17" s="8">
        <f>E17/422324814</f>
        <v/>
      </c>
      <c r="G17" t="inlineStr">
        <is>
          <t>你已有 NMS 客户</t>
        </is>
      </c>
    </row>
    <row r="18">
      <c r="A18" t="n">
        <v>16</v>
      </c>
      <c r="B18" t="inlineStr">
        <is>
          <t>西班牙</t>
        </is>
      </c>
      <c r="C18" t="n">
        <v>724</v>
      </c>
      <c r="D18" t="inlineStr">
        <is>
          <t>欧洲</t>
        </is>
      </c>
      <c r="E18" s="7" t="n">
        <v>7284155</v>
      </c>
      <c r="F18" s="8">
        <f>E18/422324814</f>
        <v/>
      </c>
    </row>
    <row r="19">
      <c r="A19" t="n">
        <v>17</v>
      </c>
      <c r="B19" t="inlineStr">
        <is>
          <t>荷兰</t>
        </is>
      </c>
      <c r="C19" t="n">
        <v>528</v>
      </c>
      <c r="D19" t="inlineStr">
        <is>
          <t>欧洲</t>
        </is>
      </c>
      <c r="E19" s="7" t="n">
        <v>6532562</v>
      </c>
      <c r="F19" s="8">
        <f>E19/422324814</f>
        <v/>
      </c>
    </row>
    <row r="20">
      <c r="A20" t="n">
        <v>18</v>
      </c>
      <c r="B20" t="inlineStr">
        <is>
          <t>巴西</t>
        </is>
      </c>
      <c r="C20" t="n">
        <v>76</v>
      </c>
      <c r="D20" t="inlineStr">
        <is>
          <t>拉美</t>
        </is>
      </c>
      <c r="E20" s="7" t="n">
        <v>5655456</v>
      </c>
      <c r="F20" s="8">
        <f>E20/422324814</f>
        <v/>
      </c>
    </row>
    <row r="21">
      <c r="A21" t="n">
        <v>19</v>
      </c>
      <c r="B21" t="inlineStr">
        <is>
          <t>奥地利</t>
        </is>
      </c>
      <c r="C21" t="n">
        <v>40</v>
      </c>
      <c r="D21" t="inlineStr">
        <is>
          <t>欧洲</t>
        </is>
      </c>
      <c r="E21" s="7" t="n">
        <v>4567730</v>
      </c>
      <c r="F21" s="8">
        <f>E21/422324814</f>
        <v/>
      </c>
    </row>
    <row r="22">
      <c r="A22" t="n">
        <v>20</v>
      </c>
      <c r="B22" t="inlineStr">
        <is>
          <t>新加坡</t>
        </is>
      </c>
      <c r="C22" t="n">
        <v>702</v>
      </c>
      <c r="D22" t="inlineStr">
        <is>
          <t>亚太</t>
        </is>
      </c>
      <c r="E22" s="7" t="n">
        <v>4496379</v>
      </c>
      <c r="F22" s="8">
        <f>E22/422324814</f>
        <v/>
      </c>
      <c r="G22" t="inlineStr">
        <is>
          <t>转口枢纽</t>
        </is>
      </c>
    </row>
    <row r="23">
      <c r="A23" t="n">
        <v>21</v>
      </c>
      <c r="B23" t="inlineStr">
        <is>
          <t>中国大陆</t>
        </is>
      </c>
      <c r="C23" t="n">
        <v>156</v>
      </c>
      <c r="D23" t="inlineStr">
        <is>
          <t>亚太</t>
        </is>
      </c>
      <c r="E23" s="7" t="n">
        <v>4493322</v>
      </c>
      <c r="F23" s="8">
        <f>E23/422324814</f>
        <v/>
      </c>
    </row>
    <row r="24">
      <c r="A24" t="n">
        <v>22</v>
      </c>
      <c r="B24" t="inlineStr">
        <is>
          <t>加拿大</t>
        </is>
      </c>
      <c r="C24" t="n">
        <v>124</v>
      </c>
      <c r="D24" t="inlineStr">
        <is>
          <t>北美</t>
        </is>
      </c>
      <c r="E24" s="7" t="n">
        <v>4469245</v>
      </c>
      <c r="F24" s="8">
        <f>E24/422324814</f>
        <v/>
      </c>
    </row>
    <row r="25">
      <c r="A25" t="n">
        <v>23</v>
      </c>
      <c r="B25" t="inlineStr">
        <is>
          <t>哥伦比亚</t>
        </is>
      </c>
      <c r="C25" t="n">
        <v>170</v>
      </c>
      <c r="D25" t="inlineStr">
        <is>
          <t>拉美</t>
        </is>
      </c>
      <c r="E25" s="7" t="n">
        <v>3752926</v>
      </c>
      <c r="F25" s="8">
        <f>E25/422324814</f>
        <v/>
      </c>
    </row>
    <row r="26">
      <c r="A26" t="n">
        <v>24</v>
      </c>
      <c r="B26" t="inlineStr">
        <is>
          <t>保加利亚</t>
        </is>
      </c>
      <c r="C26" t="n">
        <v>100</v>
      </c>
      <c r="D26" t="inlineStr">
        <is>
          <t>欧洲</t>
        </is>
      </c>
      <c r="E26" s="7" t="n">
        <v>3606615</v>
      </c>
      <c r="F26" s="8">
        <f>E26/422324814</f>
        <v/>
      </c>
    </row>
    <row r="27">
      <c r="A27" t="n">
        <v>25</v>
      </c>
      <c r="B27" t="inlineStr">
        <is>
          <t>澳大利亚</t>
        </is>
      </c>
      <c r="C27" t="n">
        <v>36</v>
      </c>
      <c r="D27" t="inlineStr">
        <is>
          <t>亚太</t>
        </is>
      </c>
      <c r="E27" s="7" t="n">
        <v>3596152</v>
      </c>
      <c r="F27" s="8">
        <f>E27/422324814</f>
        <v/>
      </c>
    </row>
    <row r="28">
      <c r="A28" t="n">
        <v>26</v>
      </c>
      <c r="B28" t="inlineStr">
        <is>
          <t>匈牙利</t>
        </is>
      </c>
      <c r="C28" t="n">
        <v>348</v>
      </c>
      <c r="D28" t="inlineStr">
        <is>
          <t>欧洲</t>
        </is>
      </c>
      <c r="E28" s="7" t="n">
        <v>3207035</v>
      </c>
      <c r="F28" s="8">
        <f>E28/422324814</f>
        <v/>
      </c>
    </row>
    <row r="29">
      <c r="A29" t="n">
        <v>27</v>
      </c>
      <c r="B29" t="inlineStr">
        <is>
          <t>瑞典</t>
        </is>
      </c>
      <c r="C29" t="n">
        <v>752</v>
      </c>
      <c r="D29" t="inlineStr">
        <is>
          <t>欧洲</t>
        </is>
      </c>
      <c r="E29" s="7" t="n">
        <v>3137243</v>
      </c>
      <c r="F29" s="8">
        <f>E29/422324814</f>
        <v/>
      </c>
    </row>
    <row r="30">
      <c r="A30" t="n">
        <v>28</v>
      </c>
      <c r="B30" t="inlineStr">
        <is>
          <t>越南</t>
        </is>
      </c>
      <c r="C30" t="n">
        <v>704</v>
      </c>
      <c r="D30" t="inlineStr">
        <is>
          <t>亚太</t>
        </is>
      </c>
      <c r="E30" s="7" t="n">
        <v>2733552</v>
      </c>
      <c r="F30" s="8">
        <f>E30/422324814</f>
        <v/>
      </c>
    </row>
    <row r="31">
      <c r="A31" t="n">
        <v>29</v>
      </c>
      <c r="B31" t="inlineStr">
        <is>
          <t>智利</t>
        </is>
      </c>
      <c r="C31" t="n">
        <v>152</v>
      </c>
      <c r="D31" t="inlineStr">
        <is>
          <t>拉美</t>
        </is>
      </c>
      <c r="E31" s="7" t="n">
        <v>2721330</v>
      </c>
      <c r="F31" s="8">
        <f>E31/422324814</f>
        <v/>
      </c>
    </row>
    <row r="32">
      <c r="A32" t="n">
        <v>30</v>
      </c>
      <c r="B32" t="inlineStr">
        <is>
          <t>秘鲁</t>
        </is>
      </c>
      <c r="C32" t="n">
        <v>604</v>
      </c>
      <c r="D32" t="inlineStr">
        <is>
          <t>拉美</t>
        </is>
      </c>
      <c r="E32" s="7" t="n">
        <v>2713158</v>
      </c>
      <c r="F32" s="8">
        <f>E32/422324814</f>
        <v/>
      </c>
    </row>
    <row r="33">
      <c r="A33" t="n">
        <v>31</v>
      </c>
      <c r="B33" t="inlineStr">
        <is>
          <t>泰国</t>
        </is>
      </c>
      <c r="C33" t="n">
        <v>764</v>
      </c>
      <c r="D33" t="inlineStr">
        <is>
          <t>亚太</t>
        </is>
      </c>
      <c r="E33" s="7" t="n">
        <v>2464546</v>
      </c>
      <c r="F33" s="8">
        <f>E33/422324814</f>
        <v/>
      </c>
    </row>
    <row r="34">
      <c r="A34" t="n">
        <v>32</v>
      </c>
      <c r="B34" t="inlineStr">
        <is>
          <t>希腊</t>
        </is>
      </c>
      <c r="C34" t="n">
        <v>300</v>
      </c>
      <c r="D34" t="inlineStr">
        <is>
          <t>欧洲</t>
        </is>
      </c>
      <c r="E34" s="7" t="n">
        <v>2308883</v>
      </c>
      <c r="F34" s="8">
        <f>E34/422324814</f>
        <v/>
      </c>
    </row>
    <row r="35">
      <c r="A35" t="n">
        <v>33</v>
      </c>
      <c r="B35" t="inlineStr">
        <is>
          <t>丹麦</t>
        </is>
      </c>
      <c r="C35" t="n">
        <v>208</v>
      </c>
      <c r="D35" t="inlineStr">
        <is>
          <t>欧洲</t>
        </is>
      </c>
      <c r="E35" s="7" t="n">
        <v>2239002</v>
      </c>
      <c r="F35" s="8">
        <f>E35/422324814</f>
        <v/>
      </c>
    </row>
    <row r="36">
      <c r="A36" t="n">
        <v>34</v>
      </c>
      <c r="B36" t="inlineStr">
        <is>
          <t>墨西哥</t>
        </is>
      </c>
      <c r="C36" t="n">
        <v>484</v>
      </c>
      <c r="D36" t="inlineStr">
        <is>
          <t>拉美</t>
        </is>
      </c>
      <c r="E36" s="7" t="n">
        <v>2183194</v>
      </c>
      <c r="F36" s="8">
        <f>E36/422324814</f>
        <v/>
      </c>
    </row>
    <row r="37">
      <c r="A37" t="n">
        <v>35</v>
      </c>
      <c r="B37" t="inlineStr">
        <is>
          <t>阿根廷</t>
        </is>
      </c>
      <c r="C37" t="n">
        <v>32</v>
      </c>
      <c r="D37" t="inlineStr">
        <is>
          <t>拉美</t>
        </is>
      </c>
      <c r="E37" s="7" t="n">
        <v>1858335</v>
      </c>
      <c r="F37" s="8">
        <f>E37/422324814</f>
        <v/>
      </c>
    </row>
    <row r="38">
      <c r="A38" t="n">
        <v>36</v>
      </c>
      <c r="B38" t="inlineStr">
        <is>
          <t>罗马尼亚</t>
        </is>
      </c>
      <c r="C38" t="n">
        <v>642</v>
      </c>
      <c r="D38" t="inlineStr">
        <is>
          <t>欧洲</t>
        </is>
      </c>
      <c r="E38" s="7" t="n">
        <v>1844544</v>
      </c>
      <c r="F38" s="8">
        <f>E38/422324814</f>
        <v/>
      </c>
    </row>
    <row r="39">
      <c r="A39" t="n">
        <v>37</v>
      </c>
      <c r="B39" t="inlineStr">
        <is>
          <t>新西兰</t>
        </is>
      </c>
      <c r="C39" t="n">
        <v>554</v>
      </c>
      <c r="D39" t="inlineStr">
        <is>
          <t>亚太</t>
        </is>
      </c>
      <c r="E39" s="7" t="n">
        <v>1696031</v>
      </c>
      <c r="F39" s="8">
        <f>E39/422324814</f>
        <v/>
      </c>
    </row>
    <row r="40">
      <c r="A40" t="n">
        <v>38</v>
      </c>
      <c r="B40" t="inlineStr">
        <is>
          <t>孟加拉国</t>
        </is>
      </c>
      <c r="C40" t="n">
        <v>50</v>
      </c>
      <c r="D40" t="inlineStr">
        <is>
          <t>亚太</t>
        </is>
      </c>
      <c r="E40" s="7" t="n">
        <v>1099842</v>
      </c>
      <c r="F40" s="8">
        <f>E40/422324814</f>
        <v/>
      </c>
    </row>
    <row r="41">
      <c r="A41" t="n">
        <v>39</v>
      </c>
      <c r="B41" t="inlineStr">
        <is>
          <t>斯洛伐克</t>
        </is>
      </c>
      <c r="C41" t="n">
        <v>703</v>
      </c>
      <c r="D41" t="inlineStr">
        <is>
          <t>欧洲</t>
        </is>
      </c>
      <c r="E41" s="7" t="n">
        <v>1068939</v>
      </c>
      <c r="F41" s="8">
        <f>E41/422324814</f>
        <v/>
      </c>
    </row>
    <row r="42">
      <c r="A42" t="n">
        <v>40</v>
      </c>
      <c r="B42" t="inlineStr">
        <is>
          <t>塞尔维亚</t>
        </is>
      </c>
      <c r="C42" t="n">
        <v>688</v>
      </c>
      <c r="D42" t="inlineStr">
        <is>
          <t>欧洲</t>
        </is>
      </c>
      <c r="E42" s="7" t="n">
        <v>1057170</v>
      </c>
      <c r="F42" s="8">
        <f>E42/422324814</f>
        <v/>
      </c>
    </row>
    <row r="43">
      <c r="A43" t="n">
        <v>41</v>
      </c>
      <c r="B43" t="inlineStr">
        <is>
          <t>马来西亚</t>
        </is>
      </c>
      <c r="C43" t="n">
        <v>458</v>
      </c>
      <c r="D43" t="inlineStr">
        <is>
          <t>亚太</t>
        </is>
      </c>
      <c r="E43" s="7" t="n">
        <v>996768</v>
      </c>
      <c r="F43" s="8">
        <f>E43/422324814</f>
        <v/>
      </c>
    </row>
    <row r="44">
      <c r="A44" t="n">
        <v>42</v>
      </c>
      <c r="B44" t="inlineStr">
        <is>
          <t>斯洛文尼亚</t>
        </is>
      </c>
      <c r="C44" t="n">
        <v>705</v>
      </c>
      <c r="D44" t="inlineStr">
        <is>
          <t>欧洲</t>
        </is>
      </c>
      <c r="E44" s="7" t="n">
        <v>951791</v>
      </c>
      <c r="F44" s="8">
        <f>E44/422324814</f>
        <v/>
      </c>
    </row>
    <row r="45">
      <c r="A45" t="n">
        <v>43</v>
      </c>
      <c r="B45" t="inlineStr">
        <is>
          <t>肯尼亚</t>
        </is>
      </c>
      <c r="C45" t="n">
        <v>404</v>
      </c>
      <c r="D45" t="inlineStr">
        <is>
          <t>非洲</t>
        </is>
      </c>
      <c r="E45" s="7" t="n">
        <v>934046</v>
      </c>
      <c r="F45" s="8">
        <f>E45/422324814</f>
        <v/>
      </c>
    </row>
    <row r="46">
      <c r="A46" t="n">
        <v>44</v>
      </c>
      <c r="B46" t="inlineStr">
        <is>
          <t>葡萄牙</t>
        </is>
      </c>
      <c r="C46" t="n">
        <v>620</v>
      </c>
      <c r="D46" t="inlineStr">
        <is>
          <t>欧洲</t>
        </is>
      </c>
      <c r="E46" s="7" t="n">
        <v>927187</v>
      </c>
      <c r="F46" s="8">
        <f>E46/422324814</f>
        <v/>
      </c>
    </row>
    <row r="47">
      <c r="A47" t="n">
        <v>45</v>
      </c>
      <c r="B47" t="inlineStr">
        <is>
          <t>克罗地亚</t>
        </is>
      </c>
      <c r="C47" t="n">
        <v>191</v>
      </c>
      <c r="D47" t="inlineStr">
        <is>
          <t>欧洲</t>
        </is>
      </c>
      <c r="E47" s="7" t="n">
        <v>881827</v>
      </c>
      <c r="F47" s="8">
        <f>E47/422324814</f>
        <v/>
      </c>
    </row>
    <row r="48">
      <c r="A48" t="n">
        <v>46</v>
      </c>
      <c r="B48" t="inlineStr">
        <is>
          <t>芬兰</t>
        </is>
      </c>
      <c r="C48" t="n">
        <v>246</v>
      </c>
      <c r="D48" t="inlineStr">
        <is>
          <t>欧洲</t>
        </is>
      </c>
      <c r="E48" s="7" t="n">
        <v>843078</v>
      </c>
      <c r="F48" s="8">
        <f>E48/422324814</f>
        <v/>
      </c>
    </row>
    <row r="49">
      <c r="A49" t="n">
        <v>47</v>
      </c>
      <c r="B49" t="inlineStr">
        <is>
          <t>乌兹别克斯坦</t>
        </is>
      </c>
      <c r="C49" t="n">
        <v>860</v>
      </c>
      <c r="D49" t="inlineStr">
        <is>
          <t>独联体/中亚</t>
        </is>
      </c>
      <c r="E49" s="7" t="n">
        <v>802640</v>
      </c>
      <c r="F49" s="8">
        <f>E49/422324814</f>
        <v/>
      </c>
    </row>
    <row r="50">
      <c r="A50" t="n">
        <v>48</v>
      </c>
      <c r="B50" t="inlineStr">
        <is>
          <t>沙特</t>
        </is>
      </c>
      <c r="C50" t="n">
        <v>682</v>
      </c>
      <c r="D50" t="inlineStr">
        <is>
          <t>中东/土耳其</t>
        </is>
      </c>
      <c r="E50" s="7" t="n">
        <v>800914</v>
      </c>
      <c r="F50" s="8">
        <f>E50/422324814</f>
        <v/>
      </c>
    </row>
    <row r="51">
      <c r="A51" t="n">
        <v>49</v>
      </c>
      <c r="B51" t="inlineStr">
        <is>
          <t>比利时</t>
        </is>
      </c>
      <c r="C51" t="n">
        <v>56</v>
      </c>
      <c r="D51" t="inlineStr">
        <is>
          <t>欧洲</t>
        </is>
      </c>
      <c r="E51" s="7" t="n">
        <v>706207</v>
      </c>
      <c r="F51" s="8">
        <f>E51/422324814</f>
        <v/>
      </c>
    </row>
    <row r="52">
      <c r="A52" t="n">
        <v>50</v>
      </c>
      <c r="B52" t="inlineStr">
        <is>
          <t>巴基斯坦</t>
        </is>
      </c>
      <c r="C52" t="n">
        <v>586</v>
      </c>
      <c r="D52" t="inlineStr">
        <is>
          <t>亚太</t>
        </is>
      </c>
      <c r="E52" s="7" t="n">
        <v>632718</v>
      </c>
      <c r="F52" s="8">
        <f>E52/422324814</f>
        <v/>
      </c>
    </row>
    <row r="53">
      <c r="A53" t="n">
        <v>51</v>
      </c>
      <c r="B53" t="inlineStr">
        <is>
          <t>格鲁吉亚</t>
        </is>
      </c>
      <c r="C53" t="n">
        <v>268</v>
      </c>
      <c r="D53" t="inlineStr">
        <is>
          <t>独联体/中亚</t>
        </is>
      </c>
      <c r="E53" s="7" t="n">
        <v>612616</v>
      </c>
      <c r="F53" s="8">
        <f>E53/422324814</f>
        <v/>
      </c>
    </row>
    <row r="54">
      <c r="A54" t="n">
        <v>52</v>
      </c>
      <c r="B54" t="inlineStr">
        <is>
          <t>中国台湾</t>
        </is>
      </c>
      <c r="C54" t="n">
        <v>490</v>
      </c>
      <c r="D54" t="inlineStr">
        <is>
          <t>亚太</t>
        </is>
      </c>
      <c r="E54" s="7" t="n">
        <v>601808</v>
      </c>
      <c r="F54" s="8">
        <f>E54/422324814</f>
        <v/>
      </c>
    </row>
    <row r="55">
      <c r="A55" t="n">
        <v>53</v>
      </c>
      <c r="B55" t="inlineStr">
        <is>
          <t>阿尔巴尼亚</t>
        </is>
      </c>
      <c r="C55" t="n">
        <v>8</v>
      </c>
      <c r="D55" t="inlineStr">
        <is>
          <t>欧洲</t>
        </is>
      </c>
      <c r="E55" s="7" t="n">
        <v>551402</v>
      </c>
      <c r="F55" s="8">
        <f>E55/422324814</f>
        <v/>
      </c>
    </row>
    <row r="56">
      <c r="A56" t="n">
        <v>54</v>
      </c>
      <c r="B56" t="inlineStr">
        <is>
          <t>韩国</t>
        </is>
      </c>
      <c r="C56" t="n">
        <v>410</v>
      </c>
      <c r="D56" t="inlineStr">
        <is>
          <t>亚太</t>
        </is>
      </c>
      <c r="E56" s="7" t="n">
        <v>465113</v>
      </c>
      <c r="F56" s="8">
        <f>E56/422324814</f>
        <v/>
      </c>
    </row>
    <row r="57">
      <c r="A57" t="n">
        <v>55</v>
      </c>
      <c r="B57" t="inlineStr">
        <is>
          <t>日本</t>
        </is>
      </c>
      <c r="C57" t="n">
        <v>392</v>
      </c>
      <c r="D57" t="inlineStr">
        <is>
          <t>亚太</t>
        </is>
      </c>
      <c r="E57" s="7" t="n">
        <v>430801</v>
      </c>
      <c r="F57" s="8">
        <f>E57/422324814</f>
        <v/>
      </c>
    </row>
    <row r="58">
      <c r="A58" t="n">
        <v>56</v>
      </c>
      <c r="B58" t="inlineStr">
        <is>
          <t>菲律宾</t>
        </is>
      </c>
      <c r="C58" t="n">
        <v>608</v>
      </c>
      <c r="D58" t="inlineStr">
        <is>
          <t>亚太</t>
        </is>
      </c>
      <c r="E58" s="7" t="n">
        <v>381036</v>
      </c>
      <c r="F58" s="8">
        <f>E58/422324814</f>
        <v/>
      </c>
    </row>
    <row r="59">
      <c r="A59" t="n">
        <v>57</v>
      </c>
      <c r="B59" t="inlineStr">
        <is>
          <t>爱尔兰</t>
        </is>
      </c>
      <c r="C59" t="n">
        <v>372</v>
      </c>
      <c r="D59" t="inlineStr">
        <is>
          <t>欧洲</t>
        </is>
      </c>
      <c r="E59" s="7" t="n">
        <v>357037</v>
      </c>
      <c r="F59" s="8">
        <f>E59/422324814</f>
        <v/>
      </c>
    </row>
    <row r="60">
      <c r="A60" t="n">
        <v>58</v>
      </c>
      <c r="B60" t="inlineStr">
        <is>
          <t>埃及</t>
        </is>
      </c>
      <c r="C60" t="n">
        <v>818</v>
      </c>
      <c r="D60" t="inlineStr">
        <is>
          <t>非洲</t>
        </is>
      </c>
      <c r="E60" s="7" t="n">
        <v>345877</v>
      </c>
      <c r="F60" s="8">
        <f>E60/422324814</f>
        <v/>
      </c>
    </row>
    <row r="61">
      <c r="A61" t="n">
        <v>59</v>
      </c>
      <c r="B61" t="inlineStr">
        <is>
          <t>以色列</t>
        </is>
      </c>
      <c r="C61" t="n">
        <v>376</v>
      </c>
      <c r="D61" t="inlineStr">
        <is>
          <t>中东/土耳其</t>
        </is>
      </c>
      <c r="E61" s="7" t="n">
        <v>273731</v>
      </c>
      <c r="F61" s="8">
        <f>E61/422324814</f>
        <v/>
      </c>
    </row>
    <row r="62">
      <c r="A62" t="n">
        <v>60</v>
      </c>
      <c r="B62" t="inlineStr">
        <is>
          <t>阿塞拜疆</t>
        </is>
      </c>
      <c r="C62" t="n">
        <v>31</v>
      </c>
      <c r="D62" t="inlineStr">
        <is>
          <t>独联体/中亚</t>
        </is>
      </c>
      <c r="E62" s="7" t="n">
        <v>273435</v>
      </c>
      <c r="F62" s="8">
        <f>E62/422324814</f>
        <v/>
      </c>
    </row>
    <row r="63">
      <c r="A63" t="n">
        <v>61</v>
      </c>
      <c r="B63" t="inlineStr">
        <is>
          <t>尼日利亚</t>
        </is>
      </c>
      <c r="C63" t="n">
        <v>566</v>
      </c>
      <c r="D63" t="inlineStr">
        <is>
          <t>非洲</t>
        </is>
      </c>
      <c r="E63" s="7" t="n">
        <v>265052</v>
      </c>
      <c r="F63" s="8">
        <f>E63/422324814</f>
        <v/>
      </c>
    </row>
    <row r="64">
      <c r="A64" t="n">
        <v>62</v>
      </c>
      <c r="B64" t="inlineStr">
        <is>
          <t>安哥拉</t>
        </is>
      </c>
      <c r="C64" t="n">
        <v>24</v>
      </c>
      <c r="D64" t="inlineStr">
        <is>
          <t>非洲</t>
        </is>
      </c>
      <c r="E64" s="7" t="n">
        <v>93579</v>
      </c>
      <c r="F64" s="8">
        <f>E64/422324814</f>
        <v/>
      </c>
    </row>
    <row r="65">
      <c r="A65" t="n">
        <v>63</v>
      </c>
      <c r="B65" t="inlineStr">
        <is>
          <t>白俄罗斯</t>
        </is>
      </c>
      <c r="C65" t="n">
        <v>112</v>
      </c>
      <c r="D65" t="inlineStr">
        <is>
          <t>独联体/中亚</t>
        </is>
      </c>
      <c r="E65" s="7" t="n">
        <v>3144</v>
      </c>
      <c r="F65" s="8">
        <f>E65/422324814</f>
        <v/>
      </c>
    </row>
    <row r="66">
      <c r="B66" t="inlineStr">
        <is>
          <t>其他未查询国家（合计约 90 国）</t>
        </is>
      </c>
      <c r="E66" s="7">
        <f>422324814-SUM(E3:E65)</f>
        <v/>
      </c>
      <c r="F66" s="8">
        <f>E66/422324814</f>
        <v/>
      </c>
      <c r="G66" t="inlineStr">
        <is>
          <t>余量</t>
        </is>
      </c>
    </row>
    <row r="67">
      <c r="A67" s="1" t="inlineStr"/>
      <c r="B67" s="1" t="inlineStr">
        <is>
          <t>全球合计</t>
        </is>
      </c>
      <c r="C67" s="1" t="inlineStr"/>
      <c r="D67" s="1" t="inlineStr"/>
      <c r="E67" s="9" t="n">
        <v>422324814</v>
      </c>
      <c r="F67" s="10" t="n">
        <v>1</v>
      </c>
      <c r="G67" s="1" t="inlineStr"/>
    </row>
    <row r="69">
      <c r="A69" s="1" t="inlineStr">
        <is>
          <t>区域汇总</t>
        </is>
      </c>
    </row>
    <row r="70">
      <c r="A70" s="1" t="inlineStr"/>
      <c r="B70" s="1" t="inlineStr">
        <is>
          <t>区域</t>
        </is>
      </c>
      <c r="C70" s="1" t="inlineStr"/>
      <c r="D70" s="1" t="inlineStr"/>
      <c r="E70" s="1" t="inlineStr">
        <is>
          <t>出口额 USD</t>
        </is>
      </c>
      <c r="F70" s="1" t="inlineStr">
        <is>
          <t>占全球 %</t>
        </is>
      </c>
      <c r="G70" s="1" t="inlineStr"/>
    </row>
    <row r="71">
      <c r="B71" t="inlineStr">
        <is>
          <t>欧洲</t>
        </is>
      </c>
      <c r="E71" s="7">
        <f>SUMIF(D3:D65,"欧洲",E3:E65)</f>
        <v/>
      </c>
      <c r="F71" s="8">
        <f>E71/422324814</f>
        <v/>
      </c>
    </row>
    <row r="72">
      <c r="B72" t="inlineStr">
        <is>
          <t>北美</t>
        </is>
      </c>
      <c r="E72" s="7">
        <f>SUMIF(D3:D65,"北美",E3:E65)</f>
        <v/>
      </c>
      <c r="F72" s="8">
        <f>E72/422324814</f>
        <v/>
      </c>
    </row>
    <row r="73">
      <c r="B73" t="inlineStr">
        <is>
          <t>中东/土耳其</t>
        </is>
      </c>
      <c r="E73" s="7">
        <f>SUMIF(D3:D65,"中东/土耳其",E3:E65)</f>
        <v/>
      </c>
      <c r="F73" s="8">
        <f>E73/422324814</f>
        <v/>
      </c>
    </row>
    <row r="74">
      <c r="B74" t="inlineStr">
        <is>
          <t>亚太</t>
        </is>
      </c>
      <c r="E74" s="7">
        <f>SUMIF(D3:D65,"亚太",E3:E65)</f>
        <v/>
      </c>
      <c r="F74" s="8">
        <f>E74/422324814</f>
        <v/>
      </c>
    </row>
    <row r="75">
      <c r="B75" t="inlineStr">
        <is>
          <t>拉美</t>
        </is>
      </c>
      <c r="E75" s="7">
        <f>SUMIF(D3:D65,"拉美",E3:E65)</f>
        <v/>
      </c>
      <c r="F75" s="8">
        <f>E75/422324814</f>
        <v/>
      </c>
    </row>
    <row r="76">
      <c r="B76" t="inlineStr">
        <is>
          <t>非洲</t>
        </is>
      </c>
      <c r="E76" s="7">
        <f>SUMIF(D3:D65,"非洲",E3:E65)</f>
        <v/>
      </c>
      <c r="F76" s="8">
        <f>E76/422324814</f>
        <v/>
      </c>
    </row>
    <row r="77">
      <c r="B77" t="inlineStr">
        <is>
          <t>独联体/中亚</t>
        </is>
      </c>
      <c r="E77" s="7">
        <f>SUMIF(D3:D65,"独联体/中亚",E3:E65)</f>
        <v/>
      </c>
      <c r="F77" s="8">
        <f>E77/422324814</f>
        <v/>
      </c>
    </row>
    <row r="78">
      <c r="B78" t="inlineStr">
        <is>
          <t>其他未查询国家</t>
        </is>
      </c>
      <c r="E78" s="7">
        <f>422324814-SUM(E3:E65)</f>
        <v/>
      </c>
      <c r="F78" s="8">
        <f>E78/422324814</f>
        <v/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52" customWidth="1" min="3" max="3"/>
    <col width="12" customWidth="1" min="4" max="4"/>
    <col width="10" customWidth="1" min="5" max="5"/>
    <col width="10" customWidth="1" min="6" max="6"/>
    <col width="40" customWidth="1" min="7" max="7"/>
  </cols>
  <sheetData>
    <row r="1" ht="30" customHeight="1">
      <c r="A1" s="6" t="inlineStr">
        <is>
          <t>落地价计算器（不含 VAT）。黄色格可改。美国关税 2025–2026 变动频繁，报价前按 HTS 8517.62.0020 现查。</t>
        </is>
      </c>
    </row>
    <row r="2">
      <c r="A2" t="inlineStr">
        <is>
          <t>参数</t>
        </is>
      </c>
      <c r="B2" t="inlineStr">
        <is>
          <t>值</t>
        </is>
      </c>
    </row>
    <row r="3">
      <c r="A3" t="inlineStr">
        <is>
          <t>你的售价 USD (EXW/FOB)</t>
        </is>
      </c>
      <c r="B3" s="11" t="n">
        <v>130</v>
      </c>
    </row>
    <row r="4">
      <c r="A4" t="inlineStr">
        <is>
          <t>海运摊销 USD/台</t>
        </is>
      </c>
      <c r="B4" s="11" t="n">
        <v>6</v>
      </c>
    </row>
    <row r="5">
      <c r="A5" t="inlineStr">
        <is>
          <t>对比：CRS326 MSRP</t>
        </is>
      </c>
      <c r="B5" s="11" t="n">
        <v>209</v>
      </c>
    </row>
    <row r="6">
      <c r="A6" t="inlineStr">
        <is>
          <t>对比：CSS326 MSRP</t>
        </is>
      </c>
      <c r="B6" s="11" t="n">
        <v>159</v>
      </c>
    </row>
    <row r="8">
      <c r="A8" s="12" t="inlineStr">
        <is>
          <t>目的地</t>
        </is>
      </c>
      <c r="B8" s="12" t="inlineStr">
        <is>
          <t>中国产 HS 8517.62 关税</t>
        </is>
      </c>
      <c r="C8" s="12" t="inlineStr">
        <is>
          <t>依据（2026-09）</t>
        </is>
      </c>
      <c r="D8" s="12" t="inlineStr">
        <is>
          <t>落地价 USD</t>
        </is>
      </c>
      <c r="E8" s="12" t="inlineStr">
        <is>
          <t>vs CRS326</t>
        </is>
      </c>
      <c r="F8" s="12" t="inlineStr">
        <is>
          <t>vs CSS326</t>
        </is>
      </c>
      <c r="G8" s="12" t="inlineStr">
        <is>
          <t>打法</t>
        </is>
      </c>
      <c r="H8" s="12" t="n"/>
    </row>
    <row r="9">
      <c r="A9" s="3" t="inlineStr">
        <is>
          <t>欧盟</t>
        </is>
      </c>
      <c r="B9" s="13" t="n">
        <v>0</v>
      </c>
      <c r="C9" s="3" t="inlineStr">
        <is>
          <t>ITA 信息技术协定 0%</t>
        </is>
      </c>
      <c r="D9" s="3">
        <f>ROUND(($B$3+$B$4)*(1+B9),0)</f>
        <v/>
      </c>
      <c r="E9" s="14">
        <f>D9/$B$5-1</f>
        <v/>
      </c>
      <c r="F9" s="14">
        <f>D9/$B$6-1</f>
        <v/>
      </c>
      <c r="G9" s="3" t="inlineStr">
        <is>
          <t>价格+功能双打</t>
        </is>
      </c>
      <c r="H9" s="3" t="n"/>
    </row>
    <row r="10">
      <c r="A10" s="3" t="inlineStr">
        <is>
          <t>英国</t>
        </is>
      </c>
      <c r="B10" s="13" t="n">
        <v>0</v>
      </c>
      <c r="C10" s="3" t="inlineStr">
        <is>
          <t>ITA 0%；UKCA 你已有</t>
        </is>
      </c>
      <c r="D10" s="3">
        <f>ROUND(($B$3+$B$4)*(1+B10),0)</f>
        <v/>
      </c>
      <c r="E10" s="14">
        <f>D10/$B$5-1</f>
        <v/>
      </c>
      <c r="F10" s="14">
        <f>D10/$B$6-1</f>
        <v/>
      </c>
      <c r="G10" s="3" t="inlineStr">
        <is>
          <t>价格+功能双打</t>
        </is>
      </c>
      <c r="H10" s="3" t="n"/>
    </row>
    <row r="11">
      <c r="A11" s="3" t="inlineStr">
        <is>
          <t>美国（现状）</t>
        </is>
      </c>
      <c r="B11" s="13" t="n">
        <v>0.375</v>
      </c>
      <c r="C11" s="3" t="inlineStr">
        <is>
          <t>301 List 3 25% + 2026-07-24 起强迫劳动分级中国档 12.5%</t>
        </is>
      </c>
      <c r="D11" s="3">
        <f>ROUND(($B$3+$B$4)*(1+B11),0)</f>
        <v/>
      </c>
      <c r="E11" s="14">
        <f>D11/$B$5-1</f>
        <v/>
      </c>
      <c r="F11" s="14">
        <f>D11/$B$6-1</f>
        <v/>
      </c>
      <c r="G11" s="3" t="inlineStr">
        <is>
          <t>只卖差异化：工业/PoE++/ERPS/串口/5年保修</t>
        </is>
      </c>
      <c r="H11" s="3" t="n"/>
    </row>
    <row r="12">
      <c r="A12" s="3" t="inlineStr">
        <is>
          <t>美国（若叠加 10% 对华互惠层）</t>
        </is>
      </c>
      <c r="B12" s="13" t="n">
        <v>0.475</v>
      </c>
      <c r="C12" s="3" t="inlineStr">
        <is>
          <t>部分来源称对华 10% 互惠层仍在（至 2026-11-10），报关行确认</t>
        </is>
      </c>
      <c r="D12" s="3">
        <f>ROUND(($B$3+$B$4)*(1+B12),0)</f>
        <v/>
      </c>
      <c r="E12" s="14">
        <f>D12/$B$5-1</f>
        <v/>
      </c>
      <c r="F12" s="14">
        <f>D12/$B$6-1</f>
        <v/>
      </c>
      <c r="G12" s="3" t="inlineStr">
        <is>
          <t>同上</t>
        </is>
      </c>
      <c r="H12" s="3" t="n"/>
    </row>
    <row r="13">
      <c r="A13" s="3" t="inlineStr">
        <is>
          <t>澳大利亚</t>
        </is>
      </c>
      <c r="B13" s="13" t="n">
        <v>0</v>
      </c>
      <c r="C13" s="3" t="inlineStr">
        <is>
          <t>ChAFTA 0%；需 RCM</t>
        </is>
      </c>
      <c r="D13" s="3">
        <f>ROUND(($B$3+$B$4)*(1+B13),0)</f>
        <v/>
      </c>
      <c r="E13" s="14">
        <f>D13/$B$5-1</f>
        <v/>
      </c>
      <c r="F13" s="14">
        <f>D13/$B$6-1</f>
        <v/>
      </c>
      <c r="G13" s="3" t="inlineStr">
        <is>
          <t>价格+功能</t>
        </is>
      </c>
      <c r="H13" s="3" t="n"/>
    </row>
    <row r="14">
      <c r="A14" s="3" t="inlineStr">
        <is>
          <t>阿联酋</t>
        </is>
      </c>
      <c r="B14" s="13" t="n">
        <v>0.05</v>
      </c>
      <c r="C14" s="3" t="inlineStr">
        <is>
          <t>GCC 统一关税 5%（部分 IT 设备 0%）</t>
        </is>
      </c>
      <c r="D14" s="3">
        <f>ROUND(($B$3+$B$4)*(1+B14),0)</f>
        <v/>
      </c>
      <c r="E14" s="14">
        <f>D14/$B$5-1</f>
        <v/>
      </c>
      <c r="F14" s="14">
        <f>D14/$B$6-1</f>
        <v/>
      </c>
      <c r="G14" s="3" t="inlineStr">
        <is>
          <t>枢纽分销商 house brand</t>
        </is>
      </c>
      <c r="H14" s="3" t="n"/>
    </row>
    <row r="15">
      <c r="A15" s="3" t="inlineStr">
        <is>
          <t>加拿大</t>
        </is>
      </c>
      <c r="B15" s="13" t="n">
        <v>0</v>
      </c>
      <c r="C15" s="3" t="inlineStr">
        <is>
          <t>MFN 0%，无 301</t>
        </is>
      </c>
      <c r="D15" s="3">
        <f>ROUND(($B$3+$B$4)*(1+B15),0)</f>
        <v/>
      </c>
      <c r="E15" s="14">
        <f>D15/$B$5-1</f>
        <v/>
      </c>
      <c r="F15" s="14">
        <f>D15/$B$6-1</f>
        <v/>
      </c>
      <c r="G15" s="3" t="inlineStr">
        <is>
          <t>随美国客户但价格优势保留</t>
        </is>
      </c>
      <c r="H15" s="3" t="n"/>
    </row>
    <row r="16">
      <c r="A16" s="3" t="inlineStr">
        <is>
          <t>土耳其</t>
        </is>
      </c>
      <c r="B16" s="13" t="n">
        <v>0</v>
      </c>
      <c r="C16" s="3" t="inlineStr">
        <is>
          <t>欧盟关税同盟，ITA 0%（另有本地附加税，需核）</t>
        </is>
      </c>
      <c r="D16" s="3">
        <f>ROUND(($B$3+$B$4)*(1+B16),0)</f>
        <v/>
      </c>
      <c r="E16" s="14">
        <f>D16/$B$5-1</f>
        <v/>
      </c>
      <c r="F16" s="14">
        <f>D16/$B$6-1</f>
        <v/>
      </c>
      <c r="G16" s="3" t="inlineStr">
        <is>
          <t>复制 NMS 案例</t>
        </is>
      </c>
      <c r="H16" s="3" t="n"/>
    </row>
    <row r="18">
      <c r="A18" t="inlineStr">
        <is>
          <t>负数 = 比 MikroTik 便宜；正数 = 比 MikroTik 贵。</t>
        </is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2" customWidth="1" min="1" max="1"/>
    <col width="40" customWidth="1" min="2" max="2"/>
    <col width="52" customWidth="1" min="3" max="3"/>
    <col width="40" customWidth="1" min="4" max="4"/>
    <col width="30" customWidth="1" min="5" max="5"/>
    <col width="36" customWidth="1" min="6" max="6"/>
  </cols>
  <sheetData>
    <row r="1">
      <c r="A1" s="5" t="inlineStr">
        <is>
          <t>项目</t>
        </is>
      </c>
      <c r="B1" s="5" t="inlineStr">
        <is>
          <t>CSS326-24G-2S+RM</t>
        </is>
      </c>
      <c r="C1" s="5" t="inlineStr">
        <is>
          <t>CRS326-24G-2S+RM</t>
        </is>
      </c>
      <c r="D1" s="5" t="inlineStr">
        <is>
          <t>CRS328-24P-4S+RM</t>
        </is>
      </c>
      <c r="E1" s="5" t="inlineStr">
        <is>
          <t>CSS610-8G-2S+IN</t>
        </is>
      </c>
      <c r="F1" s="5" t="inlineStr">
        <is>
          <t>来源</t>
        </is>
      </c>
    </row>
    <row r="2">
      <c r="A2" s="3" t="inlineStr">
        <is>
          <t>MSRP</t>
        </is>
      </c>
      <c r="B2" s="3" t="inlineStr">
        <is>
          <t>$159</t>
        </is>
      </c>
      <c r="C2" s="3" t="inlineStr">
        <is>
          <t>$209</t>
        </is>
      </c>
      <c r="D2" s="3" t="inlineStr">
        <is>
          <t>$489</t>
        </is>
      </c>
      <c r="E2" s="3" t="inlineStr">
        <is>
          <t>$119</t>
        </is>
      </c>
      <c r="F2" s="3" t="inlineStr">
        <is>
          <t>mikrotik.com 产品页 2026-09</t>
        </is>
      </c>
    </row>
    <row r="3">
      <c r="A3" s="3" t="inlineStr">
        <is>
          <t>操作系统</t>
        </is>
      </c>
      <c r="B3" s="3" t="inlineStr">
        <is>
          <t>SwOS only (v2.19)</t>
        </is>
      </c>
      <c r="C3" s="3" t="inlineStr">
        <is>
          <t>RouterOS L5 / SwOS 双启动 (7.24.4)</t>
        </is>
      </c>
      <c r="D3" s="3" t="inlineStr">
        <is>
          <t>RouterOS L5 / SwOS 双启动</t>
        </is>
      </c>
      <c r="E3" s="3" t="inlineStr">
        <is>
          <t>SwOS Lite (v2.21)</t>
        </is>
      </c>
      <c r="F3" s="3" t="inlineStr">
        <is>
          <t>同上</t>
        </is>
      </c>
    </row>
    <row r="4">
      <c r="A4" s="3" t="inlineStr">
        <is>
          <t>交换芯片</t>
        </is>
      </c>
      <c r="B4" s="3" t="inlineStr">
        <is>
          <t>98DX3216</t>
        </is>
      </c>
      <c r="C4" s="3" t="inlineStr">
        <is>
          <t>98DX3236</t>
        </is>
      </c>
      <c r="D4" s="3" t="inlineStr">
        <is>
          <t>98DX3236</t>
        </is>
      </c>
      <c r="E4" s="3" t="inlineStr">
        <is>
          <t>88E6193X</t>
        </is>
      </c>
      <c r="F4" s="3" t="inlineStr">
        <is>
          <t>同上</t>
        </is>
      </c>
    </row>
    <row r="5">
      <c r="A5" s="3" t="inlineStr">
        <is>
          <t>CPU / RAM / Flash</t>
        </is>
      </c>
      <c r="B5" s="3" t="inlineStr">
        <is>
          <t>— / — / 2MB</t>
        </is>
      </c>
      <c r="C5" s="3" t="inlineStr">
        <is>
          <t>ARM 2×800MHz / 512MB / 16MB</t>
        </is>
      </c>
      <c r="D5" s="3" t="inlineStr">
        <is>
          <t>ARM 1×800MHz / 512MB / 16MB</t>
        </is>
      </c>
      <c r="E5" s="3" t="inlineStr">
        <is>
          <t>— / — / 64KB</t>
        </is>
      </c>
      <c r="F5" s="3" t="inlineStr">
        <is>
          <t>同上</t>
        </is>
      </c>
    </row>
    <row r="6">
      <c r="A6" s="3" t="inlineStr">
        <is>
          <t>端口</t>
        </is>
      </c>
      <c r="B6" s="3" t="inlineStr">
        <is>
          <t>24G + 2×SFP+</t>
        </is>
      </c>
      <c r="C6" s="3" t="inlineStr">
        <is>
          <t>24G + 2×SFP+</t>
        </is>
      </c>
      <c r="D6" s="3" t="inlineStr">
        <is>
          <t>24×PoE-out af/at + 4×SFP+</t>
        </is>
      </c>
      <c r="E6" s="3" t="inlineStr">
        <is>
          <t>8G + 2×SFP+</t>
        </is>
      </c>
      <c r="F6" s="3" t="inlineStr">
        <is>
          <t>同上</t>
        </is>
      </c>
    </row>
    <row r="7">
      <c r="A7" s="3" t="inlineStr">
        <is>
          <t>PoE-out</t>
        </is>
      </c>
      <c r="B7" s="3" t="inlineStr">
        <is>
          <t>无</t>
        </is>
      </c>
      <c r="C7" s="3" t="inlineStr">
        <is>
          <t>无</t>
        </is>
      </c>
      <c r="D7" s="3" t="inlineStr">
        <is>
          <t>450W 总预算(3×150W/8口)，30W/口，无 802.3bt</t>
        </is>
      </c>
      <c r="E7" s="3" t="inlineStr">
        <is>
          <t>无</t>
        </is>
      </c>
      <c r="F7" s="3" t="inlineStr">
        <is>
          <t>同上</t>
        </is>
      </c>
    </row>
    <row r="8">
      <c r="A8" s="3" t="inlineStr">
        <is>
          <t>Console</t>
        </is>
      </c>
      <c r="B8" s="3" t="inlineStr">
        <is>
          <t>无</t>
        </is>
      </c>
      <c r="C8" s="3" t="inlineStr">
        <is>
          <t>RJ45</t>
        </is>
      </c>
      <c r="D8" s="3" t="inlineStr">
        <is>
          <t>RJ45</t>
        </is>
      </c>
      <c r="E8" s="3" t="inlineStr">
        <is>
          <t>无</t>
        </is>
      </c>
      <c r="F8" s="3" t="inlineStr">
        <is>
          <t>同上</t>
        </is>
      </c>
    </row>
    <row r="9">
      <c r="A9" s="3" t="inlineStr">
        <is>
          <t>温度</t>
        </is>
      </c>
      <c r="B9" s="3" t="inlineStr">
        <is>
          <t>-20~70°C</t>
        </is>
      </c>
      <c r="C9" s="3" t="inlineStr">
        <is>
          <t>-40~60°C</t>
        </is>
      </c>
      <c r="D9" s="3" t="inlineStr">
        <is>
          <t>-20~60°C</t>
        </is>
      </c>
      <c r="E9" s="3" t="inlineStr">
        <is>
          <t>-20~60°C</t>
        </is>
      </c>
      <c r="F9" s="3" t="inlineStr">
        <is>
          <t>同上</t>
        </is>
      </c>
    </row>
    <row r="10">
      <c r="A10" s="3" t="inlineStr">
        <is>
          <t>供电</t>
        </is>
      </c>
      <c r="B10" s="3" t="inlineStr">
        <is>
          <t>10–30V DC jack / 被动 PoE-in</t>
        </is>
      </c>
      <c r="C10" s="3" t="inlineStr">
        <is>
          <t>10–30V DC jack / 被动 PoE-in</t>
        </is>
      </c>
      <c r="D10" s="3" t="inlineStr">
        <is>
          <t>内置 500W PSU</t>
        </is>
      </c>
      <c r="E10" s="3" t="inlineStr">
        <is>
          <t>12–57V DC / 被动 PoE-in</t>
        </is>
      </c>
      <c r="F10" s="3" t="inlineStr">
        <is>
          <t>同上</t>
        </is>
      </c>
    </row>
    <row r="11">
      <c r="A11" s="3" t="inlineStr">
        <is>
          <t>认证</t>
        </is>
      </c>
      <c r="B11" s="3" t="inlineStr">
        <is>
          <t>CE, EAC, RoHS</t>
        </is>
      </c>
      <c r="C11" s="3" t="inlineStr">
        <is>
          <t>CE, EAC, RoHS</t>
        </is>
      </c>
      <c r="D11" s="3" t="inlineStr">
        <is>
          <t>CE, EAC, RoHS</t>
        </is>
      </c>
      <c r="E11" s="3" t="inlineStr">
        <is>
          <t>CE, EAC, RoHS</t>
        </is>
      </c>
      <c r="F11" s="3" t="inlineStr">
        <is>
          <t>同上（均无 UL/FCC 列出）</t>
        </is>
      </c>
    </row>
    <row r="12">
      <c r="A12" s="3" t="inlineStr">
        <is>
          <t>MTBF</t>
        </is>
      </c>
      <c r="B12" s="3" t="inlineStr">
        <is>
          <t>~200k h @25°C</t>
        </is>
      </c>
      <c r="C12" s="3" t="inlineStr">
        <is>
          <t>~200k h</t>
        </is>
      </c>
      <c r="D12" s="3" t="inlineStr">
        <is>
          <t>~200k h</t>
        </is>
      </c>
      <c r="E12" s="3" t="inlineStr">
        <is>
          <t>~200k h</t>
        </is>
      </c>
      <c r="F12" s="3" t="inlineStr">
        <is>
          <t>同上</t>
        </is>
      </c>
    </row>
    <row r="13">
      <c r="A13" s="3" t="inlineStr">
        <is>
          <t>软件更新承诺</t>
        </is>
      </c>
      <c r="B13" s="3" t="inlineStr">
        <is>
          <t>产品寿命或≥5年免费更新</t>
        </is>
      </c>
      <c r="C13" s="3" t="inlineStr">
        <is>
          <t>同左</t>
        </is>
      </c>
      <c r="D13" s="3" t="inlineStr">
        <is>
          <t>同左</t>
        </is>
      </c>
      <c r="E13" s="3" t="inlineStr">
        <is>
          <t>同左</t>
        </is>
      </c>
      <c r="F13" s="3" t="inlineStr">
        <is>
          <t>同上</t>
        </is>
      </c>
    </row>
    <row r="14">
      <c r="A14" s="3" t="inlineStr">
        <is>
          <t>SwOS 限制(CSS/SwOS 模式)</t>
        </is>
      </c>
      <c r="B14" s="3" t="inlineStr">
        <is>
          <t>仅 RSTP；≤250 VLAN；≤32 ACL；16 LAG；IGMP snooping；只有入向限速；仅 Web 管理(无 CLI/SSH)；无默认网关；仅 IPv4；无 LLDP(MNDP)；SNMP v1/v2c 只读、无 Trap</t>
        </is>
      </c>
      <c r="C14" s="3" t="inlineStr">
        <is>
          <t>—</t>
        </is>
      </c>
      <c r="D14" s="3" t="inlineStr">
        <is>
          <t>—</t>
        </is>
      </c>
      <c r="E14" s="3" t="inlineStr">
        <is>
          <t>同 CSS326 (SwOS Lite 更弱)</t>
        </is>
      </c>
      <c r="F14" s="3" t="inlineStr">
        <is>
          <t>help.mikrotik.com SwOS CRS3xx/CSS3xx 手册</t>
        </is>
      </c>
    </row>
    <row r="15">
      <c r="A15" s="3" t="inlineStr">
        <is>
          <t>RouterOS on CRS3xx 能力</t>
        </is>
      </c>
      <c r="B15" s="3" t="inlineStr">
        <is>
          <t>—</t>
        </is>
      </c>
      <c r="C15" s="3" t="inlineStr">
        <is>
          <t>单硬件 bridge；STP/RSTP/MSTP 硬件；Q-in-Q 802.1ad 硬件卸载(v6.43+)；LACP/balance-xor 硬件；switch-rule ACL；L3 HW offload 基础路由(98DX3236)，不支持 NAT/Fasttrack 卸载，需在 HW 路由与 HW 防火墙间二选一</t>
        </is>
      </c>
      <c r="D15" s="3" t="inlineStr">
        <is>
          <t>同左</t>
        </is>
      </c>
      <c r="E15" s="3" t="inlineStr">
        <is>
          <t>—</t>
        </is>
      </c>
      <c r="F15" s="3" t="inlineStr">
        <is>
          <t>help.mikrotik.com CRS3xx &amp; L3 HW Offloading</t>
        </is>
      </c>
    </row>
    <row r="16">
      <c r="A16" s="3" t="inlineStr">
        <is>
          <t>ERPS G.8032</t>
        </is>
      </c>
      <c r="B16" s="3" t="inlineStr">
        <is>
          <t>无</t>
        </is>
      </c>
      <c r="C16" s="3" t="inlineStr">
        <is>
          <t>无（论坛 feature request 自 2013 年起未实现，用户反映大环 RSTP 收敛 ~4s）</t>
        </is>
      </c>
      <c r="D16" s="3" t="inlineStr">
        <is>
          <t>无</t>
        </is>
      </c>
      <c r="E16" s="3" t="inlineStr">
        <is>
          <t>无</t>
        </is>
      </c>
      <c r="F16" s="3" t="inlineStr">
        <is>
          <t>forum.mikrotik.com/t/71183, /t/84795</t>
        </is>
      </c>
    </row>
    <row r="17">
      <c r="A17" s="3" t="inlineStr">
        <is>
          <t>RouterOS 强项(承认)</t>
        </is>
      </c>
      <c r="B17" s="3" t="inlineStr">
        <is>
          <t>—</t>
        </is>
      </c>
      <c r="C17" s="3" t="inlineStr">
        <is>
          <t>API、REST API(v7.1+)、脚本、Winbox、The Dude、bandwidth-test/traffic-generator、LLDP/CDP/MNDP</t>
        </is>
      </c>
      <c r="D17" s="3" t="inlineStr">
        <is>
          <t>同左</t>
        </is>
      </c>
      <c r="E17" s="3" t="inlineStr">
        <is>
          <t>—</t>
        </is>
      </c>
      <c r="F17" s="3" t="inlineStr">
        <is>
          <t>RouterOS 文档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30" customWidth="1" min="2" max="2"/>
    <col width="46" customWidth="1" min="3" max="3"/>
    <col width="10" customWidth="1" min="4" max="4"/>
    <col width="8" customWidth="1" min="5" max="5"/>
    <col width="16" customWidth="1" min="6" max="6"/>
    <col width="40" customWidth="1" min="7" max="7"/>
  </cols>
  <sheetData>
    <row r="1">
      <c r="A1" s="5" t="inlineStr">
        <is>
          <t>系列</t>
        </is>
      </c>
      <c r="B1" s="5" t="inlineStr">
        <is>
          <t>型号</t>
        </is>
      </c>
      <c r="C1" s="5" t="inlineStr">
        <is>
          <t>描述</t>
        </is>
      </c>
      <c r="D1" s="5" t="inlineStr">
        <is>
          <t>进价 RMB</t>
        </is>
      </c>
      <c r="E1" s="5" t="inlineStr">
        <is>
          <t>≈USD</t>
        </is>
      </c>
      <c r="F1" s="5" t="inlineStr">
        <is>
          <t>售价 USD (+加价率)</t>
        </is>
      </c>
      <c r="G1" s="5" t="inlineStr">
        <is>
          <t>备注</t>
        </is>
      </c>
    </row>
    <row r="2">
      <c r="A2" s="3" t="inlineStr">
        <is>
          <t>商业 L2+</t>
        </is>
      </c>
      <c r="B2" s="3" t="inlineStr">
        <is>
          <t>LT-S8328XG-4XS24GT-S</t>
        </is>
      </c>
      <c r="C2" s="3" t="inlineStr">
        <is>
          <t>24G + 4×SFP+ 1/2.5/10G；0~50°C；3年</t>
        </is>
      </c>
      <c r="D2" s="3" t="n">
        <v>710</v>
      </c>
      <c r="E2" s="3">
        <f>IF(D2="","",ROUND(D2/参数!$B$2,0))</f>
        <v/>
      </c>
      <c r="F2" s="3">
        <f>IF(D2="","",ROUND(D2/参数!$B$2*(1+参数!$B$3),0))</f>
        <v/>
      </c>
      <c r="G2" s="3" t="inlineStr">
        <is>
          <t>对标 CSS326/CRS326 主力</t>
        </is>
      </c>
    </row>
    <row r="3">
      <c r="A3" s="3" t="inlineStr">
        <is>
          <t>商业 L2+</t>
        </is>
      </c>
      <c r="B3" s="3" t="inlineStr">
        <is>
          <t>LT-S8328XGP-4XS24GT-S</t>
        </is>
      </c>
      <c r="C3" s="3" t="inlineStr">
        <is>
          <t>24×PoE + 4×SFP+ 10G；280W</t>
        </is>
      </c>
      <c r="D3" s="3" t="n">
        <v>1010</v>
      </c>
      <c r="E3" s="3">
        <f>IF(D3="","",ROUND(D3/参数!$B$2,0))</f>
        <v/>
      </c>
      <c r="F3" s="3">
        <f>IF(D3="","",ROUND(D3/参数!$B$2*(1+参数!$B$3),0))</f>
        <v/>
      </c>
      <c r="G3" s="3" t="inlineStr">
        <is>
          <t>对标 CRS328-24P（预算差）</t>
        </is>
      </c>
    </row>
    <row r="4">
      <c r="A4" s="3" t="inlineStr">
        <is>
          <t>商业 L2+</t>
        </is>
      </c>
      <c r="B4" s="3" t="inlineStr">
        <is>
          <t>LT-S8328G-4GX24GT-S</t>
        </is>
      </c>
      <c r="C4" s="3" t="inlineStr">
        <is>
          <t>24G + 4×1G/2.5G SFP</t>
        </is>
      </c>
      <c r="D4" s="3" t="n">
        <v>460</v>
      </c>
      <c r="E4" s="3">
        <f>IF(D4="","",ROUND(D4/参数!$B$2,0))</f>
        <v/>
      </c>
      <c r="F4" s="3">
        <f>IF(D4="","",ROUND(D4/参数!$B$2*(1+参数!$B$3),0))</f>
        <v/>
      </c>
      <c r="G4" s="3" t="inlineStr"/>
    </row>
    <row r="5">
      <c r="A5" s="3" t="inlineStr">
        <is>
          <t>商业 L2+</t>
        </is>
      </c>
      <c r="B5" s="3" t="inlineStr">
        <is>
          <t>LT-S8328GP-4GX24GT</t>
        </is>
      </c>
      <c r="C5" s="3" t="inlineStr">
        <is>
          <t>24×PoE + 4×2.5G SFP；440W</t>
        </is>
      </c>
      <c r="D5" s="3" t="n">
        <v>1200</v>
      </c>
      <c r="E5" s="3">
        <f>IF(D5="","",ROUND(D5/参数!$B$2,0))</f>
        <v/>
      </c>
      <c r="F5" s="3">
        <f>IF(D5="","",ROUND(D5/参数!$B$2*(1+参数!$B$3),0))</f>
        <v/>
      </c>
      <c r="G5" s="3" t="inlineStr"/>
    </row>
    <row r="6">
      <c r="A6" s="3" t="inlineStr">
        <is>
          <t>商业 L2+</t>
        </is>
      </c>
      <c r="B6" s="3" t="inlineStr">
        <is>
          <t>LT-S8310G-2GX8GT</t>
        </is>
      </c>
      <c r="C6" s="3" t="inlineStr">
        <is>
          <t>8G + 2×2.5G SFP</t>
        </is>
      </c>
      <c r="D6" s="3" t="n">
        <v>380</v>
      </c>
      <c r="E6" s="3">
        <f>IF(D6="","",ROUND(D6/参数!$B$2,0))</f>
        <v/>
      </c>
      <c r="F6" s="3">
        <f>IF(D6="","",ROUND(D6/参数!$B$2*(1+参数!$B$3),0))</f>
        <v/>
      </c>
      <c r="G6" s="3" t="inlineStr">
        <is>
          <t>成本回落前暂停出货</t>
        </is>
      </c>
    </row>
    <row r="7">
      <c r="A7" s="3" t="inlineStr">
        <is>
          <t>商业 L2+</t>
        </is>
      </c>
      <c r="B7" s="3" t="inlineStr">
        <is>
          <t>LT-S8310GP-2GX8GT</t>
        </is>
      </c>
      <c r="C7" s="3" t="inlineStr">
        <is>
          <t>8×PoE(120W) + 2×2.5G SFP</t>
        </is>
      </c>
      <c r="D7" s="3" t="n">
        <v>450</v>
      </c>
      <c r="E7" s="3">
        <f>IF(D7="","",ROUND(D7/参数!$B$2,0))</f>
        <v/>
      </c>
      <c r="F7" s="3">
        <f>IF(D7="","",ROUND(D7/参数!$B$2*(1+参数!$B$3),0))</f>
        <v/>
      </c>
      <c r="G7" s="3" t="inlineStr"/>
    </row>
    <row r="8">
      <c r="A8" s="3" t="inlineStr">
        <is>
          <t>商业 L2+</t>
        </is>
      </c>
      <c r="B8" s="3" t="inlineStr">
        <is>
          <t>LT-S8352XG-4XS48GT</t>
        </is>
      </c>
      <c r="C8" s="3" t="inlineStr">
        <is>
          <t>48G + 4×SFP+ 10G</t>
        </is>
      </c>
      <c r="D8" s="3" t="n">
        <v>1470</v>
      </c>
      <c r="E8" s="3">
        <f>IF(D8="","",ROUND(D8/参数!$B$2,0))</f>
        <v/>
      </c>
      <c r="F8" s="3">
        <f>IF(D8="","",ROUND(D8/参数!$B$2*(1+参数!$B$3),0))</f>
        <v/>
      </c>
      <c r="G8" s="3" t="inlineStr"/>
    </row>
    <row r="9">
      <c r="A9" s="3" t="inlineStr">
        <is>
          <t>商业 L2+</t>
        </is>
      </c>
      <c r="B9" s="3" t="inlineStr">
        <is>
          <t>LT-S8352XGP-4XS48GT</t>
        </is>
      </c>
      <c r="C9" s="3" t="inlineStr">
        <is>
          <t>48×PoE + 4×SFP+ 10G；440W/850W</t>
        </is>
      </c>
      <c r="D9" s="3" t="n">
        <v>1870</v>
      </c>
      <c r="E9" s="3">
        <f>IF(D9="","",ROUND(D9/参数!$B$2,0))</f>
        <v/>
      </c>
      <c r="F9" s="3">
        <f>IF(D9="","",ROUND(D9/参数!$B$2*(1+参数!$B$3),0))</f>
        <v/>
      </c>
      <c r="G9" s="3" t="inlineStr"/>
    </row>
    <row r="10">
      <c r="A10" s="3" t="inlineStr">
        <is>
          <t>商业 L3</t>
        </is>
      </c>
      <c r="B10" s="3" t="inlineStr">
        <is>
          <t>LT-S8528XG-4XS24GT</t>
        </is>
      </c>
      <c r="C10" s="3" t="inlineStr">
        <is>
          <t>24G + 4×SFP+；L3 (RIP/OSPF/IS-IS/BGP/VRRP)</t>
        </is>
      </c>
      <c r="D10" s="3" t="n">
        <v>1500</v>
      </c>
      <c r="E10" s="3">
        <f>IF(D10="","",ROUND(D10/参数!$B$2,0))</f>
        <v/>
      </c>
      <c r="F10" s="3">
        <f>IF(D10="","",ROUND(D10/参数!$B$2*(1+参数!$B$3),0))</f>
        <v/>
      </c>
      <c r="G10" s="3" t="inlineStr">
        <is>
          <t>PoE 版 1900</t>
        </is>
      </c>
    </row>
    <row r="11">
      <c r="A11" s="3" t="inlineStr">
        <is>
          <t>商业 L3</t>
        </is>
      </c>
      <c r="B11" s="3" t="inlineStr">
        <is>
          <t>LT-S8528XG-4XS16GX8GC</t>
        </is>
      </c>
      <c r="C11" s="3" t="inlineStr">
        <is>
          <t>16×SFP + 8 Combo + 4×SFP+；L3</t>
        </is>
      </c>
      <c r="D11" s="3" t="n">
        <v>2100</v>
      </c>
      <c r="E11" s="3">
        <f>IF(D11="","",ROUND(D11/参数!$B$2,0))</f>
        <v/>
      </c>
      <c r="F11" s="3">
        <f>IF(D11="","",ROUND(D11/参数!$B$2*(1+参数!$B$3),0))</f>
        <v/>
      </c>
      <c r="G11" s="3" t="inlineStr"/>
    </row>
    <row r="12">
      <c r="A12" s="3" t="inlineStr">
        <is>
          <t>商业 L3</t>
        </is>
      </c>
      <c r="B12" s="3" t="inlineStr">
        <is>
          <t>LT-S8552XG-4XS48GT</t>
        </is>
      </c>
      <c r="C12" s="3" t="inlineStr">
        <is>
          <t>48G + 4×SFP+；L3</t>
        </is>
      </c>
      <c r="D12" s="3" t="n">
        <v>2600</v>
      </c>
      <c r="E12" s="3">
        <f>IF(D12="","",ROUND(D12/参数!$B$2,0))</f>
        <v/>
      </c>
      <c r="F12" s="3">
        <f>IF(D12="","",ROUND(D12/参数!$B$2*(1+参数!$B$3),0))</f>
        <v/>
      </c>
      <c r="G12" s="3" t="inlineStr">
        <is>
          <t>PoE 版 3100</t>
        </is>
      </c>
    </row>
    <row r="13">
      <c r="A13" s="3" t="inlineStr">
        <is>
          <t>工业 L2+</t>
        </is>
      </c>
      <c r="B13" s="3" t="inlineStr">
        <is>
          <t>LT-IS6306G-2GX4GT</t>
        </is>
      </c>
      <c r="C13" s="3" t="inlineStr">
        <is>
          <t>4G + 2×SFP；DIN；-40~75°C；5年</t>
        </is>
      </c>
      <c r="D13" s="3" t="n">
        <v>660</v>
      </c>
      <c r="E13" s="3">
        <f>IF(D13="","",ROUND(D13/参数!$B$2,0))</f>
        <v/>
      </c>
      <c r="F13" s="3">
        <f>IF(D13="","",ROUND(D13/参数!$B$2*(1+参数!$B$3),0))</f>
        <v/>
      </c>
      <c r="G13" s="3" t="inlineStr">
        <is>
          <t>PoE 720 / PoE++ 820；Frank 6口对位</t>
        </is>
      </c>
    </row>
    <row r="14">
      <c r="A14" s="3" t="inlineStr">
        <is>
          <t>工业 L2+</t>
        </is>
      </c>
      <c r="B14" s="3" t="inlineStr">
        <is>
          <t>LT-IS6310G-2GX8GT</t>
        </is>
      </c>
      <c r="C14" s="3" t="inlineStr">
        <is>
          <t>8G + 2×2.5G SFP</t>
        </is>
      </c>
      <c r="D14" s="3" t="n">
        <v>700</v>
      </c>
      <c r="E14" s="3">
        <f>IF(D14="","",ROUND(D14/参数!$B$2,0))</f>
        <v/>
      </c>
      <c r="F14" s="3">
        <f>IF(D14="","",ROUND(D14/参数!$B$2*(1+参数!$B$3),0))</f>
        <v/>
      </c>
      <c r="G14" s="3" t="inlineStr">
        <is>
          <t>PoE 780 / PoE++ 880</t>
        </is>
      </c>
    </row>
    <row r="15">
      <c r="A15" s="3" t="inlineStr">
        <is>
          <t>工业 L2+</t>
        </is>
      </c>
      <c r="B15" s="3" t="inlineStr">
        <is>
          <t>LT-IS6312G-4GX8GT</t>
        </is>
      </c>
      <c r="C15" s="3" t="inlineStr">
        <is>
          <t>8G + 4×2.5G SFP</t>
        </is>
      </c>
      <c r="D15" s="3" t="n">
        <v>740</v>
      </c>
      <c r="E15" s="3">
        <f>IF(D15="","",ROUND(D15/参数!$B$2,0))</f>
        <v/>
      </c>
      <c r="F15" s="3">
        <f>IF(D15="","",ROUND(D15/参数!$B$2*(1+参数!$B$3),0))</f>
        <v/>
      </c>
      <c r="G15" s="3" t="inlineStr">
        <is>
          <t>PoE 820 / -2BT 920；Frank 12口对位</t>
        </is>
      </c>
    </row>
    <row r="16">
      <c r="A16" s="3" t="inlineStr">
        <is>
          <t>工业 L2+</t>
        </is>
      </c>
      <c r="B16" s="3" t="inlineStr">
        <is>
          <t>LT-IS6312XG-4XS8GT</t>
        </is>
      </c>
      <c r="C16" s="3" t="inlineStr">
        <is>
          <t>8G + 4×SFP+ 10G</t>
        </is>
      </c>
      <c r="D16" s="3" t="n">
        <v>840</v>
      </c>
      <c r="E16" s="3">
        <f>IF(D16="","",ROUND(D16/参数!$B$2,0))</f>
        <v/>
      </c>
      <c r="F16" s="3">
        <f>IF(D16="","",ROUND(D16/参数!$B$2*(1+参数!$B$3),0))</f>
        <v/>
      </c>
      <c r="G16" s="3" t="inlineStr">
        <is>
          <t>PoE 920 / -2BT 1020</t>
        </is>
      </c>
    </row>
    <row r="17">
      <c r="A17" s="3" t="inlineStr">
        <is>
          <t>工业 L2+</t>
        </is>
      </c>
      <c r="B17" s="3" t="inlineStr">
        <is>
          <t>LT-IS6312GP-4GX8GT-8BT</t>
        </is>
      </c>
      <c r="C17" s="3" t="inlineStr">
        <is>
          <t>8×90W PoE++ (480W) + 4×2.5G SFP；52–57VDC</t>
        </is>
      </c>
      <c r="D17" s="3" t="n"/>
      <c r="E17" s="3">
        <f>IF(D17="","",ROUND(D17/参数!$B$2,0))</f>
        <v/>
      </c>
      <c r="F17" s="3">
        <f>IF(D17="","",ROUND(D17/参数!$B$2*(1+参数!$B$3),0))</f>
        <v/>
      </c>
      <c r="G17" s="3" t="inlineStr">
        <is>
          <t>价格表未列，官网有；询价</t>
        </is>
      </c>
    </row>
    <row r="18">
      <c r="A18" s="3" t="inlineStr">
        <is>
          <t>工业 L2+</t>
        </is>
      </c>
      <c r="B18" s="3" t="inlineStr">
        <is>
          <t>LT-IS6316XG-4XS4GX8GT</t>
        </is>
      </c>
      <c r="C18" s="3" t="inlineStr">
        <is>
          <t>8G + 4×SFP + 4×SFP+</t>
        </is>
      </c>
      <c r="D18" s="3" t="n">
        <v>1400</v>
      </c>
      <c r="E18" s="3">
        <f>IF(D18="","",ROUND(D18/参数!$B$2,0))</f>
        <v/>
      </c>
      <c r="F18" s="3">
        <f>IF(D18="","",ROUND(D18/参数!$B$2*(1+参数!$B$3),0))</f>
        <v/>
      </c>
      <c r="G18" s="3" t="inlineStr"/>
    </row>
    <row r="19">
      <c r="A19" s="3" t="inlineStr">
        <is>
          <t>工业 L2+</t>
        </is>
      </c>
      <c r="B19" s="3" t="inlineStr">
        <is>
          <t>LT-IS6318G-2GX16GT</t>
        </is>
      </c>
      <c r="C19" s="3" t="inlineStr">
        <is>
          <t>16G + 2×SFP</t>
        </is>
      </c>
      <c r="D19" s="3" t="n">
        <v>1180</v>
      </c>
      <c r="E19" s="3">
        <f>IF(D19="","",ROUND(D19/参数!$B$2,0))</f>
        <v/>
      </c>
      <c r="F19" s="3">
        <f>IF(D19="","",ROUND(D19/参数!$B$2*(1+参数!$B$3),0))</f>
        <v/>
      </c>
      <c r="G19" s="3" t="inlineStr">
        <is>
          <t>PoE 1340</t>
        </is>
      </c>
    </row>
    <row r="20">
      <c r="A20" s="3" t="inlineStr">
        <is>
          <t>工业 L2+</t>
        </is>
      </c>
      <c r="B20" s="3" t="inlineStr">
        <is>
          <t>LT-IS6318XGP-2XS16GT</t>
        </is>
      </c>
      <c r="C20" s="3" t="inlineStr">
        <is>
          <t>16×PoE + 2×SFP+</t>
        </is>
      </c>
      <c r="D20" s="3" t="n">
        <v>1660</v>
      </c>
      <c r="E20" s="3">
        <f>IF(D20="","",ROUND(D20/参数!$B$2,0))</f>
        <v/>
      </c>
      <c r="F20" s="3">
        <f>IF(D20="","",ROUND(D20/参数!$B$2*(1+参数!$B$3),0))</f>
        <v/>
      </c>
      <c r="G20" s="3" t="inlineStr"/>
    </row>
    <row r="21">
      <c r="A21" s="3" t="inlineStr">
        <is>
          <t>工业 L2+ DI/DO/RS485</t>
        </is>
      </c>
      <c r="B21" s="3" t="inlineStr">
        <is>
          <t>LT-IS6320G-4GX16GT-D</t>
        </is>
      </c>
      <c r="C21" s="3" t="inlineStr">
        <is>
          <t>16G + 4×SFP + DI/DO/RS485</t>
        </is>
      </c>
      <c r="D21" s="3" t="n">
        <v>1560</v>
      </c>
      <c r="E21" s="3">
        <f>IF(D21="","",ROUND(D21/参数!$B$2,0))</f>
        <v/>
      </c>
      <c r="F21" s="3">
        <f>IF(D21="","",ROUND(D21/参数!$B$2*(1+参数!$B$3),0))</f>
        <v/>
      </c>
      <c r="G21" s="3" t="inlineStr">
        <is>
          <t>PoE 1760 / -4BT 1960；ITS/SCADA 场景</t>
        </is>
      </c>
    </row>
    <row r="22">
      <c r="A22" s="3" t="inlineStr">
        <is>
          <t>工业 L2+ DI/DO/RS485</t>
        </is>
      </c>
      <c r="B22" s="3" t="inlineStr">
        <is>
          <t>LT-IS6328XG-4XS24GT-D</t>
        </is>
      </c>
      <c r="C22" s="3" t="inlineStr">
        <is>
          <t>24G + 4×SFP+ 10G + DI/DO/RS485</t>
        </is>
      </c>
      <c r="D22" s="3" t="n">
        <v>1960</v>
      </c>
      <c r="E22" s="3">
        <f>IF(D22="","",ROUND(D22/参数!$B$2,0))</f>
        <v/>
      </c>
      <c r="F22" s="3">
        <f>IF(D22="","",ROUND(D22/参数!$B$2*(1+参数!$B$3),0))</f>
        <v/>
      </c>
      <c r="G22" s="3" t="inlineStr">
        <is>
          <t>PoE 2200 / -4BT 2400</t>
        </is>
      </c>
    </row>
    <row r="23">
      <c r="A23" s="3" t="inlineStr">
        <is>
          <t>工业 L2+ DI/DO/RS485</t>
        </is>
      </c>
      <c r="B23" s="3" t="inlineStr">
        <is>
          <t>LT-IS6328XG-4XS16GX8GC-D</t>
        </is>
      </c>
      <c r="C23" s="3" t="inlineStr">
        <is>
          <t>16×SFP + 8 Combo + 4×SFP+ + DI/DO</t>
        </is>
      </c>
      <c r="D23" s="3" t="n">
        <v>2650</v>
      </c>
      <c r="E23" s="3">
        <f>IF(D23="","",ROUND(D23/参数!$B$2,0))</f>
        <v/>
      </c>
      <c r="F23" s="3">
        <f>IF(D23="","",ROUND(D23/参数!$B$2*(1+参数!$B$3),0))</f>
        <v/>
      </c>
      <c r="G23" s="3" t="inlineStr">
        <is>
          <t>vs CRS328-4C-20S-4S+ $299：MikroTik 更便宜</t>
        </is>
      </c>
    </row>
    <row r="24">
      <c r="A24" s="3" t="inlineStr">
        <is>
          <t>工业 Bypass</t>
        </is>
      </c>
      <c r="B24" s="3" t="inlineStr">
        <is>
          <t>LT-IS63xx-FBP 系列</t>
        </is>
      </c>
      <c r="C24" s="3" t="inlineStr">
        <is>
          <t>光纤 Bypass 管理型</t>
        </is>
      </c>
      <c r="D24" s="3" t="n">
        <v>960</v>
      </c>
      <c r="E24" s="3">
        <f>IF(D24="","",ROUND(D24/参数!$B$2,0))</f>
        <v/>
      </c>
      <c r="F24" s="3">
        <f>IF(D24="","",ROUND(D24/参数!$B$2*(1+参数!$B$3),0))</f>
        <v/>
      </c>
      <c r="G24" s="3" t="inlineStr">
        <is>
          <t>960–1640</t>
        </is>
      </c>
    </row>
    <row r="25">
      <c r="A25" s="3" t="inlineStr">
        <is>
          <t>工业 L3</t>
        </is>
      </c>
      <c r="B25" s="3" t="inlineStr">
        <is>
          <t>LT-IS65xx 系列</t>
        </is>
      </c>
      <c r="C25" s="3" t="inlineStr">
        <is>
          <t>工业 L3</t>
        </is>
      </c>
      <c r="D25" s="3" t="n">
        <v>1900</v>
      </c>
      <c r="E25" s="3">
        <f>IF(D25="","",ROUND(D25/参数!$B$2,0))</f>
        <v/>
      </c>
      <c r="F25" s="3">
        <f>IF(D25="","",ROUND(D25/参数!$B$2*(1+参数!$B$3),0))</f>
        <v/>
      </c>
      <c r="G25" s="3" t="inlineStr">
        <is>
          <t>1900–3100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28" customWidth="1" min="1" max="1"/>
    <col width="26" customWidth="1" min="2" max="2"/>
    <col width="30" customWidth="1" min="3" max="3"/>
    <col width="40" customWidth="1" min="4" max="4"/>
  </cols>
  <sheetData>
    <row r="1">
      <c r="A1" s="5" t="inlineStr">
        <is>
          <t>型号</t>
        </is>
      </c>
      <c r="B1" s="5" t="inlineStr">
        <is>
          <t>原 Excel 值</t>
        </is>
      </c>
      <c r="C1" s="5" t="inlineStr">
        <is>
          <t>官网实测值</t>
        </is>
      </c>
      <c r="D1" s="5" t="inlineStr">
        <is>
          <t>说明</t>
        </is>
      </c>
    </row>
    <row r="2">
      <c r="A2" t="inlineStr">
        <is>
          <t>CSS326-24G-2S+RM 芯片</t>
        </is>
      </c>
      <c r="B2" t="inlineStr">
        <is>
          <t>98DX3236</t>
        </is>
      </c>
      <c r="C2" t="inlineStr">
        <is>
          <t>98DX3216</t>
        </is>
      </c>
      <c r="D2" t="inlineStr">
        <is>
          <t>离线库写错</t>
        </is>
      </c>
    </row>
    <row r="3">
      <c r="A3" t="inlineStr">
        <is>
          <t>CSS610-8G-2S+IN 芯片</t>
        </is>
      </c>
      <c r="B3" t="inlineStr">
        <is>
          <t>98DX3236 / 88E6193X 两行</t>
        </is>
      </c>
      <c r="C3" t="inlineStr">
        <is>
          <t>88E6193X</t>
        </is>
      </c>
      <c r="D3" t="inlineStr">
        <is>
          <t>离线库与在线抓取不一致</t>
        </is>
      </c>
    </row>
    <row r="4">
      <c r="A4" t="inlineStr">
        <is>
          <t>CSS610-8G-2S+IN 价格</t>
        </is>
      </c>
      <c r="B4" t="inlineStr">
        <is>
          <t>$89 / $119</t>
        </is>
      </c>
      <c r="C4" t="inlineStr">
        <is>
          <t>$119</t>
        </is>
      </c>
    </row>
    <row r="5">
      <c r="A5" t="inlineStr">
        <is>
          <t>CRS326-24G-2S+RM 价格</t>
        </is>
      </c>
      <c r="B5" t="inlineStr">
        <is>
          <t>$219</t>
        </is>
      </c>
      <c r="C5" t="inlineStr">
        <is>
          <t>$209</t>
        </is>
      </c>
    </row>
    <row r="6">
      <c r="A6" t="inlineStr">
        <is>
          <t>CRS328-24P-4S+RM 价格</t>
        </is>
      </c>
      <c r="B6" t="inlineStr">
        <is>
          <t>$499 / $489</t>
        </is>
      </c>
      <c r="C6" t="inlineStr">
        <is>
          <t>$489</t>
        </is>
      </c>
    </row>
    <row r="7">
      <c r="A7" t="inlineStr">
        <is>
          <t>CRS320-8P-8B-4S+RM 价格</t>
        </is>
      </c>
      <c r="B7" t="inlineStr">
        <is>
          <t>$299 / $489</t>
        </is>
      </c>
      <c r="C7" t="inlineStr">
        <is>
          <t>待核实</t>
        </is>
      </c>
      <c r="D7" t="inlineStr">
        <is>
          <t>两行不一致</t>
        </is>
      </c>
    </row>
    <row r="8">
      <c r="A8" t="inlineStr">
        <is>
          <t>RB260GSP</t>
        </is>
      </c>
      <c r="B8" t="inlineStr">
        <is>
          <t>端口写成 260x GbE</t>
        </is>
      </c>
      <c r="C8" t="inlineStr">
        <is>
          <t>5×GbE + 1×SFP</t>
        </is>
      </c>
      <c r="D8" t="inlineStr">
        <is>
          <t>正则解析错误行，建议删除</t>
        </is>
      </c>
    </row>
    <row r="9">
      <c r="A9" t="inlineStr">
        <is>
          <t>整体</t>
        </is>
      </c>
      <c r="B9" t="inlineStr">
        <is>
          <t>72 行含十余行重复</t>
        </is>
      </c>
      <c r="C9" t="inlineStr">
        <is>
          <t>按 product_code 去重，以在线值为准</t>
        </is>
      </c>
      <c r="D9" t="inlineStr">
        <is>
          <t>两种 URL slug 抓了两遍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V10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公司名</t>
        </is>
      </c>
      <c r="B1" t="inlineStr">
        <is>
          <t>国家</t>
        </is>
      </c>
      <c r="C1" t="inlineStr">
        <is>
          <t>城市</t>
        </is>
      </c>
      <c r="D1" t="inlineStr">
        <is>
          <t>网站</t>
        </is>
      </c>
      <c r="E1" t="inlineStr">
        <is>
          <t>类型</t>
        </is>
      </c>
      <c r="F1" t="inlineStr">
        <is>
          <t>信号（在卖什么品牌）</t>
        </is>
      </c>
      <c r="G1" t="inlineStr">
        <is>
          <t>是否自有品牌</t>
        </is>
      </c>
      <c r="H1" t="inlineStr">
        <is>
          <t>切入点</t>
        </is>
      </c>
      <c r="I1" t="inlineStr">
        <is>
          <t>首推SmartByte型号</t>
        </is>
      </c>
      <c r="J1" t="inlineStr">
        <is>
          <t>入口/联系方式</t>
        </is>
      </c>
      <c r="K1" t="inlineStr">
        <is>
          <t>优先级</t>
        </is>
      </c>
      <c r="L1" t="inlineStr">
        <is>
          <t>状态</t>
        </is>
      </c>
      <c r="M1" t="inlineStr">
        <is>
          <t>来源</t>
        </is>
      </c>
      <c r="N1" t="inlineStr">
        <is>
          <t>首次触达日</t>
        </is>
      </c>
      <c r="O1" t="inlineStr">
        <is>
          <t>最后互动日</t>
        </is>
      </c>
      <c r="P1" t="inlineStr">
        <is>
          <t>下次跟进日</t>
        </is>
      </c>
      <c r="Q1" t="inlineStr">
        <is>
          <t>备注</t>
        </is>
      </c>
      <c r="R1" t="inlineStr">
        <is>
          <t>评级</t>
        </is>
      </c>
      <c r="S1" t="inlineStr">
        <is>
          <t>评级依据</t>
        </is>
      </c>
      <c r="T1" t="inlineStr">
        <is>
          <t>档案编号</t>
        </is>
      </c>
      <c r="U1" t="inlineStr">
        <is>
          <t>C级细分</t>
        </is>
      </c>
      <c r="V1" t="inlineStr">
        <is>
          <t>人工定级</t>
        </is>
      </c>
    </row>
    <row r="2">
      <c r="A2" t="inlineStr">
        <is>
          <t>Puma Solutions ApS</t>
        </is>
      </c>
      <c r="B2" t="inlineStr">
        <is>
          <t>丹麦</t>
        </is>
      </c>
      <c r="C2" t="inlineStr"/>
      <c r="D2" t="inlineStr">
        <is>
          <t>pumait.dk</t>
        </is>
      </c>
      <c r="E2" t="inlineStr">
        <is>
          <t>分销（MikroTik 官方）</t>
        </is>
      </c>
      <c r="F2" t="inlineStr">
        <is>
          <t>MikroTik（Reseller）</t>
        </is>
      </c>
      <c r="G2" t="inlineStr">
        <is>
          <t>否</t>
        </is>
      </c>
      <c r="H2" t="inlineStr">
        <is>
          <t>卖 MikroTik 但缺工业/ERPS/PoE++ → 用同价位工业线补他的产品缺口</t>
        </is>
      </c>
      <c r="I2" t="inlineStr">
        <is>
          <t>LT-IS6312XG-4XS8GT</t>
        </is>
      </c>
      <c r="J2" t="inlineStr">
        <is>
          <t>+45 60 70 90 09 / rfi@pumait.dk</t>
        </is>
      </c>
      <c r="K2" t="inlineStr">
        <is>
          <t>★★★</t>
        </is>
      </c>
      <c r="L2" t="inlineStr">
        <is>
          <t>未触达</t>
        </is>
      </c>
      <c r="M2" t="inlineStr">
        <is>
          <t>2026-09-22</t>
        </is>
      </c>
      <c r="N2" t="inlineStr"/>
      <c r="O2" t="inlineStr"/>
      <c r="P2" t="inlineStr"/>
      <c r="Q2" t="inlineStr">
        <is>
          <t>同时是 MikroTik 认证顾问（MTCNA+MTCRE，Stefan Andersen，stefan@pumait.dk / +45 60 709 009）：1998 年起做 ISP 网络，实战派；还设计更大的运营技术栈——**仓库自动化 warehouse automation、门禁 access control、CCTV 视频监控** → 这三项全是 PoE 供电场景，交换机需求最硬。分销商身份 + 集成项目能力 + 工业/PoE 场景，三线合一</t>
        </is>
      </c>
      <c r="R2" t="inlineStr">
        <is>
          <t>A</t>
        </is>
      </c>
      <c r="S2" t="inlineStr">
        <is>
          <t>有明确交换/供电需求（PoE/监控/门禁、工业/楼宇），且有具体人直联</t>
        </is>
      </c>
      <c r="T2" t="inlineStr">
        <is>
          <t>A-001</t>
        </is>
      </c>
      <c r="U2" t="inlineStr"/>
      <c r="V2" t="inlineStr"/>
    </row>
    <row r="3">
      <c r="A3" t="inlineStr">
        <is>
          <t>Troels E. Normolle / UNIFOSS</t>
        </is>
      </c>
      <c r="B3" t="inlineStr">
        <is>
          <t>丹麦</t>
        </is>
      </c>
      <c r="C3" t="inlineStr">
        <is>
          <t>Lemming</t>
        </is>
      </c>
      <c r="D3" t="inlineStr">
        <is>
          <t>unifoss.com</t>
        </is>
      </c>
      <c r="E3" t="inlineStr">
        <is>
          <t>集成商/顾问（MikroTik 认证）</t>
        </is>
      </c>
      <c r="F3" t="inlineStr">
        <is>
          <t>MikroTik 认证顾问 MTCNA+MTCRE</t>
        </is>
      </c>
      <c r="G3" t="inlineStr">
        <is>
          <t>否</t>
        </is>
      </c>
      <c r="H3" t="inlineStr">
        <is>
          <t>MikroTik 认证顾问：自己做方案/集成/运维并自行采购设备 → 用 ERPS/IGMP/VLAN/CLI/MIB 这类技术语言切入，不打价格战</t>
        </is>
      </c>
      <c r="I3" t="inlineStr">
        <is>
          <t>LT-IS6312XGP-4XS8GT</t>
        </is>
      </c>
      <c r="J3" t="inlineStr">
        <is>
          <t>+45 2279 1234 / troels@unifoss.com</t>
        </is>
      </c>
      <c r="K3" t="inlineStr">
        <is>
          <t>★★★</t>
        </is>
      </c>
      <c r="L3" t="inlineStr">
        <is>
          <t>未触达</t>
        </is>
      </c>
      <c r="M3" t="inlineStr">
        <is>
          <t>2026-09-22</t>
        </is>
      </c>
      <c r="N3" t="inlineStr"/>
      <c r="O3" t="inlineStr"/>
      <c r="P3" t="inlineStr"/>
      <c r="Q3" t="inlineStr">
        <is>
          <t>★★ 网络公司创始人，服务行业列举：**农业、能源与电网控制 Energy and grid control、音乐节 Festivals、医疗、酒店 Hospitality、ISP、办公、零售** → 电网控制与农业是工业级场景，音乐节是临时大容量组网，酒店是 PoE 接入，一家公司覆盖三种需求</t>
        </is>
      </c>
      <c r="R3" t="inlineStr">
        <is>
          <t>A</t>
        </is>
      </c>
      <c r="S3" t="inlineStr">
        <is>
          <t>有明确交换/供电需求（酒店/多住户、工业/楼宇），且有具体人直联</t>
        </is>
      </c>
      <c r="T3" t="inlineStr">
        <is>
          <t>A-002</t>
        </is>
      </c>
      <c r="U3" t="inlineStr"/>
      <c r="V3" t="inlineStr"/>
    </row>
    <row r="4">
      <c r="A4" t="inlineStr">
        <is>
          <t>Andrew Drozd / Iron Sentinel</t>
        </is>
      </c>
      <c r="B4" t="inlineStr">
        <is>
          <t>乌克兰</t>
        </is>
      </c>
      <c r="C4" t="inlineStr">
        <is>
          <t>Zhytomyr</t>
        </is>
      </c>
      <c r="D4" t="inlineStr">
        <is>
          <t>ironsentinel.net</t>
        </is>
      </c>
      <c r="E4" t="inlineStr">
        <is>
          <t>集成商/顾问（MikroTik 认证）</t>
        </is>
      </c>
      <c r="F4" t="inlineStr">
        <is>
          <t>MikroTik 认证顾问 MTCNA+MTCTCE+MTCINE+MTCSE</t>
        </is>
      </c>
      <c r="G4" t="inlineStr">
        <is>
          <t>否</t>
        </is>
      </c>
      <c r="H4" t="inlineStr">
        <is>
          <t>MikroTik 认证顾问：自己做方案/集成/运维并自行采购设备 → 用 ERPS/IGMP/VLAN/CLI/MIB 这类技术语言切入，不打价格战</t>
        </is>
      </c>
      <c r="I4" t="inlineStr">
        <is>
          <t>LT-S8328GP-4GX24GT-S</t>
        </is>
      </c>
      <c r="J4" t="inlineStr">
        <is>
          <t>+380 63 418 8971 / support@ironsentinel.net</t>
        </is>
      </c>
      <c r="K4" t="inlineStr">
        <is>
          <t>★★★</t>
        </is>
      </c>
      <c r="L4" t="inlineStr">
        <is>
          <t>未触达</t>
        </is>
      </c>
      <c r="M4" t="inlineStr">
        <is>
          <t>2026-09-22</t>
        </is>
      </c>
      <c r="N4" t="inlineStr"/>
      <c r="O4" t="inlineStr"/>
      <c r="P4" t="inlineStr"/>
      <c r="Q4" t="inlineStr">
        <is>
          <t>★ 做局域网、**视频监控、报警系统、门禁**的设计/安装/维护 → PoE 交换机是刚需，首推 24 口 PoE</t>
        </is>
      </c>
      <c r="R4" t="inlineStr">
        <is>
          <t>A</t>
        </is>
      </c>
      <c r="S4" t="inlineStr">
        <is>
          <t>有明确交换/供电需求（PoE/监控/门禁），且有具体人直联</t>
        </is>
      </c>
      <c r="T4" t="inlineStr">
        <is>
          <t>A-003</t>
        </is>
      </c>
      <c r="U4" t="inlineStr"/>
      <c r="V4" t="inlineStr"/>
    </row>
    <row r="5">
      <c r="A5" t="inlineStr">
        <is>
          <t>Vitalii Potravka</t>
        </is>
      </c>
      <c r="B5" t="inlineStr">
        <is>
          <t>乌克兰</t>
        </is>
      </c>
      <c r="C5" t="inlineStr">
        <is>
          <t>Kyiv</t>
        </is>
      </c>
      <c r="D5" t="inlineStr"/>
      <c r="E5" t="inlineStr">
        <is>
          <t>集成商/顾问（MikroTik 认证）</t>
        </is>
      </c>
      <c r="F5" t="inlineStr">
        <is>
          <t>MikroTik 认证顾问 MTCNA+MTCSWE</t>
        </is>
      </c>
      <c r="G5" t="inlineStr">
        <is>
          <t>否</t>
        </is>
      </c>
      <c r="H5" t="inlineStr">
        <is>
          <t>MikroTik 认证顾问：自己做方案/集成/运维并自行采购设备 → 用 ERPS/IGMP/VLAN/CLI/MIB 这类技术语言切入，不打价格战</t>
        </is>
      </c>
      <c r="I5" t="inlineStr">
        <is>
          <t>LT-S8328XGP-4XS24GT-S</t>
        </is>
      </c>
      <c r="J5" t="inlineStr">
        <is>
          <t>+380 97 931 2131 / webvetal.mob@gmail.com</t>
        </is>
      </c>
      <c r="K5" t="inlineStr">
        <is>
          <t>★★★</t>
        </is>
      </c>
      <c r="L5" t="inlineStr">
        <is>
          <t>未触达</t>
        </is>
      </c>
      <c r="M5" t="inlineStr">
        <is>
          <t>2026-09-22</t>
        </is>
      </c>
      <c r="N5" t="inlineStr"/>
      <c r="O5" t="inlineStr"/>
      <c r="P5" t="inlineStr"/>
      <c r="Q5" t="inlineStr">
        <is>
          <t>★ 持 MTCSWE（交换认证）→ 交换机是正式专长</t>
        </is>
      </c>
      <c r="R5" t="inlineStr">
        <is>
          <t>A</t>
        </is>
      </c>
      <c r="S5" t="inlineStr">
        <is>
          <t>有明确交换/供电需求（交换认证 MTCSWE、交换专长），且有具体人直联</t>
        </is>
      </c>
      <c r="T5" t="inlineStr">
        <is>
          <t>A-004</t>
        </is>
      </c>
      <c r="U5" t="inlineStr"/>
      <c r="V5" t="inlineStr"/>
    </row>
    <row r="6">
      <c r="A6" t="inlineStr">
        <is>
          <t>Alain Casault, B.Ing.</t>
        </is>
      </c>
      <c r="B6" t="inlineStr">
        <is>
          <t>加拿大</t>
        </is>
      </c>
      <c r="C6" t="inlineStr">
        <is>
          <t>Prévost, QC</t>
        </is>
      </c>
      <c r="D6" t="inlineStr">
        <is>
          <t>educationhmo.com</t>
        </is>
      </c>
      <c r="E6" t="inlineStr">
        <is>
          <t>集成商/顾问（MikroTik 认证）</t>
        </is>
      </c>
      <c r="F6" t="inlineStr">
        <is>
          <t>MikroTik 认证顾问 MTCNA+MTCRE+MTCWE</t>
        </is>
      </c>
      <c r="G6" t="inlineStr">
        <is>
          <t>否</t>
        </is>
      </c>
      <c r="H6" t="inlineStr">
        <is>
          <t>MikroTik 认证顾问：自己做方案/集成/运维并自行采购设备 → 用 ERPS/IGMP/VLAN/CLI/MIB 这类技术语言切入，不打价格战</t>
        </is>
      </c>
      <c r="I6" t="inlineStr">
        <is>
          <t>LT-S8328GP-4GX24GT-S</t>
        </is>
      </c>
      <c r="J6" t="inlineStr">
        <is>
          <t>1-514-394-0419 / casault.alain@educationhmo.com</t>
        </is>
      </c>
      <c r="K6" t="inlineStr">
        <is>
          <t>★★★</t>
        </is>
      </c>
      <c r="L6" t="inlineStr">
        <is>
          <t>未触达</t>
        </is>
      </c>
      <c r="M6" t="inlineStr">
        <is>
          <t>2026-09-22</t>
        </is>
      </c>
      <c r="N6" t="inlineStr"/>
      <c r="O6" t="inlineStr"/>
      <c r="P6" t="inlineStr"/>
      <c r="Q6" t="inlineStr">
        <is>
          <t>★ 工程师（B.Ing.）；专长明确为「**培训、企业网络设计与架构、Routing、Switching、VLANs、无线、高可用与冗余**」；**任职于教育/卫生系统（educationhmo.com）→ 校园与医疗机构网络**；英法双语</t>
        </is>
      </c>
      <c r="R6" t="inlineStr">
        <is>
          <t>A</t>
        </is>
      </c>
      <c r="S6" t="inlineStr">
        <is>
          <t>有明确交换/供电需求（交换专长），且有具体人直联</t>
        </is>
      </c>
      <c r="T6" t="inlineStr">
        <is>
          <t>A-005</t>
        </is>
      </c>
      <c r="U6" t="inlineStr"/>
      <c r="V6" t="inlineStr"/>
    </row>
    <row r="7">
      <c r="A7" t="inlineStr">
        <is>
          <t>Amir Seifi / Magenta Networks</t>
        </is>
      </c>
      <c r="B7" t="inlineStr">
        <is>
          <t>加拿大</t>
        </is>
      </c>
      <c r="C7" t="inlineStr">
        <is>
          <t>Scarborough, ON</t>
        </is>
      </c>
      <c r="D7" t="inlineStr">
        <is>
          <t>magentanetworks.net</t>
        </is>
      </c>
      <c r="E7" t="inlineStr">
        <is>
          <t>集成商/顾问（MikroTik 认证）</t>
        </is>
      </c>
      <c r="F7" t="inlineStr">
        <is>
          <t>MikroTik 认证顾问 MTCNA+MTCRE+MTCTCE+MTCUME+MTCINE</t>
        </is>
      </c>
      <c r="G7" t="inlineStr">
        <is>
          <t>否</t>
        </is>
      </c>
      <c r="H7" t="inlineStr">
        <is>
          <t>MikroTik 认证顾问：自己做方案/集成/运维并自行采购设备 → 用 ERPS/IGMP/VLAN/CLI/MIB 这类技术语言切入，不打价格战</t>
        </is>
      </c>
      <c r="I7" t="inlineStr">
        <is>
          <t>LT-S8328GP-4GX24GT-S</t>
        </is>
      </c>
      <c r="J7" t="inlineStr">
        <is>
          <t>+1-647-812-5170 / support@magentanetworks.net</t>
        </is>
      </c>
      <c r="K7" t="inlineStr">
        <is>
          <t>★★★</t>
        </is>
      </c>
      <c r="L7" t="inlineStr">
        <is>
          <t>未触达</t>
        </is>
      </c>
      <c r="M7" t="inlineStr">
        <is>
          <t>2026-09-22</t>
        </is>
      </c>
      <c r="N7" t="inlineStr"/>
      <c r="O7" t="inlineStr"/>
      <c r="P7" t="inlineStr"/>
      <c r="Q7" t="inlineStr">
        <is>
          <t>★★ 精通 RouterOS 与 **SwitchOS**；核心能力明确包含「**二层交换、VLAN 配置、链路聚合、端口优化管理**」；另有高级路由 OSPF/BGP、防火墙加固、DDoS 缓解、定制脚本与自动化</t>
        </is>
      </c>
      <c r="R7" t="inlineStr">
        <is>
          <t>A</t>
        </is>
      </c>
      <c r="S7" t="inlineStr">
        <is>
          <t>有明确交换/供电需求（交换专长），且有具体人直联</t>
        </is>
      </c>
      <c r="T7" t="inlineStr">
        <is>
          <t>A-006</t>
        </is>
      </c>
      <c r="U7" t="inlineStr"/>
      <c r="V7" t="inlineStr"/>
    </row>
    <row r="8">
      <c r="A8" t="inlineStr">
        <is>
          <t>Industrial Solutions Inc</t>
        </is>
      </c>
      <c r="B8" t="inlineStr">
        <is>
          <t>加拿大</t>
        </is>
      </c>
      <c r="C8" t="inlineStr">
        <is>
          <t>Sherwood Park AB</t>
        </is>
      </c>
      <c r="D8" t="inlineStr">
        <is>
          <t>indsol.com</t>
        </is>
      </c>
      <c r="E8" t="inlineStr">
        <is>
          <t>分销（HMS/N-Tron·Red Lion 渠道）</t>
        </is>
      </c>
      <c r="F8" t="inlineStr">
        <is>
          <t>N-Tron + Red Lion + Anybus + Ewon</t>
        </is>
      </c>
      <c r="G8" t="inlineStr">
        <is>
          <t>否</t>
        </is>
      </c>
      <c r="H8" t="inlineStr">
        <is>
          <t>卖 N-Tron/Red Lion 工业交换机（8口非网管约 $500+）→ 中性货同规格 LT-IS6310G 约 $91，做第二供应商/替换，价差 5 倍</t>
        </is>
      </c>
      <c r="I8" t="inlineStr">
        <is>
          <t>LT-IS6312XGP-4XS8GT</t>
        </is>
      </c>
      <c r="J8" t="inlineStr">
        <is>
          <t>sales@indsol.com；电话 780.460.9533（免费 866.460.9533）。具名：Bob Moser（Managing Partner）、Amy Hunter（Managing Partner）；该公司邮箱格式为 {first}@indsol.com（bob@/amy@ 属推测，未验证）</t>
        </is>
      </c>
      <c r="K8" t="inlineStr">
        <is>
          <t>★★★</t>
        </is>
      </c>
      <c r="L8" t="inlineStr">
        <is>
          <t>未触达</t>
        </is>
      </c>
      <c r="M8" t="inlineStr">
        <is>
          <t>2026-09-22</t>
        </is>
      </c>
      <c r="N8" t="inlineStr"/>
      <c r="O8" t="inlineStr"/>
      <c r="P8" t="inlineStr"/>
      <c r="Q8" t="inlineStr">
        <is>
          <t>阿尔伯塔工业自动化；【2026-09-22 补】仅 9 人小公司， Alberta/BC/Manitoba/Saskatchewan 四省。代理 Moxa、Red Lion、N-Tron、Sixnet、eWon、Phoenix Contact，主打工控与油气。</t>
        </is>
      </c>
      <c r="R8" t="inlineStr">
        <is>
          <t>A</t>
        </is>
      </c>
      <c r="S8" t="inlineStr">
        <is>
          <t>有明确交换/供电需求（工业/楼宇），且有具体人直联</t>
        </is>
      </c>
      <c r="T8" t="inlineStr">
        <is>
          <t>A-007</t>
        </is>
      </c>
      <c r="U8" t="inlineStr"/>
      <c r="V8" t="inlineStr"/>
    </row>
    <row r="9">
      <c r="A9" t="inlineStr">
        <is>
          <t>Jody Lemoine / Tishco Networks</t>
        </is>
      </c>
      <c r="B9" t="inlineStr">
        <is>
          <t>加拿大</t>
        </is>
      </c>
      <c r="C9" t="inlineStr">
        <is>
          <t>Ontario</t>
        </is>
      </c>
      <c r="D9" t="inlineStr">
        <is>
          <t>tishco.ca</t>
        </is>
      </c>
      <c r="E9" t="inlineStr">
        <is>
          <t>集成商/顾问（MikroTik 认证）</t>
        </is>
      </c>
      <c r="F9" t="inlineStr">
        <is>
          <t>MikroTik 认证顾问 多证 + MikroTik 认证讲师 + **Cisco CCIE（41436）**</t>
        </is>
      </c>
      <c r="G9" t="inlineStr">
        <is>
          <t>否</t>
        </is>
      </c>
      <c r="H9" t="inlineStr">
        <is>
          <t>MikroTik 认证顾问：自己做方案/集成/运维并自行采购设备 → 用 ERPS/IGMP/VLAN/CLI/MIB 这类技术语言切入，不打价格战</t>
        </is>
      </c>
      <c r="I9" t="inlineStr">
        <is>
          <t>LT-S8328GP-4GX24GT-S</t>
        </is>
      </c>
      <c r="J9" t="inlineStr">
        <is>
          <t>+1 905 378 1134 / jody.lemoine@tishco.ca</t>
        </is>
      </c>
      <c r="K9" t="inlineStr">
        <is>
          <t>★★★</t>
        </is>
      </c>
      <c r="L9" t="inlineStr">
        <is>
          <t>未触达</t>
        </is>
      </c>
      <c r="M9" t="inlineStr">
        <is>
          <t>2026-09-22</t>
        </is>
      </c>
      <c r="N9" t="inlineStr"/>
      <c r="O9" t="inlineStr"/>
      <c r="P9" t="inlineStr"/>
      <c r="Q9" t="inlineStr">
        <is>
          <t>★★★ **同时持有 Cisco CCIE（证书号 41436，仍在有效期内）和 MikroTik 认证讲师资格** —— 极少见的双料，说明他真看得懂交换芯片/转发架构这类硬指标，不用给他做科普；1980 年代末入行，2007 年起独立经营 tishco networks；专做**多厂商**企业网络设计与实施 + 配套培训</t>
        </is>
      </c>
      <c r="R9" t="inlineStr">
        <is>
          <t>A</t>
        </is>
      </c>
      <c r="S9" t="inlineStr">
        <is>
          <t>有明确交换/供电需求（交换专长），且有具体人直联</t>
        </is>
      </c>
      <c r="T9" t="inlineStr">
        <is>
          <t>A-008</t>
        </is>
      </c>
      <c r="U9" t="inlineStr"/>
      <c r="V9" t="inlineStr"/>
    </row>
    <row r="10">
      <c r="A10" t="inlineStr">
        <is>
          <t>MohammadMahdi Raeesi / Commander IT</t>
        </is>
      </c>
      <c r="B10" t="inlineStr">
        <is>
          <t>加拿大</t>
        </is>
      </c>
      <c r="C10" t="inlineStr">
        <is>
          <t>Markham, ON</t>
        </is>
      </c>
      <c r="D10" t="inlineStr">
        <is>
          <t>commanderit.ca</t>
        </is>
      </c>
      <c r="E10" t="inlineStr">
        <is>
          <t>集成商/顾问（MikroTik 认证）</t>
        </is>
      </c>
      <c r="F10" t="inlineStr">
        <is>
          <t>MikroTik 认证顾问 MTCNA+MTCRE+MTCTCE</t>
        </is>
      </c>
      <c r="G10" t="inlineStr">
        <is>
          <t>否</t>
        </is>
      </c>
      <c r="H10" t="inlineStr">
        <is>
          <t>MikroTik 认证顾问：自己做方案/集成/运维并自行采购设备 → 用 ERPS/IGMP/VLAN/CLI/MIB 这类技术语言切入，不打价格战</t>
        </is>
      </c>
      <c r="I10" t="inlineStr">
        <is>
          <t>LT-S8328GP-4GX24GT-S</t>
        </is>
      </c>
      <c r="J10" t="inlineStr">
        <is>
          <t>647 562 2246 / admin@commanderit.ca</t>
        </is>
      </c>
      <c r="K10" t="inlineStr">
        <is>
          <t>★★★</t>
        </is>
      </c>
      <c r="L10" t="inlineStr">
        <is>
          <t>未触达</t>
        </is>
      </c>
      <c r="M10" t="inlineStr">
        <is>
          <t>2026-09-22</t>
        </is>
      </c>
      <c r="N10" t="inlineStr"/>
      <c r="O10" t="inlineStr"/>
      <c r="P10" t="inlineStr"/>
      <c r="Q10" t="inlineStr">
        <is>
          <t>★ 自述专长含 **switching**；RouterOS 7.xx、动态路由 BGP/OSPF、高性能无线与 CAPsMAN</t>
        </is>
      </c>
      <c r="R10" t="inlineStr">
        <is>
          <t>A</t>
        </is>
      </c>
      <c r="S10" t="inlineStr">
        <is>
          <t>有明确交换/供电需求（交换专长），且有具体人直联</t>
        </is>
      </c>
      <c r="T10" t="inlineStr">
        <is>
          <t>A-009</t>
        </is>
      </c>
      <c r="U10" t="inlineStr"/>
      <c r="V10" t="inlineStr"/>
    </row>
    <row r="11">
      <c r="A11" t="inlineStr">
        <is>
          <t>Wireless Netware</t>
        </is>
      </c>
      <c r="B11" t="inlineStr">
        <is>
          <t>加拿大</t>
        </is>
      </c>
      <c r="C11" t="inlineStr">
        <is>
          <t>Ontario</t>
        </is>
      </c>
      <c r="D11" t="inlineStr">
        <is>
          <t>wirelessnetware.ca</t>
        </is>
      </c>
      <c r="E11" t="inlineStr">
        <is>
          <t>分销（MikroTik 官方）</t>
        </is>
      </c>
      <c r="F11" t="inlineStr">
        <is>
          <t>MikroTik（Master+VAD）</t>
        </is>
      </c>
      <c r="G11" t="inlineStr">
        <is>
          <t>否</t>
        </is>
      </c>
      <c r="H11" t="inlineStr">
        <is>
          <t>卖 MikroTik 但缺工业/ERPS/PoE++ → 用同价位工业线补他的产品缺口</t>
        </is>
      </c>
      <c r="I11" t="inlineStr">
        <is>
          <t>LT-IS6312XG-4XS8GT</t>
        </is>
      </c>
      <c r="J11" t="inlineStr">
        <is>
          <t>+1 647 477 0163 / info@wirelessnetware.ca</t>
        </is>
      </c>
      <c r="K11" t="inlineStr">
        <is>
          <t>★★★</t>
        </is>
      </c>
      <c r="L11" t="inlineStr">
        <is>
          <t>未触达</t>
        </is>
      </c>
      <c r="M11" t="inlineStr">
        <is>
          <t>2026-09-22</t>
        </is>
      </c>
      <c r="N11" t="inlineStr"/>
      <c r="O11" t="inlineStr"/>
      <c r="P11" t="inlineStr"/>
      <c r="Q11" t="inlineStr">
        <is>
          <t>同时是 MikroTik 认证顾问（Hani Rahrouh，647-477-0163 / hr@wirelessnetware.ca，8 证含 MTCSWE）；有顾问团队；简历明确写「**Switching：熟悉 RouterOS 7.xx 的全部新交换功能，例如 L3 硬件卸载**」→ 他懂硬件卸载，能直接谈芯片规格；同时精通 RouterOS 与 SwitchOS；路由 BGP/OSPF、无线 PtP/PtMP/Mesh、CAPsMAN、API 与系统集成</t>
        </is>
      </c>
      <c r="R11" t="inlineStr">
        <is>
          <t>A</t>
        </is>
      </c>
      <c r="S11" t="inlineStr">
        <is>
          <t>有明确交换/供电需求（交换认证 MTCSWE、交换专长），且有具体人直联</t>
        </is>
      </c>
      <c r="T11" t="inlineStr">
        <is>
          <t>A-010</t>
        </is>
      </c>
      <c r="U11" t="inlineStr"/>
      <c r="V11" t="inlineStr"/>
    </row>
    <row r="12">
      <c r="A12" t="inlineStr">
        <is>
          <t>Yvan Laverdiere</t>
        </is>
      </c>
      <c r="B12" t="inlineStr">
        <is>
          <t>加拿大</t>
        </is>
      </c>
      <c r="C12" t="inlineStr">
        <is>
          <t>Rouyn-Noranda, QC</t>
        </is>
      </c>
      <c r="D12" t="inlineStr">
        <is>
          <t>cegepat.qc.ca</t>
        </is>
      </c>
      <c r="E12" t="inlineStr">
        <is>
          <t>集成商/顾问（MikroTik 认证）</t>
        </is>
      </c>
      <c r="F12" t="inlineStr">
        <is>
          <t>MikroTik 认证顾问 MTCNA+MTCRE+MTCWE+MTCINE+MTCSWE</t>
        </is>
      </c>
      <c r="G12" t="inlineStr">
        <is>
          <t>否</t>
        </is>
      </c>
      <c r="H12" t="inlineStr">
        <is>
          <t>MikroTik 认证顾问：自己做方案/集成/运维并自行采购设备 → 用 ERPS/IGMP/VLAN/CLI/MIB 这类技术语言切入，不打价格战</t>
        </is>
      </c>
      <c r="I12" t="inlineStr">
        <is>
          <t>LT-S8328GP-4GX24GT-S</t>
        </is>
      </c>
      <c r="J12" t="inlineStr">
        <is>
          <t>819-763-1411 / yvan.laverdiere@cegepat.qc.ca</t>
        </is>
      </c>
      <c r="K12" t="inlineStr">
        <is>
          <t>★★★</t>
        </is>
      </c>
      <c r="L12" t="inlineStr">
        <is>
          <t>未触达</t>
        </is>
      </c>
      <c r="M12" t="inlineStr">
        <is>
          <t>2026-09-22</t>
        </is>
      </c>
      <c r="N12" t="inlineStr"/>
      <c r="O12" t="inlineStr"/>
      <c r="P12" t="inlineStr"/>
      <c r="Q12" t="inlineStr">
        <is>
          <t>★ 持 **MTCSWE**；技能含 **VXLAN、VLAN**、RADIUS、MPLS/VPLS/VRF、IPSec/GRE/EoIP/IPIP、PPPoE、Hotspot、网络监控、Proxmox 集成；**任职于教育系统（cegepat.qc.ca 魁北克 CEGEP 学院）→ 校园网场景**；英法双语</t>
        </is>
      </c>
      <c r="R12" t="inlineStr">
        <is>
          <t>A</t>
        </is>
      </c>
      <c r="S12" t="inlineStr">
        <is>
          <t>有明确交换/供电需求（交换认证 MTCSWE、PoE/监控/门禁），且有具体人直联</t>
        </is>
      </c>
      <c r="T12" t="inlineStr">
        <is>
          <t>A-011</t>
        </is>
      </c>
      <c r="U12" t="inlineStr"/>
      <c r="V12" t="inlineStr"/>
    </row>
    <row r="13">
      <c r="A13" t="inlineStr">
        <is>
          <t>Balazs Meretei</t>
        </is>
      </c>
      <c r="B13" t="inlineStr">
        <is>
          <t>匈牙利</t>
        </is>
      </c>
      <c r="C13" t="inlineStr">
        <is>
          <t>Kecskemét</t>
        </is>
      </c>
      <c r="D13" t="inlineStr">
        <is>
          <t>meretei.hu</t>
        </is>
      </c>
      <c r="E13" t="inlineStr">
        <is>
          <t>集成商/顾问（MikroTik 认证）</t>
        </is>
      </c>
      <c r="F13" t="inlineStr">
        <is>
          <t>MikroTik 认证顾问 MTCNA+MTCRE+MTCWE+MTCSE+MTCSWE</t>
        </is>
      </c>
      <c r="G13" t="inlineStr">
        <is>
          <t>否</t>
        </is>
      </c>
      <c r="H13" t="inlineStr">
        <is>
          <t>MikroTik 认证顾问：自己做方案/集成/运维并自行采购设备 → 用 ERPS/IGMP/VLAN/CLI/MIB 这类技术语言切入，不打价格战</t>
        </is>
      </c>
      <c r="I13" t="inlineStr">
        <is>
          <t>LT-S8328GP-4GX24GT-S</t>
        </is>
      </c>
      <c r="J13" t="inlineStr">
        <is>
          <t>+36 30 999 9900 / balazs@meretei.hu</t>
        </is>
      </c>
      <c r="K13" t="inlineStr">
        <is>
          <t>★★★</t>
        </is>
      </c>
      <c r="L13" t="inlineStr">
        <is>
          <t>未触达</t>
        </is>
      </c>
      <c r="M13" t="inlineStr">
        <is>
          <t>2026-09-22</t>
        </is>
      </c>
      <c r="N13" t="inlineStr"/>
      <c r="O13" t="inlineStr"/>
      <c r="P13" t="inlineStr"/>
      <c r="Q13" t="inlineStr">
        <is>
          <t>★★ 持 MTCSWE；专长 **ISP 网络（ADSL/DOCSIS/ETTH/FTTH/WISP）+ 大规模组播网络（IPTV、视频监控系统）+ RADIUS 认证计费系统**的设计实施 → 监控与 IPTV 是最吃交换机的场景，IGMP Snooping/组播 VLAN 是硬需求</t>
        </is>
      </c>
      <c r="R13" t="inlineStr">
        <is>
          <t>A</t>
        </is>
      </c>
      <c r="S13" t="inlineStr">
        <is>
          <t>有明确交换/供电需求（交换认证 MTCSWE、PoE/监控/门禁、组播/IPTV），且有具体人直联</t>
        </is>
      </c>
      <c r="T13" t="inlineStr">
        <is>
          <t>A-012</t>
        </is>
      </c>
      <c r="U13" t="inlineStr"/>
      <c r="V13" t="inlineStr"/>
    </row>
    <row r="14">
      <c r="A14" t="inlineStr">
        <is>
          <t>Laszlo Kalapos / MindenamiMikrotik</t>
        </is>
      </c>
      <c r="B14" t="inlineStr">
        <is>
          <t>匈牙利</t>
        </is>
      </c>
      <c r="C14" t="inlineStr">
        <is>
          <t>Miskolc</t>
        </is>
      </c>
      <c r="D14" t="inlineStr">
        <is>
          <t>mindenamimikrotik.hu</t>
        </is>
      </c>
      <c r="E14" t="inlineStr">
        <is>
          <t>集成商/顾问（MikroTik 认证）</t>
        </is>
      </c>
      <c r="F14" t="inlineStr">
        <is>
          <t>MikroTik 认证顾问 MTCNA+MTCTCE+MTCUME+MTCINE+MTCSE+MTCSWE+MTCEWE</t>
        </is>
      </c>
      <c r="G14" t="inlineStr">
        <is>
          <t>否</t>
        </is>
      </c>
      <c r="H14" t="inlineStr">
        <is>
          <t>MikroTik 认证顾问：自己做方案/集成/运维并自行采购设备 → 用 ERPS/IGMP/VLAN/CLI/MIB 这类技术语言切入，不打价格战</t>
        </is>
      </c>
      <c r="I14" t="inlineStr">
        <is>
          <t>LT-S8328XGP-4XS24GT-S</t>
        </is>
      </c>
      <c r="J14" t="inlineStr">
        <is>
          <t>+36 20 295 6414 / info@mindenamimikrotik.hu</t>
        </is>
      </c>
      <c r="K14" t="inlineStr">
        <is>
          <t>★★★</t>
        </is>
      </c>
      <c r="L14" t="inlineStr">
        <is>
          <t>未触达</t>
        </is>
      </c>
      <c r="M14" t="inlineStr">
        <is>
          <t>2026-09-22</t>
        </is>
      </c>
      <c r="N14" t="inlineStr"/>
      <c r="O14" t="inlineStr"/>
      <c r="P14" t="inlineStr"/>
      <c r="Q14" t="inlineStr">
        <is>
          <t>★ 持 MTCSWE + MTCEWE；站点名直译「所有关于 MikroTik 的事」→ 纯 MikroTik 专营；有线无线网络设计安装、VPN、PPPoE（含 RADIUS）、防火墙、带宽管理与队列、Hotspot、User Manager、The Dude；现场+远程</t>
        </is>
      </c>
      <c r="R14" t="inlineStr">
        <is>
          <t>A</t>
        </is>
      </c>
      <c r="S14" t="inlineStr">
        <is>
          <t>有明确交换/供电需求（交换认证 MTCSWE、PoE/监控/门禁），且有具体人直联</t>
        </is>
      </c>
      <c r="T14" t="inlineStr">
        <is>
          <t>A-013</t>
        </is>
      </c>
      <c r="U14" t="inlineStr"/>
      <c r="V14" t="inlineStr"/>
    </row>
    <row r="15">
      <c r="A15" t="inlineStr">
        <is>
          <t>Tamás Gajdos</t>
        </is>
      </c>
      <c r="B15" t="inlineStr">
        <is>
          <t>匈牙利</t>
        </is>
      </c>
      <c r="C15" t="inlineStr">
        <is>
          <t>Szeged</t>
        </is>
      </c>
      <c r="D15" t="inlineStr"/>
      <c r="E15" t="inlineStr">
        <is>
          <t>集成商/顾问（MikroTik 认证）</t>
        </is>
      </c>
      <c r="F15" t="inlineStr">
        <is>
          <t>MikroTik 认证顾问 MTCNA+MTCRE+MTCWE+MTCINE+MTCIPv6E+MTCSE+MTCSWE+MTCEWE</t>
        </is>
      </c>
      <c r="G15" t="inlineStr">
        <is>
          <t>否</t>
        </is>
      </c>
      <c r="H15" t="inlineStr">
        <is>
          <t>MikroTik 认证顾问：自己做方案/集成/运维并自行采购设备 → 用 ERPS/IGMP/VLAN/CLI/MIB 这类技术语言切入，不打价格战</t>
        </is>
      </c>
      <c r="I15" t="inlineStr">
        <is>
          <t>LT-S8328XGP-4XS24GT-S</t>
        </is>
      </c>
      <c r="J15" t="inlineStr">
        <is>
          <t>+36 30 243 2729 / crowbarlabs@outlook.com</t>
        </is>
      </c>
      <c r="K15" t="inlineStr">
        <is>
          <t>★★★</t>
        </is>
      </c>
      <c r="L15" t="inlineStr">
        <is>
          <t>未触达</t>
        </is>
      </c>
      <c r="M15" t="inlineStr">
        <is>
          <t>2026-09-22</t>
        </is>
      </c>
      <c r="N15" t="inlineStr"/>
      <c r="O15" t="inlineStr"/>
      <c r="P15" t="inlineStr"/>
      <c r="Q15" t="inlineStr">
        <is>
          <t>8 证含 MTCSWE（交换）+ MTCEWE（企业无线）；中小企业 IT、WireGuard VPN；英匈塞三语</t>
        </is>
      </c>
      <c r="R15" t="inlineStr">
        <is>
          <t>A</t>
        </is>
      </c>
      <c r="S15" t="inlineStr">
        <is>
          <t>有明确交换/供电需求（交换认证 MTCSWE、交换专长），且有具体人直联</t>
        </is>
      </c>
      <c r="T15" t="inlineStr">
        <is>
          <t>A-014</t>
        </is>
      </c>
      <c r="U15" t="inlineStr"/>
      <c r="V15" t="inlineStr"/>
    </row>
    <row r="16">
      <c r="A16" t="inlineStr">
        <is>
          <t>Goran Stojkovic</t>
        </is>
      </c>
      <c r="B16" t="inlineStr">
        <is>
          <t>塞尔维亚</t>
        </is>
      </c>
      <c r="C16" t="inlineStr">
        <is>
          <t>Ćuprija</t>
        </is>
      </c>
      <c r="D16" t="inlineStr"/>
      <c r="E16" t="inlineStr">
        <is>
          <t>集成商/顾问（MikroTik 认证）</t>
        </is>
      </c>
      <c r="F16" t="inlineStr">
        <is>
          <t>MikroTik 认证顾问 MTCNA+MTCTCE</t>
        </is>
      </c>
      <c r="G16" t="inlineStr">
        <is>
          <t>否</t>
        </is>
      </c>
      <c r="H16" t="inlineStr">
        <is>
          <t>MikroTik 认证顾问：自己做方案/集成/运维并自行采购设备 → 用 ERPS/IGMP/VLAN/CLI/MIB 这类技术语言切入，不打价格战</t>
        </is>
      </c>
      <c r="I16" t="inlineStr">
        <is>
          <t>LT-S8328G-4XS24GT-S</t>
        </is>
      </c>
      <c r="J16" t="inlineStr">
        <is>
          <t>+381 35 847 7077 / intercom@beotel.net</t>
        </is>
      </c>
      <c r="K16" t="inlineStr">
        <is>
          <t>★★★</t>
        </is>
      </c>
      <c r="L16" t="inlineStr">
        <is>
          <t>未触达</t>
        </is>
      </c>
      <c r="M16" t="inlineStr">
        <is>
          <t>2026-09-22</t>
        </is>
      </c>
      <c r="N16" t="inlineStr"/>
      <c r="O16" t="inlineStr"/>
      <c r="P16" t="inlineStr"/>
      <c r="Q16" t="inlineStr">
        <is>
          <t>★ 专长含 **RouterBOARD 硬件维修** → 懂板级硬件，能评估做工与方案；另有有线无线网络设计（PtP/PtMP/Mesh）、PPPoE、队列与流量整形、QoS、负载均衡与多路径故障切换、高可用、静态/RIP/OSPF/BGP、WISP 运维</t>
        </is>
      </c>
      <c r="R16" t="inlineStr">
        <is>
          <t>A</t>
        </is>
      </c>
      <c r="S16" t="inlineStr">
        <is>
          <t>有明确交换/供电需求（PoE/监控/门禁），且有具体人直联</t>
        </is>
      </c>
      <c r="T16" t="inlineStr">
        <is>
          <t>A-015</t>
        </is>
      </c>
      <c r="U16" t="inlineStr"/>
      <c r="V16" t="inlineStr"/>
    </row>
    <row r="17">
      <c r="A17" t="inlineStr">
        <is>
          <t>Igor Stojković / Netis</t>
        </is>
      </c>
      <c r="B17" t="inlineStr">
        <is>
          <t>塞尔维亚</t>
        </is>
      </c>
      <c r="C17" t="inlineStr">
        <is>
          <t>Beograd</t>
        </is>
      </c>
      <c r="D17" t="inlineStr">
        <is>
          <t>netis.rs</t>
        </is>
      </c>
      <c r="E17" t="inlineStr">
        <is>
          <t>集成商/顾问（MikroTik 认证）</t>
        </is>
      </c>
      <c r="F17" t="inlineStr">
        <is>
          <t>MikroTik 认证顾问 MTCNA+MTCRE（自述可教 MTCNA/MTCRE/MTCTE/MTCWE/MTCINE）</t>
        </is>
      </c>
      <c r="G17" t="inlineStr">
        <is>
          <t>否</t>
        </is>
      </c>
      <c r="H17" t="inlineStr">
        <is>
          <t>MikroTik 认证顾问：自己做方案/集成/运维并自行采购设备 → 用 ERPS/IGMP/VLAN/CLI/MIB 这类技术语言切入，不打价格战</t>
        </is>
      </c>
      <c r="I17" t="inlineStr">
        <is>
          <t>LT-S8328XGP-4XS24GT-S</t>
        </is>
      </c>
      <c r="J17" t="inlineStr">
        <is>
          <t>+381 63 546 126 / igor.stojkovic@netis.rs</t>
        </is>
      </c>
      <c r="K17" t="inlineStr">
        <is>
          <t>★★★</t>
        </is>
      </c>
      <c r="L17" t="inlineStr">
        <is>
          <t>未触达</t>
        </is>
      </c>
      <c r="M17" t="inlineStr">
        <is>
          <t>2026-09-22</t>
        </is>
      </c>
      <c r="N17" t="inlineStr"/>
      <c r="O17" t="inlineStr"/>
      <c r="P17" t="inlineStr"/>
      <c r="Q17" t="inlineStr">
        <is>
          <t>★ **塞尔维亚 MikroTik 讲师**（可教 5 门课）；网络架构师，电信背景；网络设计、OSPF/BGP、带宽管理、Hotspot、PPPoE、PtP、防火墙、VLAN、DNS、代理缓存；**企业级与大规模 WISP 工程支持**</t>
        </is>
      </c>
      <c r="R17" t="inlineStr">
        <is>
          <t>A</t>
        </is>
      </c>
      <c r="S17" t="inlineStr">
        <is>
          <t>有明确交换/供电需求（PoE/监控/门禁），且有具体人直联</t>
        </is>
      </c>
      <c r="T17" t="inlineStr">
        <is>
          <t>A-016</t>
        </is>
      </c>
      <c r="U17" t="inlineStr"/>
      <c r="V17" t="inlineStr"/>
    </row>
    <row r="18">
      <c r="A18" t="inlineStr">
        <is>
          <t>Sasa Blagojevic</t>
        </is>
      </c>
      <c r="B18" t="inlineStr">
        <is>
          <t>塞尔维亚</t>
        </is>
      </c>
      <c r="C18" t="inlineStr">
        <is>
          <t>Niš</t>
        </is>
      </c>
      <c r="D18" t="inlineStr"/>
      <c r="E18" t="inlineStr">
        <is>
          <t>集成商/顾问（MikroTik 认证）</t>
        </is>
      </c>
      <c r="F18" t="inlineStr">
        <is>
          <t>MikroTik 认证顾问 MTCNA+MTCRE+MTCTCE+MTCSWE+MTCEWE</t>
        </is>
      </c>
      <c r="G18" t="inlineStr">
        <is>
          <t>否</t>
        </is>
      </c>
      <c r="H18" t="inlineStr">
        <is>
          <t>MikroTik 认证顾问：自己做方案/集成/运维并自行采购设备 → 用 ERPS/IGMP/VLAN/CLI/MIB 这类技术语言切入，不打价格战</t>
        </is>
      </c>
      <c r="I18" t="inlineStr">
        <is>
          <t>LT-S8328GP-4GX24GT-S</t>
        </is>
      </c>
      <c r="J18" t="inlineStr">
        <is>
          <t>+381 64 910 8717 / sajberista@gmail.com</t>
        </is>
      </c>
      <c r="K18" t="inlineStr">
        <is>
          <t>★★★</t>
        </is>
      </c>
      <c r="L18" t="inlineStr">
        <is>
          <t>未触达</t>
        </is>
      </c>
      <c r="M18" t="inlineStr">
        <is>
          <t>2026-09-22</t>
        </is>
      </c>
      <c r="N18" t="inlineStr"/>
      <c r="O18" t="inlineStr"/>
      <c r="P18" t="inlineStr"/>
      <c r="Q18" t="inlineStr">
        <is>
          <t>★★ 持 MTCSWE；**简历的交换专长段落与 IP ArchiTechs / LinkTechs 完全一致**（VLAN q-in-q、s/c tag、重写翻译、生成树、LACP 绑定、GPON、二层传输与冗余），说明他属于同一技术体系/合作网络；设计方向：运营商 WISP/Wireline、企业园区分支、数据中心；服务含 IPTV 与实时视频</t>
        </is>
      </c>
      <c r="R18" t="inlineStr">
        <is>
          <t>A</t>
        </is>
      </c>
      <c r="S18" t="inlineStr">
        <is>
          <t>有明确交换/供电需求（交换认证 MTCSWE、交换专长、组播/IPTV），且有具体人直联</t>
        </is>
      </c>
      <c r="T18" t="inlineStr">
        <is>
          <t>A-017</t>
        </is>
      </c>
      <c r="U18" t="inlineStr"/>
      <c r="V18" t="inlineStr"/>
    </row>
    <row r="19">
      <c r="A19" t="inlineStr">
        <is>
          <t>Bernhard Kröll / Giganet</t>
        </is>
      </c>
      <c r="B19" t="inlineStr">
        <is>
          <t>奥地利</t>
        </is>
      </c>
      <c r="C19" t="inlineStr">
        <is>
          <t>Mayrhofen</t>
        </is>
      </c>
      <c r="D19" t="inlineStr">
        <is>
          <t>giganet.at</t>
        </is>
      </c>
      <c r="E19" t="inlineStr">
        <is>
          <t>集成商/顾问（MikroTik 认证）</t>
        </is>
      </c>
      <c r="F19" t="inlineStr">
        <is>
          <t>MikroTik 认证顾问 MTCNA+MTCTCE+MTCIPv6E+MTCSWE</t>
        </is>
      </c>
      <c r="G19" t="inlineStr">
        <is>
          <t>否</t>
        </is>
      </c>
      <c r="H19" t="inlineStr">
        <is>
          <t>MikroTik 认证顾问：自己做方案/集成/运维并自行采购设备 → 用 ERPS/IGMP/VLAN/CLI/MIB 这类技术语言切入，不打价格战</t>
        </is>
      </c>
      <c r="I19" t="inlineStr">
        <is>
          <t>LT-S8328GP-4GX24GT-S</t>
        </is>
      </c>
      <c r="J19" t="inlineStr">
        <is>
          <t>+43 5285 2022 / bk@giganet.at</t>
        </is>
      </c>
      <c r="K19" t="inlineStr">
        <is>
          <t>★★★</t>
        </is>
      </c>
      <c r="L19" t="inlineStr">
        <is>
          <t>未触达</t>
        </is>
      </c>
      <c r="M19" t="inlineStr">
        <is>
          <t>2026-09-22</t>
        </is>
      </c>
      <c r="N19" t="inlineStr"/>
      <c r="O19" t="inlineStr"/>
      <c r="P19" t="inlineStr"/>
      <c r="Q19" t="inlineStr">
        <is>
          <t>★★ 持 MTCSWE；**23 年 MikroTik/RouterOS 经验**；从 SOHO 到企业网与数据中心（HC3 Scale Computing）；专长含 **switching、VLANs**、BGP、防火墙、隧道 VPN/IPsec/WireGuard、PPPoE、CAPsMAN、QoS 与队列、高可用与负载均衡、数据中心托管、监控、备份、自动化、网络审计</t>
        </is>
      </c>
      <c r="R19" t="inlineStr">
        <is>
          <t>A</t>
        </is>
      </c>
      <c r="S19" t="inlineStr">
        <is>
          <t>有明确交换/供电需求（交换认证 MTCSWE、交换专长、PoE/监控/门禁），且有具体人直联</t>
        </is>
      </c>
      <c r="T19" t="inlineStr">
        <is>
          <t>A-018</t>
        </is>
      </c>
      <c r="U19" t="inlineStr"/>
      <c r="V19" t="inlineStr"/>
    </row>
    <row r="20">
      <c r="A20" t="inlineStr">
        <is>
          <t>Khalil / Aulaf</t>
        </is>
      </c>
      <c r="B20" t="inlineStr">
        <is>
          <t>奥地利</t>
        </is>
      </c>
      <c r="C20" t="inlineStr"/>
      <c r="D20" t="inlineStr">
        <is>
          <t>aulaf.com</t>
        </is>
      </c>
      <c r="E20" t="inlineStr">
        <is>
          <t>集成商/顾问（MikroTik 认证）</t>
        </is>
      </c>
      <c r="F20" t="inlineStr">
        <is>
          <t>MikroTik 认证顾问 含 Routing/Switching 多方向</t>
        </is>
      </c>
      <c r="G20" t="inlineStr">
        <is>
          <t>否</t>
        </is>
      </c>
      <c r="H20" t="inlineStr">
        <is>
          <t>MikroTik 认证顾问：自己做方案/集成/运维并自行采购设备 → 用 ERPS/IGMP/VLAN/CLI/MIB 这类技术语言切入，不打价格战</t>
        </is>
      </c>
      <c r="I20" t="inlineStr">
        <is>
          <t>LT-S8328GP-4GX24GT-S</t>
        </is>
      </c>
      <c r="J20" t="inlineStr">
        <is>
          <t>+43 688 9131190 / khalil@aulaf.com</t>
        </is>
      </c>
      <c r="K20" t="inlineStr">
        <is>
          <t>★★★</t>
        </is>
      </c>
      <c r="L20" t="inlineStr">
        <is>
          <t>未触达</t>
        </is>
      </c>
      <c r="M20" t="inlineStr">
        <is>
          <t>2026-09-22</t>
        </is>
      </c>
      <c r="N20" t="inlineStr"/>
      <c r="O20" t="inlineStr"/>
      <c r="P20" t="inlineStr"/>
      <c r="Q20" t="inlineStr">
        <is>
          <t>★ 服务行业明确含 **政府、教育、医疗 Government; Education, Health**；多厂商环境；技能含 **Routing/Switching**、BGP/OSPF/MPLS/VPLS、流量工程、无线、防火墙、HotSpot、隧道与 VPN、负载均衡、带宽管理、队列 QoS、RADIUS、培训</t>
        </is>
      </c>
      <c r="R20" t="inlineStr">
        <is>
          <t>A</t>
        </is>
      </c>
      <c r="S20" t="inlineStr">
        <is>
          <t>有明确交换/供电需求（交换专长），且有具体人直联</t>
        </is>
      </c>
      <c r="T20" t="inlineStr">
        <is>
          <t>A-019</t>
        </is>
      </c>
      <c r="U20" t="inlineStr"/>
      <c r="V20" t="inlineStr"/>
    </row>
    <row r="21">
      <c r="A21" t="inlineStr">
        <is>
          <t>Apostolas Georgios</t>
        </is>
      </c>
      <c r="B21" t="inlineStr">
        <is>
          <t>希腊</t>
        </is>
      </c>
      <c r="C21" t="inlineStr">
        <is>
          <t>Rodos（罗德岛）</t>
        </is>
      </c>
      <c r="D21" t="inlineStr">
        <is>
          <t>apostolas.gr</t>
        </is>
      </c>
      <c r="E21" t="inlineStr">
        <is>
          <t>集成商/顾问（MikroTik 认证）</t>
        </is>
      </c>
      <c r="F21" t="inlineStr">
        <is>
          <t>MikroTik 认证顾问 MTCNA+MTCRE</t>
        </is>
      </c>
      <c r="G21" t="inlineStr">
        <is>
          <t>否</t>
        </is>
      </c>
      <c r="H21" t="inlineStr">
        <is>
          <t>MikroTik 认证顾问：自己做方案/集成/运维并自行采购设备 → 用 ERPS/IGMP/VLAN/CLI/MIB 这类技术语言切入，不打价格战</t>
        </is>
      </c>
      <c r="I21" t="inlineStr">
        <is>
          <t>LT-S8328GP-4GX24GT-S</t>
        </is>
      </c>
      <c r="J21" t="inlineStr">
        <is>
          <t>+30 22410 38089 / george@apostolas.gr</t>
        </is>
      </c>
      <c r="K21" t="inlineStr">
        <is>
          <t>★★★</t>
        </is>
      </c>
      <c r="L21" t="inlineStr">
        <is>
          <t>未触达</t>
        </is>
      </c>
      <c r="M21" t="inlineStr">
        <is>
          <t>2026-09-22</t>
        </is>
      </c>
      <c r="N21" t="inlineStr"/>
      <c r="O21" t="inlineStr"/>
      <c r="P21" t="inlineStr"/>
      <c r="Q21" t="inlineStr">
        <is>
          <t>★★ 信息与通信系统工程师；自述「**酒店 WiFi 网络专家，从结构化布线规划到 RouterOS 编程全包**」；技能含 Routing、**Switching**、HotSpot、CAPsMAN 集中管理、无线、VLAN、脚本、防火墙 → 罗德岛是旅游岛，酒店密度极高，PoE 接入交换机是刚需</t>
        </is>
      </c>
      <c r="R21" t="inlineStr">
        <is>
          <t>A</t>
        </is>
      </c>
      <c r="S21" t="inlineStr">
        <is>
          <t>有明确交换/供电需求（交换专长、酒店/多住户），且有具体人直联</t>
        </is>
      </c>
      <c r="T21" t="inlineStr">
        <is>
          <t>A-020</t>
        </is>
      </c>
      <c r="U21" t="inlineStr"/>
      <c r="V21" t="inlineStr"/>
    </row>
    <row r="22">
      <c r="A22" t="inlineStr">
        <is>
          <t>Charalampos Marinakis / SystemCon</t>
        </is>
      </c>
      <c r="B22" t="inlineStr">
        <is>
          <t>希腊</t>
        </is>
      </c>
      <c r="C22" t="inlineStr">
        <is>
          <t>Heraklion（克里特）</t>
        </is>
      </c>
      <c r="D22" t="inlineStr">
        <is>
          <t>systemcon.gr</t>
        </is>
      </c>
      <c r="E22" t="inlineStr">
        <is>
          <t>集成商/顾问（MikroTik 认证）</t>
        </is>
      </c>
      <c r="F22" t="inlineStr">
        <is>
          <t>MikroTik 认证顾问 MTCNA+MTCINE</t>
        </is>
      </c>
      <c r="G22" t="inlineStr">
        <is>
          <t>否</t>
        </is>
      </c>
      <c r="H22" t="inlineStr">
        <is>
          <t>MikroTik 认证顾问：自己做方案/集成/运维并自行采购设备 → 用 ERPS/IGMP/VLAN/CLI/MIB 这类技术语言切入，不打价格战</t>
        </is>
      </c>
      <c r="I22" t="inlineStr">
        <is>
          <t>LT-S8328GP-4GX24GT-S</t>
        </is>
      </c>
      <c r="J22" t="inlineStr">
        <is>
          <t>+30 281 121 7219 / info@systemcon.gr</t>
        </is>
      </c>
      <c r="K22" t="inlineStr">
        <is>
          <t>★★★</t>
        </is>
      </c>
      <c r="L22" t="inlineStr">
        <is>
          <t>未触达</t>
        </is>
      </c>
      <c r="M22" t="inlineStr">
        <is>
          <t>2026-09-22</t>
        </is>
      </c>
      <c r="N22" t="inlineStr"/>
      <c r="O22" t="inlineStr"/>
      <c r="P22" t="inlineStr"/>
      <c r="Q22" t="inlineStr">
        <is>
          <t>★ 公司**同时交付硬件与软件网络系统**（从小型企业到企业级），并提供安装/配置/支持/管理的认证专业服务；核心服务：网络设计、**Routing、Switching**、防火墙安全、HotSpot 与用户管理、VPN、负载均衡与故障切换、高可用、流量整形与 QoS、无线、**SLA 支持服务**</t>
        </is>
      </c>
      <c r="R22" t="inlineStr">
        <is>
          <t>A</t>
        </is>
      </c>
      <c r="S22" t="inlineStr">
        <is>
          <t>有明确交换/供电需求（交换专长），且有具体人直联</t>
        </is>
      </c>
      <c r="T22" t="inlineStr">
        <is>
          <t>A-021</t>
        </is>
      </c>
      <c r="U22" t="inlineStr"/>
      <c r="V22" t="inlineStr"/>
    </row>
    <row r="23">
      <c r="A23" t="inlineStr">
        <is>
          <t>Eleftherios Liodakis / MikroTik Training Greece</t>
        </is>
      </c>
      <c r="B23" t="inlineStr">
        <is>
          <t>希腊</t>
        </is>
      </c>
      <c r="C23" t="inlineStr">
        <is>
          <t>Chania</t>
        </is>
      </c>
      <c r="D23" t="inlineStr">
        <is>
          <t>mikrotiktraining.gr</t>
        </is>
      </c>
      <c r="E23" t="inlineStr">
        <is>
          <t>集成商/顾问（MikroTik 认证）</t>
        </is>
      </c>
      <c r="F23" t="inlineStr">
        <is>
          <t>MikroTik 认证顾问 MTCNA+MTCRE+MTCWE+MTCTCE+MTCUME+MTCINE+MTCIPv6E+MTCSE+MTCSWE</t>
        </is>
      </c>
      <c r="G23" t="inlineStr">
        <is>
          <t>否</t>
        </is>
      </c>
      <c r="H23" t="inlineStr">
        <is>
          <t>MikroTik 认证顾问：自己做方案/集成/运维并自行采购设备 → 用 ERPS/IGMP/VLAN/CLI/MIB 这类技术语言切入，不打价格战</t>
        </is>
      </c>
      <c r="I23" t="inlineStr">
        <is>
          <t>LT-S8328GP-4GX24GT-S</t>
        </is>
      </c>
      <c r="J23" t="inlineStr">
        <is>
          <t>+30 28210 98579 / el@dce.gr</t>
        </is>
      </c>
      <c r="K23" t="inlineStr">
        <is>
          <t>★★★</t>
        </is>
      </c>
      <c r="L23" t="inlineStr">
        <is>
          <t>未触达</t>
        </is>
      </c>
      <c r="M23" t="inlineStr">
        <is>
          <t>2026-09-22</t>
        </is>
      </c>
      <c r="N23" t="inlineStr"/>
      <c r="O23" t="inlineStr"/>
      <c r="P23" t="inlineStr"/>
      <c r="Q23" t="inlineStr">
        <is>
          <t>★ 9 证含 **MTCSWE**；经营 **mikrotiktraining.gr（希腊 MikroTik 培训机构）**；防火墙安全、PPPoE、各类隧道 VPN、负载均衡与多路径故障切换、队列与 QoS、User Manager + RADIUS</t>
        </is>
      </c>
      <c r="R23" t="inlineStr">
        <is>
          <t>A</t>
        </is>
      </c>
      <c r="S23" t="inlineStr">
        <is>
          <t>有明确交换/供电需求（交换认证 MTCSWE、PoE/监控/门禁），且有具体人直联</t>
        </is>
      </c>
      <c r="T23" t="inlineStr">
        <is>
          <t>A-022</t>
        </is>
      </c>
      <c r="U23" t="inlineStr"/>
      <c r="V23" t="inlineStr"/>
    </row>
    <row r="24">
      <c r="A24" t="inlineStr">
        <is>
          <t>George Tatsis / GTA</t>
        </is>
      </c>
      <c r="B24" t="inlineStr">
        <is>
          <t>希腊</t>
        </is>
      </c>
      <c r="C24" t="inlineStr">
        <is>
          <t>Galatsi (Athens)</t>
        </is>
      </c>
      <c r="D24" t="inlineStr">
        <is>
          <t>gta.gr</t>
        </is>
      </c>
      <c r="E24" t="inlineStr">
        <is>
          <t>集成商/顾问（MikroTik 认证）</t>
        </is>
      </c>
      <c r="F24" t="inlineStr">
        <is>
          <t>MikroTik 认证顾问 MTCNA+MTCRE+MTCSE</t>
        </is>
      </c>
      <c r="G24" t="inlineStr">
        <is>
          <t>否</t>
        </is>
      </c>
      <c r="H24" t="inlineStr">
        <is>
          <t>MikroTik 认证顾问：自己做方案/集成/运维并自行采购设备 → 用 ERPS/IGMP/VLAN/CLI/MIB 这类技术语言切入，不打价格战</t>
        </is>
      </c>
      <c r="I24" t="inlineStr">
        <is>
          <t>LT-S8328GP-4GX24GT-S</t>
        </is>
      </c>
      <c r="J24" t="inlineStr">
        <is>
          <t>+30 210 291 1011 / george@gta.gr</t>
        </is>
      </c>
      <c r="K24" t="inlineStr">
        <is>
          <t>★★★</t>
        </is>
      </c>
      <c r="L24" t="inlineStr">
        <is>
          <t>未触达</t>
        </is>
      </c>
      <c r="M24" t="inlineStr">
        <is>
          <t>2026-09-22</t>
        </is>
      </c>
      <c r="N24" t="inlineStr"/>
      <c r="O24" t="inlineStr"/>
      <c r="P24" t="inlineStr"/>
      <c r="Q24" t="inlineStr">
        <is>
          <t>★ 自述场景「**楼宇自控跑在网络上（controls running on the network），你需要为你的建筑提供稳定的承载网**」→ 楼宇自动化/弱电集成方向，帮客户设计、维护甚至翻新网络基础设施</t>
        </is>
      </c>
      <c r="R24" t="inlineStr">
        <is>
          <t>A</t>
        </is>
      </c>
      <c r="S24" t="inlineStr">
        <is>
          <t>有明确交换/供电需求（工业/楼宇），且有具体人直联</t>
        </is>
      </c>
      <c r="T24" t="inlineStr">
        <is>
          <t>A-023</t>
        </is>
      </c>
      <c r="U24" t="inlineStr"/>
      <c r="V24" t="inlineStr"/>
    </row>
    <row r="25">
      <c r="A25" t="inlineStr">
        <is>
          <t>HellasCom L.t.d.</t>
        </is>
      </c>
      <c r="B25" t="inlineStr">
        <is>
          <t>希腊</t>
        </is>
      </c>
      <c r="C25" t="inlineStr"/>
      <c r="D25" t="inlineStr">
        <is>
          <t>hellascom.gr</t>
        </is>
      </c>
      <c r="E25" t="inlineStr">
        <is>
          <t>分销（MikroTik 官方）</t>
        </is>
      </c>
      <c r="F25" t="inlineStr">
        <is>
          <t>MikroTik（Master+VAD）</t>
        </is>
      </c>
      <c r="G25" t="inlineStr">
        <is>
          <t>否</t>
        </is>
      </c>
      <c r="H25" t="inlineStr">
        <is>
          <t>卖 MikroTik 但缺工业/ERPS/PoE++ → 用同价位工业线补他的产品缺口</t>
        </is>
      </c>
      <c r="I25" t="inlineStr">
        <is>
          <t>LT-IS6312XGP-4XS8GT</t>
        </is>
      </c>
      <c r="J25" t="inlineStr">
        <is>
          <t>+30 210 4523890 / sales@hellascom.gr</t>
        </is>
      </c>
      <c r="K25" t="inlineStr">
        <is>
          <t>★★★</t>
        </is>
      </c>
      <c r="L25" t="inlineStr">
        <is>
          <t>未触达</t>
        </is>
      </c>
      <c r="M25" t="inlineStr">
        <is>
          <t>2026-09-22</t>
        </is>
      </c>
      <c r="N25" t="inlineStr"/>
      <c r="O25" t="inlineStr"/>
      <c r="P25" t="inlineStr"/>
      <c r="Q25" t="inlineStr">
        <is>
          <t>★★★ 【升级：希腊 MikroTik 生态的源头】自述「**本公司是希腊第一家 MikroTik 分销商（2001 年起），并从 2011 年起是希腊的 MikroTik 培训中心**」。联系人 Smaragdos，+30 210 451 1087 / smarag@hellascom.gr。项目能力：HotSpot、Netinstall、脚本、桥接、RADIUS、3G/LTE、CAPsMAN、The Dude 监控、故障切换与负载均衡、隧道与 VPN、长距离无线 PtP/PtMP/Mesh、L7 流量整形、虚拟化、防火墙 Mangle、OSPF/BGP、QoS 与队列、**船用 WiFi 项目 Marine WiFi**、VoIP、网络视频流、RoIP、**KNX（楼宇自控总线）**、**IPTV 项目（用 MikroTik 组播）** → 分销+培训+集成三位一体，希腊第一优先账号</t>
        </is>
      </c>
      <c r="R25" t="inlineStr">
        <is>
          <t>A</t>
        </is>
      </c>
      <c r="S25" t="inlineStr">
        <is>
          <t>有明确交换/供电需求（工业/楼宇、组播/IPTV），且有具体人直联</t>
        </is>
      </c>
      <c r="T25" t="inlineStr">
        <is>
          <t>A-024</t>
        </is>
      </c>
      <c r="U25" t="inlineStr"/>
      <c r="V25" t="inlineStr"/>
    </row>
    <row r="26">
      <c r="A26" t="inlineStr">
        <is>
          <t>Katsariotis Dimitrios / IME</t>
        </is>
      </c>
      <c r="B26" t="inlineStr">
        <is>
          <t>希腊</t>
        </is>
      </c>
      <c r="C26" t="inlineStr">
        <is>
          <t>Patra</t>
        </is>
      </c>
      <c r="D26" t="inlineStr">
        <is>
          <t>ime.com.gr</t>
        </is>
      </c>
      <c r="E26" t="inlineStr">
        <is>
          <t>集成商/顾问（MikroTik 认证）</t>
        </is>
      </c>
      <c r="F26" t="inlineStr">
        <is>
          <t>MikroTik 认证顾问 MTCNA+MTCRE+MTCTCE+MTCSE</t>
        </is>
      </c>
      <c r="G26" t="inlineStr">
        <is>
          <t>否</t>
        </is>
      </c>
      <c r="H26" t="inlineStr">
        <is>
          <t>MikroTik 认证顾问：自己做方案/集成/运维并自行采购设备 → 用 ERPS/IGMP/VLAN/CLI/MIB 这类技术语言切入，不打价格战</t>
        </is>
      </c>
      <c r="I26" t="inlineStr">
        <is>
          <t>LT-S8328GP-4GX24GT-S</t>
        </is>
      </c>
      <c r="J26" t="inlineStr">
        <is>
          <t>+30 697 762 8291 / dkats@ime.com.gr</t>
        </is>
      </c>
      <c r="K26" t="inlineStr">
        <is>
          <t>★★★</t>
        </is>
      </c>
      <c r="L26" t="inlineStr">
        <is>
          <t>未触达</t>
        </is>
      </c>
      <c r="M26" t="inlineStr">
        <is>
          <t>2026-09-22</t>
        </is>
      </c>
      <c r="N26" t="inlineStr"/>
      <c r="O26" t="inlineStr"/>
      <c r="P26" t="inlineStr"/>
      <c r="Q26" t="inlineStr">
        <is>
          <t>20+ 年网络基础设施设计实施管理支持；专长明确含 **switching**；路由、防火墙、无线、流量与带宽管理、IPSec/L2TP/SSTP/PPP/EoIP；云架构与 IT 管理</t>
        </is>
      </c>
      <c r="R26" t="inlineStr">
        <is>
          <t>A</t>
        </is>
      </c>
      <c r="S26" t="inlineStr">
        <is>
          <t>有明确交换/供电需求（交换专长），且有具体人直联</t>
        </is>
      </c>
      <c r="T26" t="inlineStr">
        <is>
          <t>A-025</t>
        </is>
      </c>
      <c r="U26" t="inlineStr"/>
      <c r="V26" t="inlineStr"/>
    </row>
    <row r="27">
      <c r="A27" t="inlineStr">
        <is>
          <t>Alexej Sokolow / DECOIT</t>
        </is>
      </c>
      <c r="B27" t="inlineStr">
        <is>
          <t>德国</t>
        </is>
      </c>
      <c r="C27" t="inlineStr">
        <is>
          <t>Bremen</t>
        </is>
      </c>
      <c r="D27" t="inlineStr">
        <is>
          <t>decoit.de</t>
        </is>
      </c>
      <c r="E27" t="inlineStr">
        <is>
          <t>集成商/顾问（MikroTik 认证）</t>
        </is>
      </c>
      <c r="F27" t="inlineStr">
        <is>
          <t>MikroTik 认证顾问 MTCNA+MTCRE+MTCSWE</t>
        </is>
      </c>
      <c r="G27" t="inlineStr">
        <is>
          <t>否</t>
        </is>
      </c>
      <c r="H27" t="inlineStr">
        <is>
          <t>MikroTik 认证顾问：自己做方案/集成/运维并自行采购设备 → 用 ERPS/IGMP/VLAN/CLI/MIB 这类技术语言切入，不打价格战</t>
        </is>
      </c>
      <c r="I27" t="inlineStr">
        <is>
          <t>LT-S8328XGP-4XS24GT-S</t>
        </is>
      </c>
      <c r="J27" t="inlineStr">
        <is>
          <t>+49 421 5960640 / sokolow@decoit.de</t>
        </is>
      </c>
      <c r="K27" t="inlineStr">
        <is>
          <t>★★★</t>
        </is>
      </c>
      <c r="L27" t="inlineStr">
        <is>
          <t>未触达</t>
        </is>
      </c>
      <c r="M27" t="inlineStr">
        <is>
          <t>2026-09-22</t>
        </is>
      </c>
      <c r="N27" t="inlineStr"/>
      <c r="O27" t="inlineStr"/>
      <c r="P27" t="inlineStr"/>
      <c r="Q27" t="inlineStr">
        <is>
          <t>★ 持 MTCSWE（交换认证）→ 交换机是正式专长，不是顺带；DECOIT 是不来梅 IT 安全/网络公司</t>
        </is>
      </c>
      <c r="R27" t="inlineStr">
        <is>
          <t>A</t>
        </is>
      </c>
      <c r="S27" t="inlineStr">
        <is>
          <t>有明确交换/供电需求（交换认证 MTCSWE、交换专长），且有具体人直联</t>
        </is>
      </c>
      <c r="T27" t="inlineStr">
        <is>
          <t>A-026</t>
        </is>
      </c>
      <c r="U27" t="inlineStr"/>
      <c r="V27" t="inlineStr"/>
    </row>
    <row r="28">
      <c r="A28" t="inlineStr">
        <is>
          <t>Dinko Ivanov / MBN Glasfaser</t>
        </is>
      </c>
      <c r="B28" t="inlineStr">
        <is>
          <t>德国</t>
        </is>
      </c>
      <c r="C28" t="inlineStr">
        <is>
          <t>Westhofen</t>
        </is>
      </c>
      <c r="D28" t="inlineStr">
        <is>
          <t>mbn-glasfaser.de</t>
        </is>
      </c>
      <c r="E28" t="inlineStr">
        <is>
          <t>集成商/顾问（MikroTik 认证）</t>
        </is>
      </c>
      <c r="F28" t="inlineStr">
        <is>
          <t>MikroTik 认证顾问 MTCNA+MTCSE</t>
        </is>
      </c>
      <c r="G28" t="inlineStr">
        <is>
          <t>否</t>
        </is>
      </c>
      <c r="H28" t="inlineStr">
        <is>
          <t>MikroTik 认证顾问：自己做方案/集成/运维并自行采购设备 → 用 ERPS/IGMP/VLAN/CLI/MIB 这类技术语言切入，不打价格战</t>
        </is>
      </c>
      <c r="I28" t="inlineStr">
        <is>
          <t>LT-S8328XG-4XS24GT-S</t>
        </is>
      </c>
      <c r="J28" t="inlineStr">
        <is>
          <t>+49 6344 9442084 / dinko.ivanov@mbn-glasfaser.de</t>
        </is>
      </c>
      <c r="K28" t="inlineStr">
        <is>
          <t>★★★</t>
        </is>
      </c>
      <c r="L28" t="inlineStr">
        <is>
          <t>未触达</t>
        </is>
      </c>
      <c r="M28" t="inlineStr">
        <is>
          <t>2026-09-22</t>
        </is>
      </c>
      <c r="N28" t="inlineStr"/>
      <c r="O28" t="inlineStr"/>
      <c r="P28" t="inlineStr"/>
      <c r="Q28" t="inlineStr">
        <is>
          <t>★ 光纤接入 ISP（公司名带 Glasfaser）→ FTTH 项目需要接入层交换机</t>
        </is>
      </c>
      <c r="R28" t="inlineStr">
        <is>
          <t>A</t>
        </is>
      </c>
      <c r="S28" t="inlineStr">
        <is>
          <t>有明确交换/供电需求（光纤接入），且有具体人直联</t>
        </is>
      </c>
      <c r="T28" t="inlineStr">
        <is>
          <t>A-027</t>
        </is>
      </c>
      <c r="U28" t="inlineStr"/>
      <c r="V28" t="inlineStr"/>
    </row>
    <row r="29">
      <c r="A29" t="inlineStr">
        <is>
          <t>Holger Witt / SKYTRON Communications GmbH &amp; Co. KG</t>
        </is>
      </c>
      <c r="B29" t="inlineStr">
        <is>
          <t>德国</t>
        </is>
      </c>
      <c r="C29" t="inlineStr">
        <is>
          <t>Karlsbad</t>
        </is>
      </c>
      <c r="D29" t="inlineStr">
        <is>
          <t>skytron.business</t>
        </is>
      </c>
      <c r="E29" t="inlineStr">
        <is>
          <t>集成商/顾问（MikroTik 认证）</t>
        </is>
      </c>
      <c r="F29" t="inlineStr">
        <is>
          <t>MikroTik 认证顾问 MTCNA+MTCRE+MTCWE+MTCTCE+MTCUME+MTCINE+MTCIPv6E+MTCSE+MTCEWE</t>
        </is>
      </c>
      <c r="G29" t="inlineStr">
        <is>
          <t>否</t>
        </is>
      </c>
      <c r="H29" t="inlineStr">
        <is>
          <t>MikroTik 认证顾问：自己做方案/集成/运维，会自己采购设备 → 用 ERPS/IGMP/VLAN/CLI 这类技术语言切入，不打价格战</t>
        </is>
      </c>
      <c r="I29" t="inlineStr">
        <is>
          <t>LT-S8328XGP-4XS24GT-S</t>
        </is>
      </c>
      <c r="J29" t="inlineStr">
        <is>
          <t>+49 7248 4528-130 / h.witt@skytron.de</t>
        </is>
      </c>
      <c r="K29" t="inlineStr">
        <is>
          <t>★★★</t>
        </is>
      </c>
      <c r="L29" t="inlineStr">
        <is>
          <t>未触达</t>
        </is>
      </c>
      <c r="M29" t="inlineStr">
        <is>
          <t>2026-09-22</t>
        </is>
      </c>
      <c r="N29" t="inlineStr"/>
      <c r="O29" t="inlineStr"/>
      <c r="P29" t="inlineStr"/>
      <c r="Q29" t="inlineStr">
        <is>
          <t>WISP/运营商：自建骨干网、BGP/OSPF/MPLS-VPLS、光纤与微波回传、公共 WiFi、IPv6/IoT/LoRaWAN → 最对口</t>
        </is>
      </c>
      <c r="R29" t="inlineStr">
        <is>
          <t>A</t>
        </is>
      </c>
      <c r="S29" t="inlineStr">
        <is>
          <t>有明确交换/供电需求（光纤接入），且有具体人直联</t>
        </is>
      </c>
      <c r="T29" t="inlineStr">
        <is>
          <t>A-028</t>
        </is>
      </c>
      <c r="U29" t="inlineStr"/>
      <c r="V29" t="inlineStr"/>
    </row>
    <row r="30">
      <c r="A30" t="inlineStr">
        <is>
          <t>Kehrlein（MikroTik 认证顾问）</t>
        </is>
      </c>
      <c r="B30" t="inlineStr">
        <is>
          <t>德国</t>
        </is>
      </c>
      <c r="C30" t="inlineStr">
        <is>
          <t>München</t>
        </is>
      </c>
      <c r="D30" t="inlineStr">
        <is>
          <t>kehrlein.de</t>
        </is>
      </c>
      <c r="E30" t="inlineStr">
        <is>
          <t>集成商/顾问（MikroTik 认证）</t>
        </is>
      </c>
      <c r="F30" t="inlineStr">
        <is>
          <t>MikroTik 认证顾问 MTCRE 等</t>
        </is>
      </c>
      <c r="G30" t="inlineStr">
        <is>
          <t>否</t>
        </is>
      </c>
      <c r="H30" t="inlineStr">
        <is>
          <t>MikroTik 认证顾问：自己做方案/集成/运维，会自己采购设备 → 用 ERPS/IGMP/VLAN/CLI 这类技术语言切入，不打价格战</t>
        </is>
      </c>
      <c r="I30" t="inlineStr">
        <is>
          <t>LT-S8328XG-4XS24GT-S</t>
        </is>
      </c>
      <c r="J30" t="inlineStr">
        <is>
          <t>+49 89 69387111 / info@kehrlein.de</t>
        </is>
      </c>
      <c r="K30" t="inlineStr">
        <is>
          <t>★★★</t>
        </is>
      </c>
      <c r="L30" t="inlineStr">
        <is>
          <t>未触达</t>
        </is>
      </c>
      <c r="M30" t="inlineStr">
        <is>
          <t>2026-09-22</t>
        </is>
      </c>
      <c r="N30" t="inlineStr"/>
      <c r="O30" t="inlineStr"/>
      <c r="P30" t="inlineStr"/>
      <c r="Q30" t="inlineStr">
        <is>
          <t xml:space="preserve"> München；技能含 VPN/IPsec/L2TP/OpenVPN/PPPoE/IPv6/无线/CAPsMAN/QoS/HA/负载均衡/数据中心</t>
        </is>
      </c>
      <c r="R30" t="inlineStr">
        <is>
          <t>A</t>
        </is>
      </c>
      <c r="S30" t="inlineStr">
        <is>
          <t>有明确交换/供电需求（PoE/监控/门禁），且有具体人直联</t>
        </is>
      </c>
      <c r="T30" t="inlineStr">
        <is>
          <t>A-029</t>
        </is>
      </c>
      <c r="U30" t="inlineStr"/>
      <c r="V30" t="inlineStr"/>
    </row>
    <row r="31">
      <c r="A31" t="inlineStr">
        <is>
          <t>Michael Gisbers / Linux-Schmie.de</t>
        </is>
      </c>
      <c r="B31" t="inlineStr">
        <is>
          <t>德国</t>
        </is>
      </c>
      <c r="C31" t="inlineStr">
        <is>
          <t>Oberhausen</t>
        </is>
      </c>
      <c r="D31" t="inlineStr">
        <is>
          <t>linux-schmie.de</t>
        </is>
      </c>
      <c r="E31" t="inlineStr">
        <is>
          <t>集成商/顾问（MikroTik 认证）</t>
        </is>
      </c>
      <c r="F31" t="inlineStr">
        <is>
          <t>MikroTik 认证顾问 MTCNA+MTCRE+MTCWE+MTCTCE+MTCUME+MTCINE+MTCIPv6E+MTCSE+MTCSWE+MTCEWE（10 证，全证）</t>
        </is>
      </c>
      <c r="G31" t="inlineStr">
        <is>
          <t>否</t>
        </is>
      </c>
      <c r="H31" t="inlineStr">
        <is>
          <t>MikroTik 认证顾问：自己做方案/集成/运维，会自己采购设备 → 用 ERPS/IGMP/VLAN/CLI 这类技术语言切入，不打价格战</t>
        </is>
      </c>
      <c r="I31" t="inlineStr">
        <is>
          <t>LT-S8328XGP-4XS24GT-S</t>
        </is>
      </c>
      <c r="J31" t="inlineStr">
        <is>
          <t>+49 173 5106822 / m.gisbers@linux-schmie.de</t>
        </is>
      </c>
      <c r="K31" t="inlineStr">
        <is>
          <t>★★★</t>
        </is>
      </c>
      <c r="L31" t="inlineStr">
        <is>
          <t>未触达</t>
        </is>
      </c>
      <c r="M31" t="inlineStr">
        <is>
          <t>2026-09-22</t>
        </is>
      </c>
      <c r="N31" t="inlineStr"/>
      <c r="O31" t="inlineStr"/>
      <c r="P31" t="inlineStr"/>
      <c r="Q31" t="inlineStr">
        <is>
          <t>10 项认证全拿 → 技术能力最强档；做 RouterOS 咨询/运维/培训，含 Linux 与云集成</t>
        </is>
      </c>
      <c r="R31" t="inlineStr">
        <is>
          <t>A</t>
        </is>
      </c>
      <c r="S31" t="inlineStr">
        <is>
          <t>有明确交换/供电需求（交换认证 MTCSWE），且有具体人直联</t>
        </is>
      </c>
      <c r="T31" t="inlineStr">
        <is>
          <t>A-030</t>
        </is>
      </c>
      <c r="U31" t="inlineStr"/>
      <c r="V31" t="inlineStr"/>
    </row>
    <row r="32">
      <c r="A32" t="inlineStr">
        <is>
          <t>VARIA System GmbH</t>
        </is>
      </c>
      <c r="B32" t="inlineStr">
        <is>
          <t>德国</t>
        </is>
      </c>
      <c r="C32" t="inlineStr"/>
      <c r="D32" t="inlineStr">
        <is>
          <t>varia-store.com</t>
        </is>
      </c>
      <c r="E32" t="inlineStr">
        <is>
          <t>分销（MikroTik 官方）</t>
        </is>
      </c>
      <c r="F32" t="inlineStr">
        <is>
          <t>MikroTik（Master+VAD）</t>
        </is>
      </c>
      <c r="G32" t="inlineStr">
        <is>
          <t>否</t>
        </is>
      </c>
      <c r="H32" t="inlineStr">
        <is>
          <t>卖 MikroTik 但缺工业/ERPS/PoE++ → 用同价位工业线补他的产品缺口</t>
        </is>
      </c>
      <c r="I32" t="inlineStr">
        <is>
          <t>LT-IS6312XG-4XS8GT</t>
        </is>
      </c>
      <c r="J32" t="inlineStr">
        <is>
          <t>+49 371 33716890 / shop@varia-store.com</t>
        </is>
      </c>
      <c r="K32" t="inlineStr">
        <is>
          <t>★★★</t>
        </is>
      </c>
      <c r="L32" t="inlineStr">
        <is>
          <t>未触达</t>
        </is>
      </c>
      <c r="M32" t="inlineStr">
        <is>
          <t>2026-09-22</t>
        </is>
      </c>
      <c r="N32" t="inlineStr"/>
      <c r="O32" t="inlineStr"/>
      <c r="P32" t="inlineStr"/>
      <c r="Q32" t="inlineStr">
        <is>
          <t>Chemnitz；工业/IoT 方向，最贴你的产品线</t>
        </is>
      </c>
      <c r="R32" t="inlineStr">
        <is>
          <t>A</t>
        </is>
      </c>
      <c r="S32" t="inlineStr">
        <is>
          <t>有明确交换/供电需求（工业/楼宇），且有具体人直联</t>
        </is>
      </c>
      <c r="T32" t="inlineStr">
        <is>
          <t>A-031</t>
        </is>
      </c>
      <c r="U32" t="inlineStr"/>
      <c r="V32" t="inlineStr"/>
    </row>
    <row r="33">
      <c r="A33" t="inlineStr">
        <is>
          <t>Aikom Technology</t>
        </is>
      </c>
      <c r="B33" t="inlineStr">
        <is>
          <t>意大利</t>
        </is>
      </c>
      <c r="C33" t="inlineStr">
        <is>
          <t>Riccione (RN)</t>
        </is>
      </c>
      <c r="D33" t="inlineStr">
        <is>
          <t>aikomtech.com</t>
        </is>
      </c>
      <c r="E33" t="inlineStr">
        <is>
          <t>分销（Teltonika Gold + ComNet 授权）</t>
        </is>
      </c>
      <c r="F33" t="inlineStr">
        <is>
          <t>Teltonika, ComNet</t>
        </is>
      </c>
      <c r="G33" t="inlineStr">
        <is>
          <t>否</t>
        </is>
      </c>
      <c r="H33" t="inlineStr">
        <is>
          <t>同时是 Teltonika 金牌 + ComNet 分销 → 多品牌工业 IoT 分销</t>
        </is>
      </c>
      <c r="I33" t="inlineStr">
        <is>
          <t>LT-IS6312XG-4XS8GT</t>
        </is>
      </c>
      <c r="J33" t="inlineStr">
        <is>
          <t>info@aikomtech.com；电话 +39 0541 648894</t>
        </is>
      </c>
      <c r="K33" t="inlineStr">
        <is>
          <t>★★★</t>
        </is>
      </c>
      <c r="L33" t="inlineStr">
        <is>
          <t>未触达</t>
        </is>
      </c>
      <c r="M33" t="inlineStr">
        <is>
          <t>2026-09-22</t>
        </is>
      </c>
      <c r="N33" t="inlineStr"/>
      <c r="O33" t="inlineStr"/>
      <c r="P33" t="inlineStr"/>
      <c r="Q33" t="inlineStr">
        <is>
          <t>意大利 T1，宜主攻；【2026-09-22 补】PLANET（台厂工业/商用交换机）授权分销渠道。；【2026-09-22 补】Aikom Technology S.r.l.，Viale Lambrusco 1, 47838 Riccione (RN)；Teltonika Networks 意大利 GOLD 分销商，增值分销定位。</t>
        </is>
      </c>
      <c r="R33" t="inlineStr">
        <is>
          <t>A</t>
        </is>
      </c>
      <c r="S33" t="inlineStr">
        <is>
          <t>有明确交换/供电需求（交换专长、工业/楼宇），且有具体人直联</t>
        </is>
      </c>
      <c r="T33" t="inlineStr">
        <is>
          <t>A-032</t>
        </is>
      </c>
      <c r="U33" t="inlineStr"/>
      <c r="V33" t="inlineStr"/>
    </row>
    <row r="34">
      <c r="A34" t="inlineStr">
        <is>
          <t>Alejandro Pablo Falà / MikroTik Training Italia</t>
        </is>
      </c>
      <c r="B34" t="inlineStr">
        <is>
          <t>意大利</t>
        </is>
      </c>
      <c r="C34" t="inlineStr">
        <is>
          <t>Ancona</t>
        </is>
      </c>
      <c r="D34" t="inlineStr">
        <is>
          <t>mikrotik-training.it</t>
        </is>
      </c>
      <c r="E34" t="inlineStr">
        <is>
          <t>集成商/顾问（MikroTik 认证）</t>
        </is>
      </c>
      <c r="F34" t="inlineStr">
        <is>
          <t>MikroTik 认证顾问 MTCNA+MTCRE+MTCINE+MTCIPv6E+MTCSE</t>
        </is>
      </c>
      <c r="G34" t="inlineStr">
        <is>
          <t>否</t>
        </is>
      </c>
      <c r="H34" t="inlineStr">
        <is>
          <t>MikroTik 认证顾问：自己做方案/集成/运维并自行采购设备 → 用 ERPS/IGMP/VLAN/CLI/MIB 这类技术语言切入，不打价格战</t>
        </is>
      </c>
      <c r="I34" t="inlineStr">
        <is>
          <t>LT-S8328XGP-4XS24GT-S</t>
        </is>
      </c>
      <c r="J34" t="inlineStr">
        <is>
          <t>info@mikrotik-training.it；手机 +39 375 526 6786（另有 +39 380 741 9844，站上标注可 WhatsApp）</t>
        </is>
      </c>
      <c r="K34" t="inlineStr">
        <is>
          <t>★★★</t>
        </is>
      </c>
      <c r="L34" t="inlineStr">
        <is>
          <t>未触达</t>
        </is>
      </c>
      <c r="M34" t="inlineStr">
        <is>
          <t>2026-09-22</t>
        </is>
      </c>
      <c r="N34" t="inlineStr"/>
      <c r="O34" t="inlineStr"/>
      <c r="P34" t="inlineStr"/>
      <c r="Q34" t="inlineStr">
        <is>
          <t>运营商网络顾问工程师：BGP/OSPF/MPLS/VPLS、IPv6、安全、高级无线、HotSpot、QoS 流量管理、PPPoE 与 RADIUS 工程；西/意母语，可全球接单；【2026-09-22 补】意大利 MikroTik 官方培训机构，除 info@ 外未公开个人邮箱；手机与 WhatsApp 可用。</t>
        </is>
      </c>
      <c r="R34" t="inlineStr">
        <is>
          <t>A</t>
        </is>
      </c>
      <c r="S34" t="inlineStr">
        <is>
          <t>有明确交换/供电需求（PoE/监控/门禁），且有具体人直联</t>
        </is>
      </c>
      <c r="T34" t="inlineStr">
        <is>
          <t>A-033</t>
        </is>
      </c>
      <c r="U34" t="inlineStr"/>
      <c r="V34" t="inlineStr"/>
    </row>
    <row r="35">
      <c r="A35" t="inlineStr">
        <is>
          <t>Alessandro Campanella / 1off</t>
        </is>
      </c>
      <c r="B35" t="inlineStr">
        <is>
          <t>意大利</t>
        </is>
      </c>
      <c r="C35" t="inlineStr">
        <is>
          <t>Mogliano Veneto</t>
        </is>
      </c>
      <c r="D35" t="inlineStr">
        <is>
          <t>1off.it</t>
        </is>
      </c>
      <c r="E35" t="inlineStr">
        <is>
          <t>集成商/顾问（MikroTik 认证）</t>
        </is>
      </c>
      <c r="F35" t="inlineStr">
        <is>
          <t>MikroTik 认证顾问 MTCNA+MTCIPv6E+MTCSE+MTCSWE+MTCEWE</t>
        </is>
      </c>
      <c r="G35" t="inlineStr">
        <is>
          <t>否</t>
        </is>
      </c>
      <c r="H35" t="inlineStr">
        <is>
          <t>MikroTik 认证顾问：自己做方案/集成/运维并自行采购设备 → 用 ERPS/IGMP/VLAN/CLI/MIB 这类技术语言切入，不打价格战</t>
        </is>
      </c>
      <c r="I35" t="inlineStr">
        <is>
          <t>LT-S8328XGP-4XS24GT-S</t>
        </is>
      </c>
      <c r="J35" t="inlineStr">
        <is>
          <t>+39 320 299 7787 / a.campanella@1off.it</t>
        </is>
      </c>
      <c r="K35" t="inlineStr">
        <is>
          <t>★★★</t>
        </is>
      </c>
      <c r="L35" t="inlineStr">
        <is>
          <t>未触达</t>
        </is>
      </c>
      <c r="M35" t="inlineStr">
        <is>
          <t>2026-09-22</t>
        </is>
      </c>
      <c r="N35" t="inlineStr"/>
      <c r="O35" t="inlineStr"/>
      <c r="P35" t="inlineStr"/>
      <c r="Q35" t="inlineStr">
        <is>
          <t>★★ 持 MTCSWE；2003 年起做 MikroTik、2007 年起当讲师；**Routing + Switching + Wireless + QoS + VPN + 安全**；网络设计/迁移/排障；为全球运营商与系统集成商服务 → 给 SI 供货的机会</t>
        </is>
      </c>
      <c r="R35" t="inlineStr">
        <is>
          <t>A</t>
        </is>
      </c>
      <c r="S35" t="inlineStr">
        <is>
          <t>有明确交换/供电需求（交换认证 MTCSWE、交换专长），且有具体人直联</t>
        </is>
      </c>
      <c r="T35" t="inlineStr">
        <is>
          <t>A-034</t>
        </is>
      </c>
      <c r="U35" t="inlineStr"/>
      <c r="V35" t="inlineStr"/>
    </row>
    <row r="36">
      <c r="A36" t="inlineStr">
        <is>
          <t>Alessandro Del Ferro / Bitmagic</t>
        </is>
      </c>
      <c r="B36" t="inlineStr">
        <is>
          <t>意大利</t>
        </is>
      </c>
      <c r="C36" t="inlineStr">
        <is>
          <t>Pesaro</t>
        </is>
      </c>
      <c r="D36" t="inlineStr">
        <is>
          <t>bitmagic.it</t>
        </is>
      </c>
      <c r="E36" t="inlineStr">
        <is>
          <t>集成商/顾问（MikroTik 认证）</t>
        </is>
      </c>
      <c r="F36" t="inlineStr">
        <is>
          <t>MikroTik 认证顾问 8 证（含 MTCSWE+MTCEWE）</t>
        </is>
      </c>
      <c r="G36" t="inlineStr">
        <is>
          <t>否</t>
        </is>
      </c>
      <c r="H36" t="inlineStr">
        <is>
          <t>MikroTik 认证顾问：自己做方案/集成/运维并自行采购设备 → 用 ERPS/IGMP/VLAN/CLI/MIB 这类技术语言切入，不打价格战</t>
        </is>
      </c>
      <c r="I36" t="inlineStr">
        <is>
          <t>LT-S8328XGP-4XS24GT-S</t>
        </is>
      </c>
      <c r="J36" t="inlineStr">
        <is>
          <t>+39 339 651 8864 / mikrotik_consultant@bitmagic.it</t>
        </is>
      </c>
      <c r="K36" t="inlineStr">
        <is>
          <t>★★★</t>
        </is>
      </c>
      <c r="L36" t="inlineStr">
        <is>
          <t>未触达</t>
        </is>
      </c>
      <c r="M36" t="inlineStr">
        <is>
          <t>2026-09-22</t>
        </is>
      </c>
      <c r="N36" t="inlineStr"/>
      <c r="O36" t="inlineStr"/>
      <c r="P36" t="inlineStr"/>
      <c r="Q36" t="inlineStr">
        <is>
          <t>持 MTCSWE（交换）+ MTCEWE（企业无线）+ MTCTCE（流量控制）</t>
        </is>
      </c>
      <c r="R36" t="inlineStr">
        <is>
          <t>A</t>
        </is>
      </c>
      <c r="S36" t="inlineStr">
        <is>
          <t>有明确交换/供电需求（交换认证 MTCSWE、交换专长），且有具体人直联</t>
        </is>
      </c>
      <c r="T36" t="inlineStr">
        <is>
          <t>A-035</t>
        </is>
      </c>
      <c r="U36" t="inlineStr"/>
      <c r="V36" t="inlineStr"/>
    </row>
    <row r="37">
      <c r="A37" t="inlineStr">
        <is>
          <t>Alfredo Giordano / TikTrain</t>
        </is>
      </c>
      <c r="B37" t="inlineStr">
        <is>
          <t>意大利</t>
        </is>
      </c>
      <c r="C37" t="inlineStr">
        <is>
          <t>Montoro</t>
        </is>
      </c>
      <c r="D37" t="inlineStr">
        <is>
          <t>tiktrain.com</t>
        </is>
      </c>
      <c r="E37" t="inlineStr">
        <is>
          <t>集成商/顾问（MikroTik 认证）</t>
        </is>
      </c>
      <c r="F37" t="inlineStr">
        <is>
          <t>MikroTik 认证顾问 MTCNA+MTCRE+MTCTCE</t>
        </is>
      </c>
      <c r="G37" t="inlineStr">
        <is>
          <t>否</t>
        </is>
      </c>
      <c r="H37" t="inlineStr">
        <is>
          <t>MikroTik 认证顾问：自己做方案/集成/运维并自行采购设备 → 用 ERPS/IGMP/VLAN/CLI/MIB 这类技术语言切入，不打价格战</t>
        </is>
      </c>
      <c r="I37" t="inlineStr">
        <is>
          <t>LT-S8328XGP-4XS24GT-S</t>
        </is>
      </c>
      <c r="J37" t="inlineStr">
        <is>
          <t>+39 347 312 5813 / alfredo@tiktrain.com</t>
        </is>
      </c>
      <c r="K37" t="inlineStr">
        <is>
          <t>★★★</t>
        </is>
      </c>
      <c r="L37" t="inlineStr">
        <is>
          <t>未触达</t>
        </is>
      </c>
      <c r="M37" t="inlineStr">
        <is>
          <t>2026-09-22</t>
        </is>
      </c>
      <c r="N37" t="inlineStr"/>
      <c r="O37" t="inlineStr"/>
      <c r="P37" t="inlineStr"/>
      <c r="Q37" t="inlineStr">
        <is>
          <t>ISP/**运营商网络**设计实施与排障；动态路由、隧道、QoS、PPPoE、RouterOS 与现有网集成、PtP/PtMP、负载均衡与故障切换、带宽管理；可服务欧洲与墨西哥</t>
        </is>
      </c>
      <c r="R37" t="inlineStr">
        <is>
          <t>A</t>
        </is>
      </c>
      <c r="S37" t="inlineStr">
        <is>
          <t>有明确交换/供电需求（PoE/监控/门禁），且有具体人直联</t>
        </is>
      </c>
      <c r="T37" t="inlineStr">
        <is>
          <t>A-036</t>
        </is>
      </c>
      <c r="U37" t="inlineStr"/>
      <c r="V37" t="inlineStr"/>
    </row>
    <row r="38">
      <c r="A38" t="inlineStr">
        <is>
          <t>Cristian Delogu / Netify</t>
        </is>
      </c>
      <c r="B38" t="inlineStr">
        <is>
          <t>意大利</t>
        </is>
      </c>
      <c r="C38" t="inlineStr">
        <is>
          <t>Lodi</t>
        </is>
      </c>
      <c r="D38" t="inlineStr">
        <is>
          <t>netify.it</t>
        </is>
      </c>
      <c r="E38" t="inlineStr">
        <is>
          <t>集成商/顾问（MikroTik 认证）</t>
        </is>
      </c>
      <c r="F38" t="inlineStr">
        <is>
          <t>MikroTik 认证顾问 MTCNA+MTCRE+MTCSE</t>
        </is>
      </c>
      <c r="G38" t="inlineStr">
        <is>
          <t>否</t>
        </is>
      </c>
      <c r="H38" t="inlineStr">
        <is>
          <t>MikroTik 认证顾问：自己做方案/集成/运维并自行采购设备 → 用 ERPS/IGMP/VLAN/CLI/MIB 这类技术语言切入，不打价格战</t>
        </is>
      </c>
      <c r="I38" t="inlineStr">
        <is>
          <t>LT-S8328XGP-4XS24GT-S</t>
        </is>
      </c>
      <c r="J38" t="inlineStr">
        <is>
          <t>+39 335 127 4723 / cristian.delogu@netify.it</t>
        </is>
      </c>
      <c r="K38" t="inlineStr">
        <is>
          <t>★★★</t>
        </is>
      </c>
      <c r="L38" t="inlineStr">
        <is>
          <t>未触达</t>
        </is>
      </c>
      <c r="M38" t="inlineStr">
        <is>
          <t>2026-09-22</t>
        </is>
      </c>
      <c r="N38" t="inlineStr"/>
      <c r="O38" t="inlineStr"/>
      <c r="P38" t="inlineStr"/>
      <c r="Q38" t="inlineStr">
        <is>
          <t>WISP/ISP 咨询：有线无线规划设计与迁移；VLAN、PPPoE、防火墙、OSPF、BGP、MPLS、无线、队列与流量整形、脚本、安全</t>
        </is>
      </c>
      <c r="R38" t="inlineStr">
        <is>
          <t>A</t>
        </is>
      </c>
      <c r="S38" t="inlineStr">
        <is>
          <t>有明确交换/供电需求（PoE/监控/门禁），且有具体人直联</t>
        </is>
      </c>
      <c r="T38" t="inlineStr">
        <is>
          <t>A-037</t>
        </is>
      </c>
      <c r="U38" t="inlineStr"/>
      <c r="V38" t="inlineStr"/>
    </row>
    <row r="39">
      <c r="A39" t="inlineStr">
        <is>
          <t>Davide Toffoletto</t>
        </is>
      </c>
      <c r="B39" t="inlineStr">
        <is>
          <t>意大利</t>
        </is>
      </c>
      <c r="C39" t="inlineStr">
        <is>
          <t>Udine</t>
        </is>
      </c>
      <c r="D39" t="inlineStr"/>
      <c r="E39" t="inlineStr">
        <is>
          <t>集成商/顾问（MikroTik 认证）</t>
        </is>
      </c>
      <c r="F39" t="inlineStr">
        <is>
          <t>MikroTik 认证顾问 MTCNA+MTCRE+MTCWE+MTCTCE+MTCINE+MTCIPv6E+MTCSE+MTCEWE</t>
        </is>
      </c>
      <c r="G39" t="inlineStr">
        <is>
          <t>否</t>
        </is>
      </c>
      <c r="H39" t="inlineStr">
        <is>
          <t>MikroTik 认证顾问：自己做方案/集成/运维并自行采购设备 → 用 ERPS/IGMP/VLAN/CLI/MIB 这类技术语言切入，不打价格战</t>
        </is>
      </c>
      <c r="I39" t="inlineStr">
        <is>
          <t>LT-S8328GP-4GX24GT-S</t>
        </is>
      </c>
      <c r="J39" t="inlineStr">
        <is>
          <t>+39 347 918 8529 / davide.toffoletto@gmail.com</t>
        </is>
      </c>
      <c r="K39" t="inlineStr">
        <is>
          <t>★★★</t>
        </is>
      </c>
      <c r="L39" t="inlineStr">
        <is>
          <t>未触达</t>
        </is>
      </c>
      <c r="M39" t="inlineStr">
        <is>
          <t>2026-09-22</t>
        </is>
      </c>
      <c r="N39" t="inlineStr"/>
      <c r="O39" t="inlineStr"/>
      <c r="P39" t="inlineStr"/>
      <c r="Q39" t="inlineStr">
        <is>
          <t>★★ 全科目 MikroTik 认证讲师；企业级网络 = **交换 switching、路由、防火墙、防火墙集群**；站点间 PtP 无线；**仓库与办公的室内无线覆盖（CAPsMAN）**；QoS</t>
        </is>
      </c>
      <c r="R39" t="inlineStr">
        <is>
          <t>A</t>
        </is>
      </c>
      <c r="S39" t="inlineStr">
        <is>
          <t>有明确交换/供电需求（交换专长、工业/楼宇），且有具体人直联</t>
        </is>
      </c>
      <c r="T39" t="inlineStr">
        <is>
          <t>A-038</t>
        </is>
      </c>
      <c r="U39" t="inlineStr"/>
      <c r="V39" t="inlineStr"/>
    </row>
    <row r="40">
      <c r="A40" t="inlineStr">
        <is>
          <t>Efa Automazione S.p.A.</t>
        </is>
      </c>
      <c r="B40" t="inlineStr">
        <is>
          <t>意大利</t>
        </is>
      </c>
      <c r="C40" t="inlineStr">
        <is>
          <t>Cernusco Sul Naviglio (MI)</t>
        </is>
      </c>
      <c r="D40" t="inlineStr">
        <is>
          <t>efa.it</t>
        </is>
      </c>
      <c r="E40" t="inlineStr">
        <is>
          <t>分销（HMS/N-Tron·Red Lion 渠道）</t>
        </is>
      </c>
      <c r="F40" t="inlineStr">
        <is>
          <t>N-Tron + Red Lion</t>
        </is>
      </c>
      <c r="G40" t="inlineStr">
        <is>
          <t>否</t>
        </is>
      </c>
      <c r="H40" t="inlineStr">
        <is>
          <t>卖 N-Tron/Red Lion 工业交换机（8口非网管约 $500+）→ 中性货同规格 LT-IS6310G 约 $91，做第二供应商，价差 5 倍</t>
        </is>
      </c>
      <c r="I40" t="inlineStr">
        <is>
          <t>LT-IS6312XGP-4XS8GT</t>
        </is>
      </c>
      <c r="J40" t="inlineStr">
        <is>
          <t>vendite@efa.it（销售部）；info@efa.it；电话 02 92 11 31 80</t>
        </is>
      </c>
      <c r="K40" t="inlineStr">
        <is>
          <t>★★★</t>
        </is>
      </c>
      <c r="L40" t="inlineStr">
        <is>
          <t>未触达</t>
        </is>
      </c>
      <c r="M40" t="inlineStr">
        <is>
          <t>2026-09-22</t>
        </is>
      </c>
      <c r="N40" t="inlineStr"/>
      <c r="O40" t="inlineStr"/>
      <c r="P40" t="inlineStr"/>
      <c r="Q40" t="inlineStr">
        <is>
          <t>米兰工业区；【2026-09-22 补】Via Isola Guarnieri 13, 20063 Cernusco sul Naviglio (MI)，另设 Villafranca di Verona 分部；定位工业数字化转型方案商。</t>
        </is>
      </c>
      <c r="R40" t="inlineStr">
        <is>
          <t>A</t>
        </is>
      </c>
      <c r="S40" t="inlineStr">
        <is>
          <t>有明确交换/供电需求（工业/楼宇），且有具体人直联</t>
        </is>
      </c>
      <c r="T40" t="inlineStr">
        <is>
          <t>A-039</t>
        </is>
      </c>
      <c r="U40" t="inlineStr"/>
      <c r="V40" t="inlineStr"/>
    </row>
    <row r="41">
      <c r="A41" t="inlineStr">
        <is>
          <t>Gianpiero Ciacci</t>
        </is>
      </c>
      <c r="B41" t="inlineStr">
        <is>
          <t>意大利</t>
        </is>
      </c>
      <c r="C41" t="inlineStr">
        <is>
          <t>Siena</t>
        </is>
      </c>
      <c r="D41" t="inlineStr"/>
      <c r="E41" t="inlineStr">
        <is>
          <t>集成商/顾问（MikroTik 认证）</t>
        </is>
      </c>
      <c r="F41" t="inlineStr">
        <is>
          <t>MikroTik 认证顾问 MTCNA+MTCSE</t>
        </is>
      </c>
      <c r="G41" t="inlineStr">
        <is>
          <t>否</t>
        </is>
      </c>
      <c r="H41" t="inlineStr">
        <is>
          <t>MikroTik 认证顾问：自己做方案/集成/运维并自行采购设备 → 用 ERPS/IGMP/VLAN/CLI/MIB 这类技术语言切入，不打价格战</t>
        </is>
      </c>
      <c r="I41" t="inlineStr">
        <is>
          <t>LT-S8328GP-4GX24GT-S</t>
        </is>
      </c>
      <c r="J41" t="inlineStr">
        <is>
          <t>+39 338 248 7996 / gciacci@gmail.com</t>
        </is>
      </c>
      <c r="K41" t="inlineStr">
        <is>
          <t>★★★</t>
        </is>
      </c>
      <c r="L41" t="inlineStr">
        <is>
          <t>未触达</t>
        </is>
      </c>
      <c r="M41" t="inlineStr">
        <is>
          <t>2026-09-22</t>
        </is>
      </c>
      <c r="N41" t="inlineStr"/>
      <c r="O41" t="inlineStr"/>
      <c r="P41" t="inlineStr"/>
      <c r="Q41" t="inlineStr">
        <is>
          <t>WISP、OSPF、防火墙、动态路由、流量管理、带宽整形、**switching**、VPN</t>
        </is>
      </c>
      <c r="R41" t="inlineStr">
        <is>
          <t>A</t>
        </is>
      </c>
      <c r="S41" t="inlineStr">
        <is>
          <t>有明确交换/供电需求（交换专长），且有具体人直联</t>
        </is>
      </c>
      <c r="T41" t="inlineStr">
        <is>
          <t>A-040</t>
        </is>
      </c>
      <c r="U41" t="inlineStr"/>
      <c r="V41" t="inlineStr"/>
    </row>
    <row r="42">
      <c r="A42" t="inlineStr">
        <is>
          <t>Lorenzo Busatti / Grifonline</t>
        </is>
      </c>
      <c r="B42" t="inlineStr">
        <is>
          <t>意大利</t>
        </is>
      </c>
      <c r="C42" t="inlineStr">
        <is>
          <t>Grosseto</t>
        </is>
      </c>
      <c r="D42" t="inlineStr">
        <is>
          <t>routing.wireless.academy</t>
        </is>
      </c>
      <c r="E42" t="inlineStr">
        <is>
          <t>集成商/顾问（MikroTik 认证）</t>
        </is>
      </c>
      <c r="F42" t="inlineStr">
        <is>
          <t>MikroTik 认证顾问 MTCNA+MTCRE+MTCINE+MTCIPv6E+MTCSE+MTCSWE+MTCEWE</t>
        </is>
      </c>
      <c r="G42" t="inlineStr">
        <is>
          <t>否</t>
        </is>
      </c>
      <c r="H42" t="inlineStr">
        <is>
          <t>MikroTik 认证顾问：自己做方案/集成/运维并自行采购设备 → 用 ERPS/IGMP/VLAN/CLI/MIB 这类技术语言切入，不打价格战</t>
        </is>
      </c>
      <c r="I42" t="inlineStr">
        <is>
          <t>LT-S8328XGP-4XS24GT-S</t>
        </is>
      </c>
      <c r="J42" t="inlineStr">
        <is>
          <t>+39 340 894 8064 / training@grifonline.it</t>
        </is>
      </c>
      <c r="K42" t="inlineStr">
        <is>
          <t>★★★</t>
        </is>
      </c>
      <c r="L42" t="inlineStr">
        <is>
          <t>未触达</t>
        </is>
      </c>
      <c r="M42" t="inlineStr">
        <is>
          <t>2026-09-22</t>
        </is>
      </c>
      <c r="N42" t="inlineStr"/>
      <c r="O42" t="inlineStr"/>
      <c r="P42" t="inlineStr"/>
      <c r="Q42" t="inlineStr">
        <is>
          <t>★★ 1997 年做 ISP、2006 年做 WISP、2010 年起当讲师；持有 MTCSWE；ISP/WISP 有线无线网络与 NOC 规划/设计/迁移，专精 OSPF 与 BGP；**10+ 次 MUM 大会演讲**，可全球出差</t>
        </is>
      </c>
      <c r="R42" t="inlineStr">
        <is>
          <t>A</t>
        </is>
      </c>
      <c r="S42" t="inlineStr">
        <is>
          <t>有明确交换/供电需求（交换认证 MTCSWE），且有具体人直联</t>
        </is>
      </c>
      <c r="T42" t="inlineStr">
        <is>
          <t>A-041</t>
        </is>
      </c>
      <c r="U42" t="inlineStr"/>
      <c r="V42" t="inlineStr"/>
    </row>
    <row r="43">
      <c r="A43" t="inlineStr">
        <is>
          <t>PF Tech</t>
        </is>
      </c>
      <c r="B43" t="inlineStr">
        <is>
          <t>意大利</t>
        </is>
      </c>
      <c r="C43" t="inlineStr">
        <is>
          <t>Favria / Cuorgnè</t>
        </is>
      </c>
      <c r="D43" t="inlineStr">
        <is>
          <t>pftech.it</t>
        </is>
      </c>
      <c r="E43" t="inlineStr">
        <is>
          <t>集成商/顾问（MikroTik 认证）</t>
        </is>
      </c>
      <c r="F43" t="inlineStr">
        <is>
          <t>MikroTik 认证顾问 MTCNA+MTCRE+MTCSE（公司内 3 人）</t>
        </is>
      </c>
      <c r="G43" t="inlineStr">
        <is>
          <t>否</t>
        </is>
      </c>
      <c r="H43" t="inlineStr">
        <is>
          <t>MikroTik 认证顾问：自己做方案/集成/运维并自行采购设备 → 用 ERPS/IGMP/VLAN/CLI/MIB 这类技术语言切入，不打价格战</t>
        </is>
      </c>
      <c r="I43" t="inlineStr">
        <is>
          <t>LT-S8328XGP-4XS24GT-S</t>
        </is>
      </c>
      <c r="J43" t="inlineStr">
        <is>
          <t>Paolo Vacca +39 0124 576161 / info@pftech.it；Stefano Callegari stefano.c@pftech.it；Stefano Vallosio stefano@pftech.it</t>
        </is>
      </c>
      <c r="K43" t="inlineStr">
        <is>
          <t>★★★</t>
        </is>
      </c>
      <c r="L43" t="inlineStr">
        <is>
          <t>未触达</t>
        </is>
      </c>
      <c r="M43" t="inlineStr">
        <is>
          <t>2026-09-22</t>
        </is>
      </c>
      <c r="N43" t="inlineStr"/>
      <c r="O43" t="inlineStr"/>
      <c r="P43" t="inlineStr"/>
      <c r="Q43" t="inlineStr">
        <is>
          <t>公司内 3 位 MikroTik 顾问。Paolo：静态路由与 OSPF、防火墙安全、网络设计、全系列 VPN 隧道（IPsec/PPPoE/L2TP/PPTP/SSTP/oVPN/EoIP/IPIP）、CHR over Proxmox/KVM、虚拟化</t>
        </is>
      </c>
      <c r="R43" t="inlineStr">
        <is>
          <t>A</t>
        </is>
      </c>
      <c r="S43" t="inlineStr">
        <is>
          <t>有明确交换/供电需求（PoE/监控/门禁），且有具体人直联</t>
        </is>
      </c>
      <c r="T43" t="inlineStr">
        <is>
          <t>A-042</t>
        </is>
      </c>
      <c r="U43" t="inlineStr"/>
      <c r="V43" t="inlineStr"/>
    </row>
    <row r="44">
      <c r="A44" t="inlineStr">
        <is>
          <t>Martin Pina</t>
        </is>
      </c>
      <c r="B44" t="inlineStr">
        <is>
          <t>捷克</t>
        </is>
      </c>
      <c r="C44" t="inlineStr">
        <is>
          <t>Olomouc</t>
        </is>
      </c>
      <c r="D44" t="inlineStr">
        <is>
          <t>hanacke.net</t>
        </is>
      </c>
      <c r="E44" t="inlineStr">
        <is>
          <t>集成商/顾问（MikroTik 认证）</t>
        </is>
      </c>
      <c r="F44" t="inlineStr">
        <is>
          <t>MikroTik 认证顾问 MTCNA+MTCINE+MTCIPv6E+MTCSE+MTCSWE</t>
        </is>
      </c>
      <c r="G44" t="inlineStr">
        <is>
          <t>否</t>
        </is>
      </c>
      <c r="H44" t="inlineStr">
        <is>
          <t>MikroTik 认证顾问：自己做方案/集成/运维并自行采购设备 → 用 ERPS/IGMP/VLAN/CLI/MIB 这类技术语言切入，不打价格战</t>
        </is>
      </c>
      <c r="I44" t="inlineStr">
        <is>
          <t>LT-S8328XGP-4XS24GT-S</t>
        </is>
      </c>
      <c r="J44" t="inlineStr">
        <is>
          <t>+420 732 712 317 / martin.pina@hanacke.net</t>
        </is>
      </c>
      <c r="K44" t="inlineStr">
        <is>
          <t>★★★</t>
        </is>
      </c>
      <c r="L44" t="inlineStr">
        <is>
          <t>未触达</t>
        </is>
      </c>
      <c r="M44" t="inlineStr">
        <is>
          <t>2026-09-22</t>
        </is>
      </c>
      <c r="N44" t="inlineStr"/>
      <c r="O44" t="inlineStr"/>
      <c r="P44" t="inlineStr"/>
      <c r="Q44" t="inlineStr">
        <is>
          <t>★ 持 MTCSWE（交换）+ MTCINE（ISP 互联）；自述含 switching、高可用、网络监控与安全、远程运维</t>
        </is>
      </c>
      <c r="R44" t="inlineStr">
        <is>
          <t>A</t>
        </is>
      </c>
      <c r="S44" t="inlineStr">
        <is>
          <t>有明确交换/供电需求（交换认证 MTCSWE、交换专长），且有具体人直联</t>
        </is>
      </c>
      <c r="T44" t="inlineStr">
        <is>
          <t>A-043</t>
        </is>
      </c>
      <c r="U44" t="inlineStr"/>
      <c r="V44" t="inlineStr"/>
    </row>
    <row r="45">
      <c r="A45" t="inlineStr">
        <is>
          <t>Westercom</t>
        </is>
      </c>
      <c r="B45" t="inlineStr">
        <is>
          <t>捷克/斯洛伐克</t>
        </is>
      </c>
      <c r="C45" t="inlineStr"/>
      <c r="D45" t="inlineStr">
        <is>
          <t>westercom.eu</t>
        </is>
      </c>
      <c r="E45" t="inlineStr">
        <is>
          <t>分销（Westermo Silver）</t>
        </is>
      </c>
      <c r="F45" t="inlineStr">
        <is>
          <t>Westermo, B+B SmartWorx</t>
        </is>
      </c>
      <c r="G45" t="inlineStr">
        <is>
          <t>否</t>
        </is>
      </c>
      <c r="H45" t="inlineStr">
        <is>
          <t>同时代理 Westermo 与 B+B SmartWorx → 典型多品牌工业分销</t>
        </is>
      </c>
      <c r="I45" t="inlineStr">
        <is>
          <t>LT-IS6312XG-4XS8GT</t>
        </is>
      </c>
      <c r="J45" t="inlineStr">
        <is>
          <t>+420 603 509 790</t>
        </is>
      </c>
      <c r="K45" t="inlineStr">
        <is>
          <t>★★★</t>
        </is>
      </c>
      <c r="L45" t="inlineStr">
        <is>
          <t>未触达</t>
        </is>
      </c>
      <c r="M45" t="inlineStr">
        <is>
          <t>2026-09-22</t>
        </is>
      </c>
      <c r="N45" t="inlineStr"/>
      <c r="O45" t="inlineStr"/>
      <c r="P45" t="inlineStr"/>
      <c r="Q45" t="inlineStr">
        <is>
          <t>已验证：站内还在卖 B+B SmartWorx 全线 【范围外】不在本次目标区域（欧洲+美加）内，暂不触达，留档备用；【2026-09-22 补】经 Advantech（台厂）EKI 系列渠道确认为其分销商。站点有 Advantech EKI 工业以太网设备专区，共 440 个型号、153 个现货，含 EKI-2528-BE（€103）、EKI-5528I-AE（€160）、EKI-7712G-4FPI-BE（€298）、EKI-7720G-4FI-BU（€1,144）等，标价为中欧行情参考。；【2026-09-23】Westermo 官方 where-to-buy 名录确认的分销商。捷克与斯洛伐克双国 **Silver 分销商**（Westermo 渠道第二等级）。</t>
        </is>
      </c>
      <c r="R45" t="inlineStr">
        <is>
          <t>A</t>
        </is>
      </c>
      <c r="S45" t="inlineStr">
        <is>
          <t>有明确交换/供电需求（工业/楼宇），且有具体人直联</t>
        </is>
      </c>
      <c r="T45" t="inlineStr">
        <is>
          <t>A-044</t>
        </is>
      </c>
      <c r="U45" t="inlineStr"/>
      <c r="V45" t="inlineStr"/>
    </row>
    <row r="46">
      <c r="A46" t="inlineStr">
        <is>
          <t>Dan Erhan</t>
        </is>
      </c>
      <c r="B46" t="inlineStr">
        <is>
          <t>摩尔多瓦</t>
        </is>
      </c>
      <c r="C46" t="inlineStr">
        <is>
          <t>Hancesti</t>
        </is>
      </c>
      <c r="D46" t="inlineStr"/>
      <c r="E46" t="inlineStr">
        <is>
          <t>集成商/顾问（MikroTik 认证）</t>
        </is>
      </c>
      <c r="F46" t="inlineStr">
        <is>
          <t>MikroTik 认证顾问 MTCNA+MTCSWE</t>
        </is>
      </c>
      <c r="G46" t="inlineStr">
        <is>
          <t>否</t>
        </is>
      </c>
      <c r="H46" t="inlineStr">
        <is>
          <t>MikroTik 认证顾问：自己做方案/集成/运维并自行采购设备 → 用 ERPS/IGMP/VLAN/CLI/MIB 这类技术语言切入，不打价格战</t>
        </is>
      </c>
      <c r="I46" t="inlineStr">
        <is>
          <t>LT-S8328GP-4GX24GT-S</t>
        </is>
      </c>
      <c r="J46" t="inlineStr">
        <is>
          <t>+373 798 117 28 / dan.erhan.off@gmail.com</t>
        </is>
      </c>
      <c r="K46" t="inlineStr">
        <is>
          <t>★★★</t>
        </is>
      </c>
      <c r="L46" t="inlineStr">
        <is>
          <t>未触达</t>
        </is>
      </c>
      <c r="M46" t="inlineStr">
        <is>
          <t>2026-09-22</t>
        </is>
      </c>
      <c r="N46" t="inlineStr"/>
      <c r="O46" t="inlineStr"/>
      <c r="P46" t="inlineStr"/>
      <c r="Q46" t="inlineStr">
        <is>
          <t>持 MTCSWE（交换认证）；英俄罗三语</t>
        </is>
      </c>
      <c r="R46" t="inlineStr">
        <is>
          <t>A</t>
        </is>
      </c>
      <c r="S46" t="inlineStr">
        <is>
          <t>有明确交换/供电需求（交换认证 MTCSWE、交换专长），且有具体人直联</t>
        </is>
      </c>
      <c r="T46" t="inlineStr">
        <is>
          <t>A-045</t>
        </is>
      </c>
      <c r="U46" t="inlineStr"/>
      <c r="V46" t="inlineStr"/>
    </row>
    <row r="47">
      <c r="A47" t="inlineStr">
        <is>
          <t>AiRiCOM</t>
        </is>
      </c>
      <c r="B47" t="inlineStr">
        <is>
          <t>法国</t>
        </is>
      </c>
      <c r="C47" t="inlineStr"/>
      <c r="D47" t="inlineStr">
        <is>
          <t>airicom.com</t>
        </is>
      </c>
      <c r="E47" t="inlineStr">
        <is>
          <t>分销（HMS：Red Lion / N-Tron）</t>
        </is>
      </c>
      <c r="F47" t="inlineStr">
        <is>
          <t>Red Lion, N-Tron</t>
        </is>
      </c>
      <c r="G47" t="inlineStr">
        <is>
          <t>否</t>
        </is>
      </c>
      <c r="H47" t="inlineStr">
        <is>
          <t>工业交换机同类替换</t>
        </is>
      </c>
      <c r="I47" t="inlineStr">
        <is>
          <t>LT-IS6312XGP-4XS8GT</t>
        </is>
      </c>
      <c r="J47" t="inlineStr">
        <is>
          <t>airicom.com</t>
        </is>
      </c>
      <c r="K47" t="inlineStr">
        <is>
          <t>★★★</t>
        </is>
      </c>
      <c r="L47" t="inlineStr">
        <is>
          <t>未触达</t>
        </is>
      </c>
      <c r="M47" t="inlineStr">
        <is>
          <t>2026-09-22</t>
        </is>
      </c>
      <c r="N47" t="inlineStr"/>
      <c r="O47" t="inlineStr"/>
      <c r="P47" t="inlineStr"/>
      <c r="Q47" t="inlineStr">
        <is>
          <t>Boufféré + 巴黎两处办公室；【2026-09-22 补】经 Moxa 渠道名录确认同时为 Moxa 法国渠道伙伴，主营 Moxa 工业网络产品线。</t>
        </is>
      </c>
      <c r="R47" t="inlineStr">
        <is>
          <t>A</t>
        </is>
      </c>
      <c r="S47" t="inlineStr">
        <is>
          <t>有明确交换/供电需求（工业/楼宇），三星重点</t>
        </is>
      </c>
      <c r="T47" t="inlineStr">
        <is>
          <t>A-046</t>
        </is>
      </c>
      <c r="U47" t="inlineStr"/>
      <c r="V47" t="inlineStr"/>
    </row>
    <row r="48">
      <c r="A48" t="inlineStr">
        <is>
          <t>CSI S.A.</t>
        </is>
      </c>
      <c r="B48" t="inlineStr">
        <is>
          <t>波兰</t>
        </is>
      </c>
      <c r="C48" t="inlineStr"/>
      <c r="D48" t="inlineStr">
        <is>
          <t>csi.pl</t>
        </is>
      </c>
      <c r="E48" t="inlineStr">
        <is>
          <t>分销（Antaira 授权）</t>
        </is>
      </c>
      <c r="F48" t="inlineStr">
        <is>
          <t>Antaira</t>
        </is>
      </c>
      <c r="G48" t="inlineStr">
        <is>
          <t>否</t>
        </is>
      </c>
      <c r="H48" t="inlineStr">
        <is>
          <t>工业/轨道同规格 1/3 价第二供应源</t>
        </is>
      </c>
      <c r="I48" t="inlineStr">
        <is>
          <t>LT-IS6312XGP-4XS8GT</t>
        </is>
      </c>
      <c r="J48" t="inlineStr">
        <is>
          <t>+48 12 390 61 80 / kontakt@csi.pl</t>
        </is>
      </c>
      <c r="K48" t="inlineStr">
        <is>
          <t>★★★</t>
        </is>
      </c>
      <c r="L48" t="inlineStr">
        <is>
          <t>未触达</t>
        </is>
      </c>
      <c r="M48" t="inlineStr">
        <is>
          <t>2026-09-22</t>
        </is>
      </c>
      <c r="N48" t="inlineStr"/>
      <c r="O48" t="inlineStr"/>
      <c r="P48" t="inlineStr"/>
      <c r="Q48" t="inlineStr">
        <is>
          <t>克拉科夫，波兰工业网络分销；【2026-09-23】Antaira 官方 where-to-buy 名录确认的分销商。波兰分销商，另有 kontakt@csi.pl。</t>
        </is>
      </c>
      <c r="R48" t="inlineStr">
        <is>
          <t>A</t>
        </is>
      </c>
      <c r="S48" t="inlineStr">
        <is>
          <t>有明确交换/供电需求（工业/楼宇），且有具体人直联</t>
        </is>
      </c>
      <c r="T48" t="inlineStr">
        <is>
          <t>A-047</t>
        </is>
      </c>
      <c r="U48" t="inlineStr"/>
      <c r="V48" t="inlineStr"/>
    </row>
    <row r="49">
      <c r="A49" t="inlineStr">
        <is>
          <t>Ihor Hreskiv / mtik.pl</t>
        </is>
      </c>
      <c r="B49" t="inlineStr">
        <is>
          <t>波兰</t>
        </is>
      </c>
      <c r="C49" t="inlineStr">
        <is>
          <t>Kraków</t>
        </is>
      </c>
      <c r="D49" t="inlineStr">
        <is>
          <t>mtik.pl</t>
        </is>
      </c>
      <c r="E49" t="inlineStr">
        <is>
          <t>集成商/顾问（MikroTik 认证）</t>
        </is>
      </c>
      <c r="F49" t="inlineStr">
        <is>
          <t>MikroTik 认证顾问 10 证全拿</t>
        </is>
      </c>
      <c r="G49" t="inlineStr">
        <is>
          <t>否</t>
        </is>
      </c>
      <c r="H49" t="inlineStr">
        <is>
          <t>MikroTik 认证顾问：自己做方案/集成/运维并自行采购设备 → 用 ERPS/IGMP/VLAN/CLI/MIB 这类技术语言切入，不打价格战</t>
        </is>
      </c>
      <c r="I49" t="inlineStr">
        <is>
          <t>LT-S8328XGP-4XS24GT-S</t>
        </is>
      </c>
      <c r="J49" t="inlineStr">
        <is>
          <t>+48 512 438 083 / biuro@mtik.pl</t>
        </is>
      </c>
      <c r="K49" t="inlineStr">
        <is>
          <t>★★★</t>
        </is>
      </c>
      <c r="L49" t="inlineStr">
        <is>
          <t>未触达</t>
        </is>
      </c>
      <c r="M49" t="inlineStr">
        <is>
          <t>2026-09-22</t>
        </is>
      </c>
      <c r="N49" t="inlineStr"/>
      <c r="O49" t="inlineStr"/>
      <c r="P49" t="inlineStr"/>
      <c r="Q49" t="inlineStr">
        <is>
          <t>★ MikroTik 认证讲师，已授课 300+ 场；20+ 年经验，ISP 咨询、动态路由、交换、WiFi/CAPsMAN；英/波/乌三语</t>
        </is>
      </c>
      <c r="R49" t="inlineStr">
        <is>
          <t>A</t>
        </is>
      </c>
      <c r="S49" t="inlineStr">
        <is>
          <t>有明确交换/供电需求（交换专长），且有具体人直联</t>
        </is>
      </c>
      <c r="T49" t="inlineStr">
        <is>
          <t>A-048</t>
        </is>
      </c>
      <c r="U49" t="inlineStr"/>
      <c r="V49" t="inlineStr"/>
    </row>
    <row r="50">
      <c r="A50" t="inlineStr">
        <is>
          <t>Jacek Rokicki / C3NET</t>
        </is>
      </c>
      <c r="B50" t="inlineStr">
        <is>
          <t>波兰</t>
        </is>
      </c>
      <c r="C50" t="inlineStr">
        <is>
          <t>Falenty Nowe</t>
        </is>
      </c>
      <c r="D50" t="inlineStr">
        <is>
          <t>c3net.pl</t>
        </is>
      </c>
      <c r="E50" t="inlineStr">
        <is>
          <t>集成商/顾问（MikroTik 认证）</t>
        </is>
      </c>
      <c r="F50" t="inlineStr">
        <is>
          <t>MikroTik 认证顾问 MTCNA+MTCTCE+MTCINE+MTCSE+MTCEWE</t>
        </is>
      </c>
      <c r="G50" t="inlineStr">
        <is>
          <t>否</t>
        </is>
      </c>
      <c r="H50" t="inlineStr">
        <is>
          <t>MikroTik 认证顾问：自己做方案/集成/运维并自行采购设备 → 用 ERPS/IGMP/VLAN/CLI/MIB 这类技术语言切入，不打价格战</t>
        </is>
      </c>
      <c r="I50" t="inlineStr">
        <is>
          <t>LT-S8328XG-4XS24GT-S</t>
        </is>
      </c>
      <c r="J50" t="inlineStr">
        <is>
          <t>+48 506 457 447 / mt-support@c3net.pl</t>
        </is>
      </c>
      <c r="K50" t="inlineStr">
        <is>
          <t>★★★</t>
        </is>
      </c>
      <c r="L50" t="inlineStr">
        <is>
          <t>未触达</t>
        </is>
      </c>
      <c r="M50" t="inlineStr">
        <is>
          <t>2026-09-22</t>
        </is>
      </c>
      <c r="N50" t="inlineStr"/>
      <c r="O50" t="inlineStr"/>
      <c r="P50" t="inlineStr"/>
      <c r="Q50" t="inlineStr">
        <is>
          <t>★ 自述技能直接写「CRS switches and many L2 topics」+ BGP/OSPF/CAPsMAN/队列与策略路由 → 交换机话题现成</t>
        </is>
      </c>
      <c r="R50" t="inlineStr">
        <is>
          <t>A</t>
        </is>
      </c>
      <c r="S50" t="inlineStr">
        <is>
          <t>有明确交换/供电需求（交换专长），且有具体人直联</t>
        </is>
      </c>
      <c r="T50" t="inlineStr">
        <is>
          <t>A-049</t>
        </is>
      </c>
      <c r="U50" t="inlineStr"/>
      <c r="V50" t="inlineStr"/>
    </row>
    <row r="51">
      <c r="A51" t="inlineStr">
        <is>
          <t>Maciej Ziółkowski</t>
        </is>
      </c>
      <c r="B51" t="inlineStr">
        <is>
          <t>波兰</t>
        </is>
      </c>
      <c r="C51" t="inlineStr">
        <is>
          <t>Włocławek / Poznań</t>
        </is>
      </c>
      <c r="D51" t="inlineStr">
        <is>
          <t>mziolkowski.pl</t>
        </is>
      </c>
      <c r="E51" t="inlineStr">
        <is>
          <t>集成商/顾问（MikroTik 认证）</t>
        </is>
      </c>
      <c r="F51" t="inlineStr">
        <is>
          <t>MikroTik 认证顾问 MTCNA+MTCRE</t>
        </is>
      </c>
      <c r="G51" t="inlineStr">
        <is>
          <t>否</t>
        </is>
      </c>
      <c r="H51" t="inlineStr">
        <is>
          <t>MikroTik 认证顾问：自己做方案/集成/运维并自行采购设备 → 用 ERPS/IGMP/VLAN/CLI/MIB 这类技术语言切入，不打价格战</t>
        </is>
      </c>
      <c r="I51" t="inlineStr">
        <is>
          <t>LT-S8328XG-4XS24GT-S</t>
        </is>
      </c>
      <c r="J51" t="inlineStr">
        <is>
          <t>kontakt@mziolkowski.pl</t>
        </is>
      </c>
      <c r="K51" t="inlineStr">
        <is>
          <t>★★★</t>
        </is>
      </c>
      <c r="L51" t="inlineStr">
        <is>
          <t>未触达</t>
        </is>
      </c>
      <c r="M51" t="inlineStr">
        <is>
          <t>2026-09-22</t>
        </is>
      </c>
      <c r="N51" t="inlineStr"/>
      <c r="O51" t="inlineStr"/>
      <c r="P51" t="inlineStr"/>
      <c r="Q51" t="inlineStr">
        <is>
          <t>10+ 年；VPN/路由/防火墙/安全/**交换**/脚本/MikroTik API → 自述含 switching 与 API，做自动化集成</t>
        </is>
      </c>
      <c r="R51" t="inlineStr">
        <is>
          <t>A</t>
        </is>
      </c>
      <c r="S51" t="inlineStr">
        <is>
          <t>有明确交换/供电需求（交换专长），且有具体人直联</t>
        </is>
      </c>
      <c r="T51" t="inlineStr">
        <is>
          <t>A-050</t>
        </is>
      </c>
      <c r="U51" t="inlineStr"/>
      <c r="V51" t="inlineStr"/>
    </row>
    <row r="52">
      <c r="A52" t="inlineStr">
        <is>
          <t>Paweł Wandas / SAFES</t>
        </is>
      </c>
      <c r="B52" t="inlineStr">
        <is>
          <t>波兰</t>
        </is>
      </c>
      <c r="C52" t="inlineStr">
        <is>
          <t>Kraków</t>
        </is>
      </c>
      <c r="D52" t="inlineStr">
        <is>
          <t>safes.pl</t>
        </is>
      </c>
      <c r="E52" t="inlineStr">
        <is>
          <t>集成商/顾问（MikroTik 认证）</t>
        </is>
      </c>
      <c r="F52" t="inlineStr">
        <is>
          <t>MikroTik 认证顾问 MTCNA+MTCRE+MTCWE+MTCTCE+MTCINE+MTCIPv6E+MTCSE+MTCSWE+MTCEWE</t>
        </is>
      </c>
      <c r="G52" t="inlineStr">
        <is>
          <t>否</t>
        </is>
      </c>
      <c r="H52" t="inlineStr">
        <is>
          <t>MikroTik 认证顾问：自己做方案/集成/运维并自行采购设备 → 用 ERPS/IGMP/VLAN/CLI/MIB 这类技术语言切入，不打价格战</t>
        </is>
      </c>
      <c r="I52" t="inlineStr">
        <is>
          <t>LT-S8328XGP-4XS24GT-S</t>
        </is>
      </c>
      <c r="J52" t="inlineStr">
        <is>
          <t>+48 412 412 324 / biuro@safes.pl</t>
        </is>
      </c>
      <c r="K52" t="inlineStr">
        <is>
          <t>★★★</t>
        </is>
      </c>
      <c r="L52" t="inlineStr">
        <is>
          <t>未触达</t>
        </is>
      </c>
      <c r="M52" t="inlineStr">
        <is>
          <t>2026-09-22</t>
        </is>
      </c>
      <c r="N52" t="inlineStr"/>
      <c r="O52" t="inlineStr"/>
      <c r="P52" t="inlineStr"/>
      <c r="Q52" t="inlineStr">
        <is>
          <t>防火墙/VPN/隧道/负载均衡/故障切换/QoS/高级路由/无线；熟 The Dude 网管 → 对 SNMP/MIB/NMS 集成有感觉</t>
        </is>
      </c>
      <c r="R52" t="inlineStr">
        <is>
          <t>A</t>
        </is>
      </c>
      <c r="S52" t="inlineStr">
        <is>
          <t>有明确交换/供电需求（交换认证 MTCSWE），且有具体人直联</t>
        </is>
      </c>
      <c r="T52" t="inlineStr">
        <is>
          <t>A-051</t>
        </is>
      </c>
      <c r="U52" t="inlineStr"/>
      <c r="V52" t="inlineStr"/>
    </row>
    <row r="53">
      <c r="A53" t="inlineStr">
        <is>
          <t>Ryszard Labus / SINUX</t>
        </is>
      </c>
      <c r="B53" t="inlineStr">
        <is>
          <t>波兰</t>
        </is>
      </c>
      <c r="C53" t="inlineStr">
        <is>
          <t>Warszawa</t>
        </is>
      </c>
      <c r="D53" t="inlineStr">
        <is>
          <t>sinux.pl</t>
        </is>
      </c>
      <c r="E53" t="inlineStr">
        <is>
          <t>集成商/顾问（MikroTik 认证）</t>
        </is>
      </c>
      <c r="F53" t="inlineStr">
        <is>
          <t>MikroTik 认证顾问 MTCNA+MTCRE+MTCSE+MTCSWE+MTCEWE</t>
        </is>
      </c>
      <c r="G53" t="inlineStr">
        <is>
          <t>否</t>
        </is>
      </c>
      <c r="H53" t="inlineStr">
        <is>
          <t>MikroTik 认证顾问：自己做方案/集成/运维并自行采购设备 → 用 ERPS/IGMP/VLAN/CLI/MIB 这类技术语言切入，不打价格战</t>
        </is>
      </c>
      <c r="I53" t="inlineStr">
        <is>
          <t>LT-IS6312XGP-4XS8GT</t>
        </is>
      </c>
      <c r="J53" t="inlineStr">
        <is>
          <t>+48 666 385 002 / r.labus@sinux.pl</t>
        </is>
      </c>
      <c r="K53" t="inlineStr">
        <is>
          <t>★★★</t>
        </is>
      </c>
      <c r="L53" t="inlineStr">
        <is>
          <t>未触达</t>
        </is>
      </c>
      <c r="M53" t="inlineStr">
        <is>
          <t>2026-09-22</t>
        </is>
      </c>
      <c r="N53" t="inlineStr"/>
      <c r="O53" t="inlineStr"/>
      <c r="P53" t="inlineStr"/>
      <c r="Q53" t="inlineStr">
        <is>
          <t>★ 专注 BMS / 工业 / 楼宇自动化网络，含 VLAN、VPN、跨网互联、与自动化系统集成 → 工业线最对口</t>
        </is>
      </c>
      <c r="R53" t="inlineStr">
        <is>
          <t>A</t>
        </is>
      </c>
      <c r="S53" t="inlineStr">
        <is>
          <t>有明确交换/供电需求（交换认证 MTCSWE、工业/楼宇），且有具体人直联</t>
        </is>
      </c>
      <c r="T53" t="inlineStr">
        <is>
          <t>A-052</t>
        </is>
      </c>
      <c r="U53" t="inlineStr"/>
      <c r="V53" t="inlineStr"/>
    </row>
    <row r="54">
      <c r="A54" t="inlineStr">
        <is>
          <t>Wojciech Mańka / Mikrotikon</t>
        </is>
      </c>
      <c r="B54" t="inlineStr">
        <is>
          <t>波兰</t>
        </is>
      </c>
      <c r="C54" t="inlineStr">
        <is>
          <t>Czerwionka-Leszczyny</t>
        </is>
      </c>
      <c r="D54" t="inlineStr">
        <is>
          <t>mikrotikon.pl</t>
        </is>
      </c>
      <c r="E54" t="inlineStr">
        <is>
          <t>集成商/顾问（MikroTik 认证）</t>
        </is>
      </c>
      <c r="F54" t="inlineStr">
        <is>
          <t>MikroTik 认证顾问 MTCNA+MTCRE+MTCWE+MTCTCE+MTCINE+MTCIPv6E+MTCSE+MTCSWE+MTCEWE</t>
        </is>
      </c>
      <c r="G54" t="inlineStr">
        <is>
          <t>否</t>
        </is>
      </c>
      <c r="H54" t="inlineStr">
        <is>
          <t>MikroTik 认证顾问：自己做方案/集成/运维并自行采购设备 → 用 ERPS/IGMP/VLAN/CLI/MIB 这类技术语言切入，不打价格战</t>
        </is>
      </c>
      <c r="I54" t="inlineStr">
        <is>
          <t>LT-IS6312XGP-4XS8GT</t>
        </is>
      </c>
      <c r="J54" t="inlineStr">
        <is>
          <t>+48 791 560 569 / kontakt@mikrotechnology.pl</t>
        </is>
      </c>
      <c r="K54" t="inlineStr">
        <is>
          <t>★★★</t>
        </is>
      </c>
      <c r="L54" t="inlineStr">
        <is>
          <t>未触达</t>
        </is>
      </c>
      <c r="M54" t="inlineStr">
        <is>
          <t>2026-09-22</t>
        </is>
      </c>
      <c r="N54" t="inlineStr"/>
      <c r="O54" t="inlineStr"/>
      <c r="P54" t="inlineStr"/>
      <c r="Q54" t="inlineStr">
        <is>
          <t>VPN/无线/防火墙/网络安全；小企业到运营商级方案</t>
        </is>
      </c>
      <c r="R54" t="inlineStr">
        <is>
          <t>A</t>
        </is>
      </c>
      <c r="S54" t="inlineStr">
        <is>
          <t>有明确交换/供电需求（交换认证 MTCSWE），且有具体人直联</t>
        </is>
      </c>
      <c r="T54" t="inlineStr">
        <is>
          <t>A-053</t>
        </is>
      </c>
      <c r="U54" t="inlineStr"/>
      <c r="V54" t="inlineStr"/>
    </row>
    <row r="55">
      <c r="A55" t="inlineStr">
        <is>
          <t>Martin Soovares</t>
        </is>
      </c>
      <c r="B55" t="inlineStr">
        <is>
          <t>爱沙尼亚</t>
        </is>
      </c>
      <c r="C55" t="inlineStr">
        <is>
          <t>Tartu</t>
        </is>
      </c>
      <c r="D55" t="inlineStr"/>
      <c r="E55" t="inlineStr">
        <is>
          <t>集成商/顾问（MikroTik 认证）</t>
        </is>
      </c>
      <c r="F55" t="inlineStr">
        <is>
          <t>MikroTik 认证顾问 MTCNA+MTCSE</t>
        </is>
      </c>
      <c r="G55" t="inlineStr">
        <is>
          <t>否</t>
        </is>
      </c>
      <c r="H55" t="inlineStr">
        <is>
          <t>MikroTik 认证顾问：自己做方案/集成/运维并自行采购设备 → 用 ERPS/IGMP/VLAN/CLI/MIB 这类技术语言切入，不打价格战</t>
        </is>
      </c>
      <c r="I55" t="inlineStr">
        <is>
          <t>LT-S8328GP-4GX24GT-S</t>
        </is>
      </c>
      <c r="J55" t="inlineStr">
        <is>
          <t>+372 554 9859 / martin.soovares@gmail.com</t>
        </is>
      </c>
      <c r="K55" t="inlineStr">
        <is>
          <t>★★★</t>
        </is>
      </c>
      <c r="L55" t="inlineStr">
        <is>
          <t>未触达</t>
        </is>
      </c>
      <c r="M55" t="inlineStr">
        <is>
          <t>2026-09-22</t>
        </is>
      </c>
      <c r="N55" t="inlineStr"/>
      <c r="O55" t="inlineStr"/>
      <c r="P55" t="inlineStr"/>
      <c r="Q55" t="inlineStr">
        <is>
          <t>★ 专做网络安全分析与运维；技能明确含 **Switching** + Routing + VPN（OpenVPN/WireGuard/IPSec）+ 防火墙（NAT/Layer-7/Mangle）+ User Manager + Hotspot</t>
        </is>
      </c>
      <c r="R55" t="inlineStr">
        <is>
          <t>A</t>
        </is>
      </c>
      <c r="S55" t="inlineStr">
        <is>
          <t>有明确交换/供电需求（交换专长），且有具体人直联</t>
        </is>
      </c>
      <c r="T55" t="inlineStr">
        <is>
          <t>A-054</t>
        </is>
      </c>
      <c r="U55" t="inlineStr"/>
      <c r="V55" t="inlineStr"/>
    </row>
    <row r="56">
      <c r="A56" t="inlineStr">
        <is>
          <t>Axbyte</t>
        </is>
      </c>
      <c r="B56" t="inlineStr">
        <is>
          <t>瑞典</t>
        </is>
      </c>
      <c r="C56" t="inlineStr">
        <is>
          <t>Järfälla / Älvsjö</t>
        </is>
      </c>
      <c r="D56" t="inlineStr">
        <is>
          <t>axbyte.se</t>
        </is>
      </c>
      <c r="E56" t="inlineStr">
        <is>
          <t>集成商/顾问（MikroTik 认证）</t>
        </is>
      </c>
      <c r="F56" t="inlineStr">
        <is>
          <t>MikroTik 认证顾问 公司内 2 人：Leo（瑞典 MikroTik 讲师）+ Fredrik Hellgren（MTCSWE）</t>
        </is>
      </c>
      <c r="G56" t="inlineStr">
        <is>
          <t>否</t>
        </is>
      </c>
      <c r="H56" t="inlineStr">
        <is>
          <t>MikroTik 认证顾问：自己做方案/集成/运维并自行采购设备 → 用 ERPS/IGMP/VLAN/CLI/MIB 这类技术语言切入，不打价格战</t>
        </is>
      </c>
      <c r="I56" t="inlineStr">
        <is>
          <t>LT-S8328XGP-4XS24GT-S</t>
        </is>
      </c>
      <c r="J56" t="inlineStr">
        <is>
          <t>Leo +46 70 591 5987 / leo@axbyte.se；Fredrik Hellgren +46 8 586 195 00 / support@axbyte.se</t>
        </is>
      </c>
      <c r="K56" t="inlineStr">
        <is>
          <t>★★★</t>
        </is>
      </c>
      <c r="L56" t="inlineStr">
        <is>
          <t>未触达</t>
        </is>
      </c>
      <c r="M56" t="inlineStr">
        <is>
          <t>2026-09-22</t>
        </is>
      </c>
      <c r="N56" t="inlineStr"/>
      <c r="O56" t="inlineStr"/>
      <c r="P56" t="inlineStr"/>
      <c r="Q56" t="inlineStr">
        <is>
          <t>★★ Leo 自述 **做了 21 年 MikroTik，是瑞典（SE）MikroTik RouterOS 官方讲师**，全领域覆盖：防火墙、流量管理、**switching、VLAN**、CAPsMAN、IPv6、OSPF/OSPFv3/iBGP/eBGP、脚本、有线无线设计、认证培训 → 瑞典最强的个人影响力节点</t>
        </is>
      </c>
      <c r="R56" t="inlineStr">
        <is>
          <t>A</t>
        </is>
      </c>
      <c r="S56" t="inlineStr">
        <is>
          <t>有明确交换/供电需求（交换认证 MTCSWE、交换专长），且有具体人直联</t>
        </is>
      </c>
      <c r="T56" t="inlineStr">
        <is>
          <t>A-055</t>
        </is>
      </c>
      <c r="U56" t="inlineStr"/>
      <c r="V56" t="inlineStr"/>
    </row>
    <row r="57">
      <c r="A57" t="inlineStr">
        <is>
          <t>Direktronik AB</t>
        </is>
      </c>
      <c r="B57" t="inlineStr">
        <is>
          <t>瑞典</t>
        </is>
      </c>
      <c r="C57" t="inlineStr">
        <is>
          <t>Nynäshamn</t>
        </is>
      </c>
      <c r="D57" t="inlineStr">
        <is>
          <t>direktronik.se</t>
        </is>
      </c>
      <c r="E57" t="inlineStr">
        <is>
          <t>分销（品牌独立）</t>
        </is>
      </c>
      <c r="F57" t="inlineStr">
        <is>
          <t>N-net 等；已在卖带ERPS/SNMPv3的管理型</t>
        </is>
      </c>
      <c r="G57" t="inlineStr">
        <is>
          <t>否</t>
        </is>
      </c>
      <c r="H57" t="inlineStr">
        <is>
          <t>已卖ERPS管理型→补10G上行与PoE++</t>
        </is>
      </c>
      <c r="I57" t="inlineStr">
        <is>
          <t>LT-IS6312XGP-4XS8GT-2BT</t>
        </is>
      </c>
      <c r="J57" t="inlineStr">
        <is>
          <t>Fredrik Brunzell - fredrik.brunzell@direktronik.se（Softing 名录公开）；Stefan Sandstrom - steffo@direktronik.se；总机 +46 8 52 400 700</t>
        </is>
      </c>
      <c r="K57" t="inlineStr">
        <is>
          <t>★★★</t>
        </is>
      </c>
      <c r="L57" t="inlineStr">
        <is>
          <t>未触达</t>
        </is>
      </c>
      <c r="M57" t="inlineStr">
        <is>
          <t>反向信号/2026-09</t>
        </is>
      </c>
      <c r="N57" t="inlineStr"/>
      <c r="O57" t="inlineStr"/>
      <c r="P57" t="inlineStr"/>
      <c r="Q57" t="inlineStr">
        <is>
          <t>30+年，8口PoE管理型约€127；【2026-09-22 补】瑞典 Nynäshamn，1986 年成立，约 27 人；自述为网络与数据通信基础设施专家。Nexlan AS 为其旗下品牌。</t>
        </is>
      </c>
      <c r="R57" t="inlineStr">
        <is>
          <t>A</t>
        </is>
      </c>
      <c r="S57" t="inlineStr">
        <is>
          <t>有明确交换/供电需求（PoE/监控/门禁），且有具体人直联</t>
        </is>
      </c>
      <c r="T57" t="inlineStr">
        <is>
          <t>A-056</t>
        </is>
      </c>
      <c r="U57" t="inlineStr"/>
      <c r="V57" t="inlineStr"/>
    </row>
    <row r="58">
      <c r="A58" t="inlineStr">
        <is>
          <t>Fernando Trigueiro / Straznet</t>
        </is>
      </c>
      <c r="B58" t="inlineStr">
        <is>
          <t>瑞典</t>
        </is>
      </c>
      <c r="C58" t="inlineStr">
        <is>
          <t>Kungsbacka</t>
        </is>
      </c>
      <c r="D58" t="inlineStr">
        <is>
          <t>straznet.se</t>
        </is>
      </c>
      <c r="E58" t="inlineStr">
        <is>
          <t>集成商/顾问（MikroTik 认证）</t>
        </is>
      </c>
      <c r="F58" t="inlineStr">
        <is>
          <t>MikroTik 认证顾问 MTCNA+MTCSE</t>
        </is>
      </c>
      <c r="G58" t="inlineStr">
        <is>
          <t>否</t>
        </is>
      </c>
      <c r="H58" t="inlineStr">
        <is>
          <t>MikroTik 认证顾问：自己做方案/集成/运维并自行采购设备 → 用 ERPS/IGMP/VLAN/CLI/MIB 这类技术语言切入，不打价格战</t>
        </is>
      </c>
      <c r="I58" t="inlineStr">
        <is>
          <t>LT-S8328GP-4GX24GT-S</t>
        </is>
      </c>
      <c r="J58" t="inlineStr">
        <is>
          <t>+46 300 307 80 / info@straznet.se</t>
        </is>
      </c>
      <c r="K58" t="inlineStr">
        <is>
          <t>★★★</t>
        </is>
      </c>
      <c r="L58" t="inlineStr">
        <is>
          <t>未触达</t>
        </is>
      </c>
      <c r="M58" t="inlineStr">
        <is>
          <t>2026-09-22</t>
        </is>
      </c>
      <c r="N58" t="inlineStr"/>
      <c r="O58" t="inlineStr"/>
      <c r="P58" t="inlineStr"/>
      <c r="Q58" t="inlineStr">
        <is>
          <t>★ 20+ 年 IT，近十年专做 MikroTik，自述聚焦 **advanced routing、switching、network design**；为各种规模企业做规划/实施/监控，强调可靠性、可扩展性与安全；巴西+瑞典两国背景，英葡波瑞四语</t>
        </is>
      </c>
      <c r="R58" t="inlineStr">
        <is>
          <t>A</t>
        </is>
      </c>
      <c r="S58" t="inlineStr">
        <is>
          <t>有明确交换/供电需求（交换专长），且有具体人直联</t>
        </is>
      </c>
      <c r="T58" t="inlineStr">
        <is>
          <t>A-057</t>
        </is>
      </c>
      <c r="U58" t="inlineStr"/>
      <c r="V58" t="inlineStr"/>
    </row>
    <row r="59">
      <c r="A59" t="inlineStr">
        <is>
          <t>Tomas Horyl / Narrowin</t>
        </is>
      </c>
      <c r="B59" t="inlineStr">
        <is>
          <t>瑞士</t>
        </is>
      </c>
      <c r="C59" t="inlineStr">
        <is>
          <t>Lugano</t>
        </is>
      </c>
      <c r="D59" t="inlineStr">
        <is>
          <t>narrowin.ch</t>
        </is>
      </c>
      <c r="E59" t="inlineStr">
        <is>
          <t>集成商/顾问（MikroTik 认证）</t>
        </is>
      </c>
      <c r="F59" t="inlineStr">
        <is>
          <t>MikroTik 认证顾问 MTCNA+MTCSWE</t>
        </is>
      </c>
      <c r="G59" t="inlineStr">
        <is>
          <t>否</t>
        </is>
      </c>
      <c r="H59" t="inlineStr">
        <is>
          <t>MikroTik 认证顾问：自己做方案/集成/运维并自行采购设备 → 用 ERPS/IGMP/VLAN/CLI/MIB 这类技术语言切入，不打价格战</t>
        </is>
      </c>
      <c r="I59" t="inlineStr">
        <is>
          <t>LT-S8328GP-4GX24GT-S</t>
        </is>
      </c>
      <c r="J59" t="inlineStr">
        <is>
          <t>info@narrowin.ch（另 +41 61 511 23 30）</t>
        </is>
      </c>
      <c r="K59" t="inlineStr">
        <is>
          <t>★★★</t>
        </is>
      </c>
      <c r="L59" t="inlineStr">
        <is>
          <t>未触达</t>
        </is>
      </c>
      <c r="M59" t="inlineStr">
        <is>
          <t>2026-09-22</t>
        </is>
      </c>
      <c r="N59" t="inlineStr"/>
      <c r="O59" t="inlineStr"/>
      <c r="P59" t="inlineStr"/>
      <c r="Q59" t="inlineStr">
        <is>
          <t>★★ 持 MTCSWE；公司为 MikroTik 提供**网络设计、可视化 visibility 与自动化**，并自研 **network explorer 工具 + MikroTik 开源自动化平台**（narrowin.ch/en/mikrotik_lightweight_sdn.html）→ 做工具的，会看重设备的 API/可管理性；英捷意德四语</t>
        </is>
      </c>
      <c r="R59" t="inlineStr">
        <is>
          <t>A</t>
        </is>
      </c>
      <c r="S59" t="inlineStr">
        <is>
          <t>有明确交换/供电需求（交换认证 MTCSWE），且有具体人直联</t>
        </is>
      </c>
      <c r="T59" t="inlineStr">
        <is>
          <t>A-058</t>
        </is>
      </c>
      <c r="U59" t="inlineStr"/>
      <c r="V59" t="inlineStr"/>
    </row>
    <row r="60">
      <c r="A60" t="inlineStr">
        <is>
          <t>Kęstutis Viselga / MikroTik Training Lietuva</t>
        </is>
      </c>
      <c r="B60" t="inlineStr">
        <is>
          <t>立陶宛</t>
        </is>
      </c>
      <c r="C60" t="inlineStr">
        <is>
          <t>Alytus</t>
        </is>
      </c>
      <c r="D60" t="inlineStr">
        <is>
          <t>mikrotik-training.lt</t>
        </is>
      </c>
      <c r="E60" t="inlineStr">
        <is>
          <t>集成商/顾问（MikroTik 认证）</t>
        </is>
      </c>
      <c r="F60" t="inlineStr">
        <is>
          <t>MikroTik 认证顾问 MTCNA+MTCRE+MTCWE+MTCTCE+MTCSE+MTCSWE</t>
        </is>
      </c>
      <c r="G60" t="inlineStr">
        <is>
          <t>否</t>
        </is>
      </c>
      <c r="H60" t="inlineStr">
        <is>
          <t>MikroTik 认证顾问：自己做方案/集成/运维并自行采购设备 → 用 ERPS/IGMP/VLAN/CLI/MIB 这类技术语言切入，不打价格战</t>
        </is>
      </c>
      <c r="I60" t="inlineStr">
        <is>
          <t>LT-S8328XGP-4XS24GT-S</t>
        </is>
      </c>
      <c r="J60" t="inlineStr">
        <is>
          <t>+370 684 43770 / trainer@mikrotik-training.lt</t>
        </is>
      </c>
      <c r="K60" t="inlineStr">
        <is>
          <t>★★★</t>
        </is>
      </c>
      <c r="L60" t="inlineStr">
        <is>
          <t>未触达</t>
        </is>
      </c>
      <c r="M60" t="inlineStr">
        <is>
          <t>2026-09-22</t>
        </is>
      </c>
      <c r="N60" t="inlineStr"/>
      <c r="O60" t="inlineStr"/>
      <c r="P60" t="inlineStr"/>
      <c r="Q60" t="inlineStr">
        <is>
          <t>★★ 立陶宛 MikroTik 培训机构（mikrotik-training.lt）；6 证含 **MTCSWE（交换）**+ MTCTCE（流量控制）+ MTCSE（安全）+ MTCWE（无线）→ 他教什么，立陶宛的工程师就用什么</t>
        </is>
      </c>
      <c r="R60" t="inlineStr">
        <is>
          <t>A</t>
        </is>
      </c>
      <c r="S60" t="inlineStr">
        <is>
          <t>有明确交换/供电需求（交换认证 MTCSWE、交换专长），且有具体人直联</t>
        </is>
      </c>
      <c r="T60" t="inlineStr">
        <is>
          <t>A-059</t>
        </is>
      </c>
      <c r="U60" t="inlineStr"/>
      <c r="V60" t="inlineStr"/>
    </row>
    <row r="61">
      <c r="A61" t="inlineStr">
        <is>
          <t>Robertas Stauskas / Magit</t>
        </is>
      </c>
      <c r="B61" t="inlineStr">
        <is>
          <t>立陶宛</t>
        </is>
      </c>
      <c r="C61" t="inlineStr">
        <is>
          <t>Vilnius</t>
        </is>
      </c>
      <c r="D61" t="inlineStr">
        <is>
          <t>magit.lt</t>
        </is>
      </c>
      <c r="E61" t="inlineStr">
        <is>
          <t>集成商/顾问（MikroTik 认证）</t>
        </is>
      </c>
      <c r="F61" t="inlineStr">
        <is>
          <t>MikroTik 认证顾问 MTCNA+MTCRE</t>
        </is>
      </c>
      <c r="G61" t="inlineStr">
        <is>
          <t>否</t>
        </is>
      </c>
      <c r="H61" t="inlineStr">
        <is>
          <t>MikroTik 认证顾问：自己做方案/集成/运维并自行采购设备 → 用 ERPS/IGMP/VLAN/CLI/MIB 这类技术语言切入，不打价格战</t>
        </is>
      </c>
      <c r="I61" t="inlineStr">
        <is>
          <t>LT-S8328GP-4GX24GT-S</t>
        </is>
      </c>
      <c r="J61" t="inlineStr">
        <is>
          <t>+370 674 47188 / robertas@magit.lt</t>
        </is>
      </c>
      <c r="K61" t="inlineStr">
        <is>
          <t>★★★</t>
        </is>
      </c>
      <c r="L61" t="inlineStr">
        <is>
          <t>未触达</t>
        </is>
      </c>
      <c r="M61" t="inlineStr">
        <is>
          <t>2026-09-22</t>
        </is>
      </c>
      <c r="N61" t="inlineStr"/>
      <c r="O61" t="inlineStr"/>
      <c r="P61" t="inlineStr"/>
      <c r="Q61" t="inlineStr">
        <is>
          <t>★ 服务项目第一条就是「**MikroTik router and switch configuration from scratch（从零配置路由器与交换机）**」；技能含 **VLANs、Bridges、Link Bonding（链路聚合）**、QoS/流量整形、防火墙加固、DDoS 防护、无线规划、网络审计与优化 → 接入层交换是他日常生意</t>
        </is>
      </c>
      <c r="R61" t="inlineStr">
        <is>
          <t>A</t>
        </is>
      </c>
      <c r="S61" t="inlineStr">
        <is>
          <t>有明确交换/供电需求（交换专长），且有具体人直联</t>
        </is>
      </c>
      <c r="T61" t="inlineStr">
        <is>
          <t>A-060</t>
        </is>
      </c>
      <c r="U61" t="inlineStr"/>
      <c r="V61" t="inlineStr"/>
    </row>
    <row r="62">
      <c r="A62" t="inlineStr">
        <is>
          <t>Veaceslav Samburschii / Academia MikroTik</t>
        </is>
      </c>
      <c r="B62" t="inlineStr">
        <is>
          <t>罗马尼亚</t>
        </is>
      </c>
      <c r="C62" t="inlineStr">
        <is>
          <t>Brașov</t>
        </is>
      </c>
      <c r="D62" t="inlineStr">
        <is>
          <t>academia-mikrotik.ro</t>
        </is>
      </c>
      <c r="E62" t="inlineStr">
        <is>
          <t>集成商/顾问（MikroTik 认证）</t>
        </is>
      </c>
      <c r="F62" t="inlineStr">
        <is>
          <t>MikroTik 认证顾问 MTCNA+MTCRE+MTCWE+MTCUME+MTCINE+MTCSE+MTCSWE+MTCEWE</t>
        </is>
      </c>
      <c r="G62" t="inlineStr">
        <is>
          <t>否</t>
        </is>
      </c>
      <c r="H62" t="inlineStr">
        <is>
          <t>MikroTik 认证顾问：自己做方案/集成/运维并自行采购设备 → 用 ERPS/IGMP/VLAN/CLI/MIB 这类技术语言切入，不打价格战</t>
        </is>
      </c>
      <c r="I62" t="inlineStr">
        <is>
          <t>LT-S8328XGP-4XS24GT-S</t>
        </is>
      </c>
      <c r="J62" t="inlineStr">
        <is>
          <t>+40 748 511 932 / vsamburski@gmail.com</t>
        </is>
      </c>
      <c r="K62" t="inlineStr">
        <is>
          <t>★★★</t>
        </is>
      </c>
      <c r="L62" t="inlineStr">
        <is>
          <t>未触达</t>
        </is>
      </c>
      <c r="M62" t="inlineStr">
        <is>
          <t>2026-09-22</t>
        </is>
      </c>
      <c r="N62" t="inlineStr"/>
      <c r="O62" t="inlineStr"/>
      <c r="P62" t="inlineStr"/>
      <c r="Q62" t="inlineStr">
        <is>
          <t>★★ 8 证含 MTCSWE（交换）+ MTCEWE（企业无线）；**经营罗马尼亚 MikroTik 学院 academia-mikrotik.ro（培训机构）** → 影响力型渠道：他讲什么设备，学员就用什么设备</t>
        </is>
      </c>
      <c r="R62" t="inlineStr">
        <is>
          <t>A</t>
        </is>
      </c>
      <c r="S62" t="inlineStr">
        <is>
          <t>有明确交换/供电需求（交换认证 MTCSWE、交换专长），且有具体人直联</t>
        </is>
      </c>
      <c r="T62" t="inlineStr">
        <is>
          <t>A-061</t>
        </is>
      </c>
      <c r="U62" t="inlineStr"/>
      <c r="V62" t="inlineStr"/>
    </row>
    <row r="63">
      <c r="A63" t="inlineStr">
        <is>
          <t>Andres Ocampo</t>
        </is>
      </c>
      <c r="B63" t="inlineStr">
        <is>
          <t>美国</t>
        </is>
      </c>
      <c r="C63" t="inlineStr">
        <is>
          <t>Lake Grove, NY</t>
        </is>
      </c>
      <c r="D63" t="inlineStr"/>
      <c r="E63" t="inlineStr">
        <is>
          <t>集成商/顾问（MikroTik 认证）</t>
        </is>
      </c>
      <c r="F63" t="inlineStr">
        <is>
          <t>MikroTik 认证顾问 MTCNA+MTCRE+MTCTCE+MTCINE+MTCIPv6E+MTCSE</t>
        </is>
      </c>
      <c r="G63" t="inlineStr">
        <is>
          <t>否</t>
        </is>
      </c>
      <c r="H63" t="inlineStr">
        <is>
          <t>MikroTik 认证顾问：自己做方案/集成/运维并自行采购设备 → 用 ERPS/IGMP/VLAN/CLI/MIB 这类技术语言切入，不打价格战</t>
        </is>
      </c>
      <c r="I63" t="inlineStr">
        <is>
          <t>LT-S8328GP-4GX24GT-S</t>
        </is>
      </c>
      <c r="J63" t="inlineStr">
        <is>
          <t>+1 551 219 8239 / sriandres@hotmail.com</t>
        </is>
      </c>
      <c r="K63" t="inlineStr">
        <is>
          <t>★★★</t>
        </is>
      </c>
      <c r="L63" t="inlineStr">
        <is>
          <t>未触达</t>
        </is>
      </c>
      <c r="M63" t="inlineStr">
        <is>
          <t>2026-09-22</t>
        </is>
      </c>
      <c r="N63" t="inlineStr"/>
      <c r="O63" t="inlineStr"/>
      <c r="P63" t="inlineStr"/>
      <c r="Q63" t="inlineStr">
        <is>
          <t>★ 技能清单明确含 **Switching（VRRP、SPT 生成树、L2 过滤器）**、Routing &amp; Switching；高级防火墙与 Mangle、OSPF/BGP/路由过滤、带宽管理与队列树、PtP/PtMP、MPLS 与 VPLS、VRF、HotSpot、运营商支持</t>
        </is>
      </c>
      <c r="R63" t="inlineStr">
        <is>
          <t>A</t>
        </is>
      </c>
      <c r="S63" t="inlineStr">
        <is>
          <t>有明确交换/供电需求（交换专长），且有具体人直联</t>
        </is>
      </c>
      <c r="T63" t="inlineStr">
        <is>
          <t>A-062</t>
        </is>
      </c>
      <c r="U63" t="inlineStr"/>
      <c r="V63" t="inlineStr"/>
    </row>
    <row r="64">
      <c r="A64" t="inlineStr">
        <is>
          <t>J A Shomer Company</t>
        </is>
      </c>
      <c r="B64" t="inlineStr">
        <is>
          <t>美国</t>
        </is>
      </c>
      <c r="C64" t="inlineStr">
        <is>
          <t>OH</t>
        </is>
      </c>
      <c r="D64" t="inlineStr">
        <is>
          <t>jashomer.com</t>
        </is>
      </c>
      <c r="E64" t="inlineStr">
        <is>
          <t>分销（HMS/N-Tron·Red Lion 渠道）</t>
        </is>
      </c>
      <c r="F64" t="inlineStr">
        <is>
          <t>N-Tron + Red Lion + Anybus + Ewon</t>
        </is>
      </c>
      <c r="G64" t="inlineStr">
        <is>
          <t>否</t>
        </is>
      </c>
      <c r="H64" t="inlineStr">
        <is>
          <t>卖 N-Tron/Red Lion 工业交换机（8口约 $500+）→ 中性货同规格 LT-IS6310G 约 $91，做第二供应商，价差 5 倍</t>
        </is>
      </c>
      <c r="I64" t="inlineStr">
        <is>
          <t>LT-IS6312XG-4XS8GT</t>
        </is>
      </c>
      <c r="J64" t="inlineStr">
        <is>
          <t>电话 216-221-4157（总机，Charles Zaugg 直线同号）；sales@jashomer.com。President：Charles Zaugg（邮箱按 czaugg@jashomer.com 推测，未验证）</t>
        </is>
      </c>
      <c r="K64" t="inlineStr">
        <is>
          <t>★★★</t>
        </is>
      </c>
      <c r="L64" t="inlineStr">
        <is>
          <t>未触达</t>
        </is>
      </c>
      <c r="M64" t="inlineStr">
        <is>
          <t>2026-09-22</t>
        </is>
      </c>
      <c r="N64" t="inlineStr"/>
      <c r="O64" t="inlineStr"/>
      <c r="P64" t="inlineStr"/>
      <c r="Q64" t="inlineStr">
        <is>
          <t>俄亥俄工业分销；⚠️ 中国产地不能做 TAA/NDAA 政府/电力项目，只谈商业渠道；【2026-09-22 补】1703 Brookpark Rd / 1951 W 112th St, Cleveland OH 44109；1–10 人小公司，60 年历史，做传感器、变频驱动、电机、传动与面板仪表。</t>
        </is>
      </c>
      <c r="R64" t="inlineStr">
        <is>
          <t>A</t>
        </is>
      </c>
      <c r="S64" t="inlineStr">
        <is>
          <t>有明确交换/供电需求（工业/楼宇），且有具体人直联</t>
        </is>
      </c>
      <c r="T64" t="inlineStr">
        <is>
          <t>A-063</t>
        </is>
      </c>
      <c r="U64" t="inlineStr"/>
      <c r="V64" t="inlineStr"/>
    </row>
    <row r="65">
      <c r="A65" t="inlineStr">
        <is>
          <t>Juan Manuel Díaz Gómez</t>
        </is>
      </c>
      <c r="B65" t="inlineStr">
        <is>
          <t>美国</t>
        </is>
      </c>
      <c r="C65" t="inlineStr">
        <is>
          <t>Tampa, FL</t>
        </is>
      </c>
      <c r="D65" t="inlineStr"/>
      <c r="E65" t="inlineStr">
        <is>
          <t>集成商/顾问（MikroTik 认证）</t>
        </is>
      </c>
      <c r="F65" t="inlineStr">
        <is>
          <t>MikroTik 认证顾问 10 证全拿</t>
        </is>
      </c>
      <c r="G65" t="inlineStr">
        <is>
          <t>否</t>
        </is>
      </c>
      <c r="H65" t="inlineStr">
        <is>
          <t>MikroTik 认证顾问：自己做方案/集成/运维并自行采购设备 → 用 ERPS/IGMP/VLAN/CLI/MIB 这类技术语言切入，不打价格战</t>
        </is>
      </c>
      <c r="I65" t="inlineStr">
        <is>
          <t>LT-S8328XG-4XS24GT-S</t>
        </is>
      </c>
      <c r="J65" t="inlineStr">
        <is>
          <t>+57 315 649 0735 / sutik.oficial@gmail.com</t>
        </is>
      </c>
      <c r="K65" t="inlineStr">
        <is>
          <t>★★★</t>
        </is>
      </c>
      <c r="L65" t="inlineStr">
        <is>
          <t>未触达</t>
        </is>
      </c>
      <c r="M65" t="inlineStr">
        <is>
          <t>2026-09-22</t>
        </is>
      </c>
      <c r="N65" t="inlineStr"/>
      <c r="O65" t="inlineStr"/>
      <c r="P65" t="inlineStr"/>
      <c r="Q65" t="inlineStr">
        <is>
          <t>★★ 10 证全拿 + 认证讲师，18+ 年 MikroTik；VPN 隧道、负载均衡与故障切换、BGP/OSPF、VLAN、PPPoE、防火墙、PtP/PtMP、CAPsMAN、QoS、The Dude；提供 24/7 支持；英西双语（拉美市场）</t>
        </is>
      </c>
      <c r="R65" t="inlineStr">
        <is>
          <t>A</t>
        </is>
      </c>
      <c r="S65" t="inlineStr">
        <is>
          <t>有明确交换/供电需求（PoE/监控/门禁），且有具体人直联</t>
        </is>
      </c>
      <c r="T65" t="inlineStr">
        <is>
          <t>A-064</t>
        </is>
      </c>
      <c r="U65" t="inlineStr"/>
      <c r="V65" t="inlineStr"/>
    </row>
    <row r="66">
      <c r="A66" t="inlineStr">
        <is>
          <t>Michael Jezierski / IndyCar</t>
        </is>
      </c>
      <c r="B66" t="inlineStr">
        <is>
          <t>美国</t>
        </is>
      </c>
      <c r="C66" t="inlineStr">
        <is>
          <t>Indianapolis</t>
        </is>
      </c>
      <c r="D66" t="inlineStr">
        <is>
          <t>indycar.com</t>
        </is>
      </c>
      <c r="E66" t="inlineStr">
        <is>
          <t>集成商/顾问（MikroTik 认证）</t>
        </is>
      </c>
      <c r="F66" t="inlineStr">
        <is>
          <t>MikroTik 认证顾问 MTCNA+MTCRE+MTCIPv6E+MTCSWE</t>
        </is>
      </c>
      <c r="G66" t="inlineStr">
        <is>
          <t>否</t>
        </is>
      </c>
      <c r="H66" t="inlineStr">
        <is>
          <t>MikroTik 认证顾问：自己做方案/集成/运维并自行采购设备 → 用 ERPS/IGMP/VLAN/CLI/MIB 这类技术语言切入，不打价格战</t>
        </is>
      </c>
      <c r="I66" t="inlineStr">
        <is>
          <t>LT-S8328GP-4GX24GT-S</t>
        </is>
      </c>
      <c r="J66" t="inlineStr">
        <is>
          <t>+1 317 492 5005 / mjezierski@indycar.com</t>
        </is>
      </c>
      <c r="K66" t="inlineStr">
        <is>
          <t>★★★</t>
        </is>
      </c>
      <c r="L66" t="inlineStr">
        <is>
          <t>未触达</t>
        </is>
      </c>
      <c r="M66" t="inlineStr">
        <is>
          <t>2026-09-22</t>
        </is>
      </c>
      <c r="N66" t="inlineStr"/>
      <c r="O66" t="inlineStr"/>
      <c r="P66" t="inlineStr"/>
      <c r="Q66" t="inlineStr">
        <is>
          <t>★★ 持 MTCSWE；**专做美国赛车运动产业与车队（邮箱是 @indycar.com，人在 IndyCar 赛事方）**；业务：Layer 2/3、无线 LAN、PtP、**IP 视频与组播 IP Video &amp; Multicast**、IP 对讲、**Audinate Dante 认证 1/2/3 级（专业音频 over IP）** → 赛事转播+ Dante 音频对交换机的 IGMP Snooping/组播/低时延要求极高，是极高门槛高单价的细分市场</t>
        </is>
      </c>
      <c r="R66" t="inlineStr">
        <is>
          <t>A</t>
        </is>
      </c>
      <c r="S66" t="inlineStr">
        <is>
          <t>有明确交换/供电需求（交换认证 MTCSWE、PoE/监控/门禁、组播/IPTV），且有具体人直联</t>
        </is>
      </c>
      <c r="T66" t="inlineStr">
        <is>
          <t>A-065</t>
        </is>
      </c>
      <c r="U66" t="inlineStr"/>
      <c r="V66" t="inlineStr"/>
    </row>
    <row r="67">
      <c r="A67" t="inlineStr">
        <is>
          <t>Michael Omondi / McCharles Tech</t>
        </is>
      </c>
      <c r="B67" t="inlineStr">
        <is>
          <t>美国</t>
        </is>
      </c>
      <c r="C67" t="inlineStr">
        <is>
          <t>Pelham</t>
        </is>
      </c>
      <c r="D67" t="inlineStr">
        <is>
          <t>mccharlestech.net</t>
        </is>
      </c>
      <c r="E67" t="inlineStr">
        <is>
          <t>集成商/顾问（MikroTik 认证）</t>
        </is>
      </c>
      <c r="F67" t="inlineStr">
        <is>
          <t>MikroTik 认证顾问 10 证全拿</t>
        </is>
      </c>
      <c r="G67" t="inlineStr">
        <is>
          <t>否</t>
        </is>
      </c>
      <c r="H67" t="inlineStr">
        <is>
          <t>MikroTik 认证顾问：自己做方案/集成/运维并自行采购设备 → 用 ERPS/IGMP/VLAN/CLI/MIB 这类技术语言切入，不打价格战</t>
        </is>
      </c>
      <c r="I67" t="inlineStr">
        <is>
          <t>LT-S8328GP-4GX24GT-S</t>
        </is>
      </c>
      <c r="J67" t="inlineStr">
        <is>
          <t>+1 833 622 4275 / support@mccharlestech.com</t>
        </is>
      </c>
      <c r="K67" t="inlineStr">
        <is>
          <t>★★★</t>
        </is>
      </c>
      <c r="L67" t="inlineStr">
        <is>
          <t>未触达</t>
        </is>
      </c>
      <c r="M67" t="inlineStr">
        <is>
          <t>2026-09-22</t>
        </is>
      </c>
      <c r="N67" t="inlineStr"/>
      <c r="O67" t="inlineStr"/>
      <c r="P67" t="inlineStr"/>
      <c r="Q67" t="inlineStr">
        <is>
          <t>★★ 10 证全拿；服务清单含 **L2 的 VLAN 与 L3 的 VRF、从二层扁平桥接网迁移到三层分段网、网络准入控制与设备加固、.1X 与 RADIUS 用户认证、高可用（负载均衡/首跳冗余/绑定）**、QoS、室内外无线规划 → 接入层交换与准入控制是主业</t>
        </is>
      </c>
      <c r="R67" t="inlineStr">
        <is>
          <t>A</t>
        </is>
      </c>
      <c r="S67" t="inlineStr">
        <is>
          <t>有明确交换/供电需求（交换专长），且有具体人直联</t>
        </is>
      </c>
      <c r="T67" t="inlineStr">
        <is>
          <t>A-066</t>
        </is>
      </c>
      <c r="U67" t="inlineStr"/>
      <c r="V67" t="inlineStr"/>
    </row>
    <row r="68">
      <c r="A68" t="inlineStr">
        <is>
          <t>Mohammad Tayyebi / Tayyebi.net</t>
        </is>
      </c>
      <c r="B68" t="inlineStr">
        <is>
          <t>美国</t>
        </is>
      </c>
      <c r="C68" t="inlineStr">
        <is>
          <t>Austin, TX</t>
        </is>
      </c>
      <c r="D68" t="inlineStr">
        <is>
          <t>tayyebi.net</t>
        </is>
      </c>
      <c r="E68" t="inlineStr">
        <is>
          <t>集成商/顾问（MikroTik 认证）</t>
        </is>
      </c>
      <c r="F68" t="inlineStr">
        <is>
          <t>MikroTik 认证顾问 MTCNA+MTCRE+MTCWE+MTCTCE+MTCUME+MTCINE+MTCIPv6E+MTCSWE</t>
        </is>
      </c>
      <c r="G68" t="inlineStr">
        <is>
          <t>否</t>
        </is>
      </c>
      <c r="H68" t="inlineStr">
        <is>
          <t>MikroTik 认证顾问：自己做方案/集成/运维并自行采购设备 → 用 ERPS/IGMP/VLAN/CLI/MIB 这类技术语言切入，不打价格战</t>
        </is>
      </c>
      <c r="I68" t="inlineStr">
        <is>
          <t>LT-S8328GP-4GX24GT-S</t>
        </is>
      </c>
      <c r="J68" t="inlineStr">
        <is>
          <t>1-512-713-6825 / MohammadTayyebi@Gmail.Com</t>
        </is>
      </c>
      <c r="K68" t="inlineStr">
        <is>
          <t>★★★</t>
        </is>
      </c>
      <c r="L68" t="inlineStr">
        <is>
          <t>未触达</t>
        </is>
      </c>
      <c r="M68" t="inlineStr">
        <is>
          <t>2026-09-22</t>
        </is>
      </c>
      <c r="N68" t="inlineStr"/>
      <c r="O68" t="inlineStr"/>
      <c r="P68" t="inlineStr"/>
      <c r="Q68" t="inlineStr">
        <is>
          <t>★★ 8 证含 **MTCSWE**；20+ 年 ISP/WISP 与数据中心；**MikroTik 认证讲师 + 学术讲师（Academy Trainer）**；做托管网络服务（设计/实施/迁移/监控/加固/安全，24/7）；专长含 **交换（MAC-based VLAN、QinQ）**、高可用 VRRP/LACP/绑定、DDoS 防护、组播、MPLS/VPLS/VRF；**还能把 MikroTik 与别的品牌集成并做双向迁移** → 最懂多厂商替代的人</t>
        </is>
      </c>
      <c r="R68" t="inlineStr">
        <is>
          <t>A</t>
        </is>
      </c>
      <c r="S68" t="inlineStr">
        <is>
          <t>有明确交换/供电需求（交换认证 MTCSWE、交换专长、组播/IPTV），且有具体人直联</t>
        </is>
      </c>
      <c r="T68" t="inlineStr">
        <is>
          <t>A-067</t>
        </is>
      </c>
      <c r="U68" t="inlineStr"/>
      <c r="V68" t="inlineStr"/>
    </row>
    <row r="69">
      <c r="A69" t="inlineStr">
        <is>
          <t>Amin Hamidi Younessi / Netrotik</t>
        </is>
      </c>
      <c r="B69" t="inlineStr">
        <is>
          <t>芬兰</t>
        </is>
      </c>
      <c r="C69" t="inlineStr">
        <is>
          <t>Hämeenlinna</t>
        </is>
      </c>
      <c r="D69" t="inlineStr">
        <is>
          <t>netrotik.com</t>
        </is>
      </c>
      <c r="E69" t="inlineStr">
        <is>
          <t>集成商/顾问（MikroTik 认证）</t>
        </is>
      </c>
      <c r="F69" t="inlineStr">
        <is>
          <t>MikroTik 认证顾问 MTCNA+MTCRE+MTCWE+MTCTCE+MTCUME+MTCSWE+MTCEWE</t>
        </is>
      </c>
      <c r="G69" t="inlineStr">
        <is>
          <t>否</t>
        </is>
      </c>
      <c r="H69" t="inlineStr">
        <is>
          <t>MikroTik 认证顾问：自己做方案/集成/运维并自行采购设备 → 用 ERPS/IGMP/VLAN/CLI/MIB 这类技术语言切入，不打价格战</t>
        </is>
      </c>
      <c r="I69" t="inlineStr">
        <is>
          <t>LT-S8328XGP-4XS24GT-S</t>
        </is>
      </c>
      <c r="J69" t="inlineStr">
        <is>
          <t>+358 41 723 1250 / info@netrotik.com</t>
        </is>
      </c>
      <c r="K69" t="inlineStr">
        <is>
          <t>★★★</t>
        </is>
      </c>
      <c r="L69" t="inlineStr">
        <is>
          <t>未触达</t>
        </is>
      </c>
      <c r="M69" t="inlineStr">
        <is>
          <t>2026-09-22</t>
        </is>
      </c>
      <c r="N69" t="inlineStr"/>
      <c r="O69" t="inlineStr"/>
      <c r="P69" t="inlineStr"/>
      <c r="Q69" t="inlineStr">
        <is>
          <t>★ 芬兰**唯一**一位 MikroTik 认证顾问（稀缺）；7 证含 **MTCSWE（交换）**+ MTCEWE（企业无线）+ MTCTCE（流量控制）+ MTCUME（用户管理）；域名 netrotik.com → 纯 MikroTik 专营</t>
        </is>
      </c>
      <c r="R69" t="inlineStr">
        <is>
          <t>A</t>
        </is>
      </c>
      <c r="S69" t="inlineStr">
        <is>
          <t>有明确交换/供电需求（交换认证 MTCSWE、交换专长），且有具体人直联</t>
        </is>
      </c>
      <c r="T69" t="inlineStr">
        <is>
          <t>A-068</t>
        </is>
      </c>
      <c r="U69" t="inlineStr"/>
      <c r="V69" t="inlineStr"/>
    </row>
    <row r="70">
      <c r="A70" t="inlineStr">
        <is>
          <t>Sarlin Oy Ab</t>
        </is>
      </c>
      <c r="B70" t="inlineStr">
        <is>
          <t>芬兰</t>
        </is>
      </c>
      <c r="C70" t="inlineStr">
        <is>
          <t>Vantaa (Helsinki)</t>
        </is>
      </c>
      <c r="D70" t="inlineStr">
        <is>
          <t>sarlin.com</t>
        </is>
      </c>
      <c r="E70" t="inlineStr">
        <is>
          <t>分销（HMS/N-Tron·Red Lion 渠道）</t>
        </is>
      </c>
      <c r="F70" t="inlineStr">
        <is>
          <t>N-Tron + Red Lion</t>
        </is>
      </c>
      <c r="G70" t="inlineStr">
        <is>
          <t>否</t>
        </is>
      </c>
      <c r="H70" t="inlineStr">
        <is>
          <t>卖 N-Tron/Red Lion 工业交换机（8口非网管约 $500+）→ 中性货同规格 LT-IS6310G 约 $91，做第二供应商，价差 5 倍</t>
        </is>
      </c>
      <c r="I70" t="inlineStr">
        <is>
          <t>LT-IS6312XGP-4XS8GT</t>
        </is>
      </c>
      <c r="J70" t="inlineStr">
        <is>
          <t>Mikko Ylilammi（Head of Product Management, Automation &amp; Digital）- mikko.ylilammi@sarlin.com / +358 10 550 4269；Niklas Kallberg（Head of Sales, Automation &amp; Digital）- niklas.kallberg@sarlin.com / +358 10 550 4524；Tatu Mehtonen（Sales Manager, IIoT）- tatu.mehtonen@sarlin.com</t>
        </is>
      </c>
      <c r="K70" t="inlineStr">
        <is>
          <t>★★★</t>
        </is>
      </c>
      <c r="L70" t="inlineStr">
        <is>
          <t>未触达</t>
        </is>
      </c>
      <c r="M70" t="inlineStr">
        <is>
          <t>2026-09-22</t>
        </is>
      </c>
      <c r="N70" t="inlineStr"/>
      <c r="O70" t="inlineStr"/>
      <c r="P70" t="inlineStr"/>
      <c r="Q70" t="inlineStr">
        <is>
          <t>芬兰工业分销；【2026-09-22 补】1932 年创立的芬兰家族企业，做压缩空气、能源、工业自动化与数字化。官网公开完整员工邮箱目录，格式 firstname.lastname@sarlin.com。</t>
        </is>
      </c>
      <c r="R70" t="inlineStr">
        <is>
          <t>A</t>
        </is>
      </c>
      <c r="S70" t="inlineStr">
        <is>
          <t>有明确交换/供电需求（工业/楼宇），且有具体人直联</t>
        </is>
      </c>
      <c r="T70" t="inlineStr">
        <is>
          <t>A-069</t>
        </is>
      </c>
      <c r="U70" t="inlineStr"/>
      <c r="V70" t="inlineStr"/>
    </row>
    <row r="71">
      <c r="A71" t="inlineStr">
        <is>
          <t>AA Jones Electric Ltd</t>
        </is>
      </c>
      <c r="B71" t="inlineStr">
        <is>
          <t>英国</t>
        </is>
      </c>
      <c r="C71" t="inlineStr">
        <is>
          <t>Hull / East Yorkshire</t>
        </is>
      </c>
      <c r="D71" t="inlineStr">
        <is>
          <t>aajones.co.uk</t>
        </is>
      </c>
      <c r="E71" t="inlineStr">
        <is>
          <t>分销（HMS/N-Tron·Red Lion 渠道）</t>
        </is>
      </c>
      <c r="F71" t="inlineStr">
        <is>
          <t>N-Tron + Red Lion + Anybus + Ixxat</t>
        </is>
      </c>
      <c r="G71" t="inlineStr">
        <is>
          <t>否</t>
        </is>
      </c>
      <c r="H71" t="inlineStr">
        <is>
          <t>卖 N-Tron/Red Lion 工业交换机（8口非网管约 $500+）→ 中性货同规格 LT-IS6310G 约 $91，做第二供应商/替换，价差 5 倍</t>
        </is>
      </c>
      <c r="I71" t="inlineStr">
        <is>
          <t>LT-IS6310G / LT-IS6312XGP-4XS8GT</t>
        </is>
      </c>
      <c r="J71" t="inlineStr">
        <is>
          <t>sales@aajones.co.uk；电话 01482 589015</t>
        </is>
      </c>
      <c r="K71" t="inlineStr">
        <is>
          <t>★★★</t>
        </is>
      </c>
      <c r="L71" t="inlineStr">
        <is>
          <t>未触达</t>
        </is>
      </c>
      <c r="M71" t="inlineStr">
        <is>
          <t>2026-09-22</t>
        </is>
      </c>
      <c r="N71" t="inlineStr"/>
      <c r="O71" t="inlineStr"/>
      <c r="P71" t="inlineStr"/>
      <c r="Q71" t="inlineStr">
        <is>
          <t>Hull 工业电气分销，有售前+售后支持；【2026-09-22 补】Unit H Venture Business Park, Witty Street, Hull HU3 4EL。英国独立电气批发商，库存 3 万+ 项目，兼做工控盘柜与危险区域设备。</t>
        </is>
      </c>
      <c r="R71" t="inlineStr">
        <is>
          <t>A</t>
        </is>
      </c>
      <c r="S71" t="inlineStr">
        <is>
          <t>有明确交换/供电需求（工业/楼宇），且有具体人直联</t>
        </is>
      </c>
      <c r="T71" t="inlineStr">
        <is>
          <t>A-070</t>
        </is>
      </c>
      <c r="U71" t="inlineStr"/>
      <c r="V71" t="inlineStr"/>
    </row>
    <row r="72">
      <c r="A72" t="inlineStr">
        <is>
          <t>IndustrialComms</t>
        </is>
      </c>
      <c r="B72" t="inlineStr">
        <is>
          <t>英国</t>
        </is>
      </c>
      <c r="C72" t="inlineStr"/>
      <c r="D72" t="inlineStr">
        <is>
          <t>industrialcomms.com</t>
        </is>
      </c>
      <c r="E72" t="inlineStr">
        <is>
          <t>专业分销</t>
        </is>
      </c>
      <c r="F72" t="inlineStr">
        <is>
          <t>EtherWAN</t>
        </is>
      </c>
      <c r="G72" t="inlineStr">
        <is>
          <t>否</t>
        </is>
      </c>
      <c r="H72" t="inlineStr">
        <is>
          <t>⭐英国T1：熟悉工业交换机，缺低价第二供应源</t>
        </is>
      </c>
      <c r="I72" t="inlineStr">
        <is>
          <t>LT-IS6312XG-4XS8GT</t>
        </is>
      </c>
      <c r="J72" t="inlineStr">
        <is>
          <t>官网+LinkedIn</t>
        </is>
      </c>
      <c r="K72" t="inlineStr">
        <is>
          <t>★★★</t>
        </is>
      </c>
      <c r="L72" t="inlineStr">
        <is>
          <t>未触达</t>
        </is>
      </c>
      <c r="M72" t="inlineStr">
        <is>
          <t>反向信号/2026-09</t>
        </is>
      </c>
      <c r="N72" t="inlineStr"/>
      <c r="O72" t="inlineStr"/>
      <c r="P72" t="inlineStr"/>
      <c r="Q72" t="inlineStr">
        <is>
          <t>交通/公用事业/监控；【2026-09-22 补】经 EtherWAN（台厂，1996 年创立，现被德国 Phoenix Contact 收购）渠道名录确认为其分销商。站点明示经销 EtherWAN 加固型工业交换机（-40~+75℃、5–48 口、非网管/网管/三层）、90W PoE、光纤介质转换器与 VDSL2 延长器，面向交通、公用事业、IP 监控与关键基础设施；地址 Toddington, Bedfordshire。；【2026-09-23】另经 Atop（台厂）渠道确认其为 Atop 英国分销商——串口服务器、Modbus/IEC 61850 协议网关、EN 50155 与 IEC 61850-3 交换机。</t>
        </is>
      </c>
      <c r="R72" t="inlineStr">
        <is>
          <t>A</t>
        </is>
      </c>
      <c r="S72" t="inlineStr">
        <is>
          <t>有明确交换/供电需求（交换专长、PoE/监控/门禁、工业/楼宇），三星重点</t>
        </is>
      </c>
      <c r="T72" t="inlineStr">
        <is>
          <t>A-071</t>
        </is>
      </c>
      <c r="U72" t="inlineStr"/>
      <c r="V72" t="inlineStr"/>
    </row>
    <row r="73">
      <c r="A73" t="inlineStr">
        <is>
          <t>Iyiola Folayan / Millie Evolution</t>
        </is>
      </c>
      <c r="B73" t="inlineStr">
        <is>
          <t>英国</t>
        </is>
      </c>
      <c r="C73" t="inlineStr">
        <is>
          <t>London</t>
        </is>
      </c>
      <c r="D73" t="inlineStr">
        <is>
          <t>millievolution.com</t>
        </is>
      </c>
      <c r="E73" t="inlineStr">
        <is>
          <t>集成商/顾问（MikroTik 认证）</t>
        </is>
      </c>
      <c r="F73" t="inlineStr">
        <is>
          <t>MikroTik 认证顾问 MTCNA+MTCRE+MTCWE+MTCUME+MTCINE</t>
        </is>
      </c>
      <c r="G73" t="inlineStr">
        <is>
          <t>否</t>
        </is>
      </c>
      <c r="H73" t="inlineStr">
        <is>
          <t>MikroTik 认证顾问：自己做方案/集成/运维并自行采购设备 → 用 ERPS/IGMP/VLAN/CLI/MIB 这类技术语言切入，不打价格战</t>
        </is>
      </c>
      <c r="I73" t="inlineStr">
        <is>
          <t>LT-S8328XG-4XS24GT-S</t>
        </is>
      </c>
      <c r="J73" t="inlineStr">
        <is>
          <t>+44 7783 315527 / ifolayan@millievolution.com</t>
        </is>
      </c>
      <c r="K73" t="inlineStr">
        <is>
          <t>★★★</t>
        </is>
      </c>
      <c r="L73" t="inlineStr">
        <is>
          <t>未触达</t>
        </is>
      </c>
      <c r="M73" t="inlineStr">
        <is>
          <t>2026-09-22</t>
        </is>
      </c>
      <c r="N73" t="inlineStr"/>
      <c r="O73" t="inlineStr"/>
      <c r="P73" t="inlineStr"/>
      <c r="Q73" t="inlineStr">
        <is>
          <t>18 年 IP 工程：宽带基础设施设计、IP 网络部署运维、4G/LTE、园区**光纤**网、Hotspot/User-Manager</t>
        </is>
      </c>
      <c r="R73" t="inlineStr">
        <is>
          <t>A</t>
        </is>
      </c>
      <c r="S73" t="inlineStr">
        <is>
          <t>有明确交换/供电需求（光纤接入），且有具体人直联</t>
        </is>
      </c>
      <c r="T73" t="inlineStr">
        <is>
          <t>A-072</t>
        </is>
      </c>
      <c r="U73" t="inlineStr"/>
      <c r="V73" t="inlineStr"/>
    </row>
    <row r="74">
      <c r="A74" t="inlineStr">
        <is>
          <t>Jono Thompson / LinITX</t>
        </is>
      </c>
      <c r="B74" t="inlineStr">
        <is>
          <t>英国</t>
        </is>
      </c>
      <c r="C74" t="inlineStr">
        <is>
          <t>Needham Market</t>
        </is>
      </c>
      <c r="D74" t="inlineStr">
        <is>
          <t>linitx.com</t>
        </is>
      </c>
      <c r="E74" t="inlineStr">
        <is>
          <t>集成商/顾问（MikroTik 认证）</t>
        </is>
      </c>
      <c r="F74" t="inlineStr">
        <is>
          <t>MikroTik 认证顾问 MTCNA+MTCRE+MTCTCE+MTCUME+MTCINE+MTCSWE+MTCEWE</t>
        </is>
      </c>
      <c r="G74" t="inlineStr">
        <is>
          <t>否</t>
        </is>
      </c>
      <c r="H74" t="inlineStr">
        <is>
          <t>MikroTik 认证顾问：自己做方案/集成/运维并自行采购设备 → 用 ERPS/IGMP/VLAN/CLI/MIB 这类技术语言切入，不打价格战</t>
        </is>
      </c>
      <c r="I74" t="inlineStr">
        <is>
          <t>LT-S8328XG-4XS24GT-S</t>
        </is>
      </c>
      <c r="J74" t="inlineStr">
        <is>
          <t>+44 1449 888000 / training@linitx.com</t>
        </is>
      </c>
      <c r="K74" t="inlineStr">
        <is>
          <t>★★★</t>
        </is>
      </c>
      <c r="L74" t="inlineStr">
        <is>
          <t>未触达</t>
        </is>
      </c>
      <c r="M74" t="inlineStr">
        <is>
          <t>2026-09-22</t>
        </is>
      </c>
      <c r="N74" t="inlineStr"/>
      <c r="O74" t="inlineStr"/>
      <c r="P74" t="inlineStr"/>
      <c r="Q74" t="inlineStr">
        <is>
          <t>LinITX 是英国 MikroTik Master Distributor + VAD + 认证培训中心，公司内有 3 位认证顾问：Jono Thompson（training@linitx.com，7 证含 MTCSWE，交换/VLAN/CAPsMAN/流量管理）；Joel Blakey（MikroTik@LinITX.com，技术销售工程师，有线无线设计与无线勘测）；Luke Cuddehay（shop@linitx.com，技术销售工程师）。同一电话 +44 1449 888000；【2026-09-22 补】官网列 Netonix WISP 交换机（PoE、宽温、DC 输入）为代理品牌。</t>
        </is>
      </c>
      <c r="R74" t="inlineStr">
        <is>
          <t>A</t>
        </is>
      </c>
      <c r="S74" t="inlineStr">
        <is>
          <t>有明确交换/供电需求（交换认证 MTCSWE、交换专长、PoE/监控/门禁），且有具体人直联</t>
        </is>
      </c>
      <c r="T74" t="inlineStr">
        <is>
          <t>A-073</t>
        </is>
      </c>
      <c r="U74" t="inlineStr"/>
      <c r="V74" t="inlineStr"/>
    </row>
    <row r="75">
      <c r="A75" t="inlineStr">
        <is>
          <t>Nick Shore</t>
        </is>
      </c>
      <c r="B75" t="inlineStr">
        <is>
          <t>英国</t>
        </is>
      </c>
      <c r="C75" t="inlineStr">
        <is>
          <t>Debenham</t>
        </is>
      </c>
      <c r="D75" t="inlineStr">
        <is>
          <t>shore.me.uk</t>
        </is>
      </c>
      <c r="E75" t="inlineStr">
        <is>
          <t>集成商/顾问（MikroTik 认证）</t>
        </is>
      </c>
      <c r="F75" t="inlineStr">
        <is>
          <t>MikroTik 认证顾问 MTCNA+MTCRE</t>
        </is>
      </c>
      <c r="G75" t="inlineStr">
        <is>
          <t>否</t>
        </is>
      </c>
      <c r="H75" t="inlineStr">
        <is>
          <t>MikroTik 认证顾问：自己做方案/集成/运维并自行采购设备 → 用 ERPS/IGMP/VLAN/CLI/MIB 这类技术语言切入，不打价格战</t>
        </is>
      </c>
      <c r="I75" t="inlineStr">
        <is>
          <t>LT-S8328XG-4XS24GT-S</t>
        </is>
      </c>
      <c r="J75" t="inlineStr">
        <is>
          <t>+44 7588 286095 / nick@shore.me.uk</t>
        </is>
      </c>
      <c r="K75" t="inlineStr">
        <is>
          <t>★★★</t>
        </is>
      </c>
      <c r="L75" t="inlineStr">
        <is>
          <t>未触达</t>
        </is>
      </c>
      <c r="M75" t="inlineStr">
        <is>
          <t>2026-09-22</t>
        </is>
      </c>
      <c r="N75" t="inlineStr"/>
      <c r="O75" t="inlineStr"/>
      <c r="P75" t="inlineStr"/>
      <c r="Q75" t="inlineStr">
        <is>
          <t>WISP/ISP 方向；BGP、OSPF、防火墙、动态路由、流量管理、**switching**、VPN、CAPsMAN</t>
        </is>
      </c>
      <c r="R75" t="inlineStr">
        <is>
          <t>A</t>
        </is>
      </c>
      <c r="S75" t="inlineStr">
        <is>
          <t>有明确交换/供电需求（交换专长），且有具体人直联</t>
        </is>
      </c>
      <c r="T75" t="inlineStr">
        <is>
          <t>A-074</t>
        </is>
      </c>
      <c r="U75" t="inlineStr"/>
      <c r="V75" t="inlineStr"/>
    </row>
    <row r="76">
      <c r="A76" t="inlineStr">
        <is>
          <t>Peter Freeman / Freeclix</t>
        </is>
      </c>
      <c r="B76" t="inlineStr">
        <is>
          <t>英国</t>
        </is>
      </c>
      <c r="C76" t="inlineStr">
        <is>
          <t>Rackheath (Norwich)</t>
        </is>
      </c>
      <c r="D76" t="inlineStr">
        <is>
          <t>freeclix.com</t>
        </is>
      </c>
      <c r="E76" t="inlineStr">
        <is>
          <t>集成商/顾问（MikroTik 认证）</t>
        </is>
      </c>
      <c r="F76" t="inlineStr">
        <is>
          <t>MikroTik 认证顾问 MTCNA+MTCSWE</t>
        </is>
      </c>
      <c r="G76" t="inlineStr">
        <is>
          <t>否</t>
        </is>
      </c>
      <c r="H76" t="inlineStr">
        <is>
          <t>MikroTik 认证顾问：自己做方案/集成/运维并自行采购设备 → 用 ERPS/IGMP/VLAN/CLI/MIB 这类技术语言切入，不打价格战</t>
        </is>
      </c>
      <c r="I76" t="inlineStr">
        <is>
          <t>LT-S8328XGP-4XS24GT-S</t>
        </is>
      </c>
      <c r="J76" t="inlineStr">
        <is>
          <t>+44 1603 703340 / sales@freeclix.com</t>
        </is>
      </c>
      <c r="K76" t="inlineStr">
        <is>
          <t>★★★</t>
        </is>
      </c>
      <c r="L76" t="inlineStr">
        <is>
          <t>未触达</t>
        </is>
      </c>
      <c r="M76" t="inlineStr">
        <is>
          <t>2026-09-22</t>
        </is>
      </c>
      <c r="N76" t="inlineStr"/>
      <c r="O76" t="inlineStr"/>
      <c r="P76" t="inlineStr"/>
      <c r="Q76" t="inlineStr">
        <is>
          <t>★ 持 MTCSWE；4G/5G 方案、ISP 服务、光纤专线/xDSL/FTTC、机柜托管、语音；**SimRush Master Distributor**</t>
        </is>
      </c>
      <c r="R76" t="inlineStr">
        <is>
          <t>A</t>
        </is>
      </c>
      <c r="S76" t="inlineStr">
        <is>
          <t>有明确交换/供电需求（交换认证 MTCSWE、光纤接入），且有具体人直联</t>
        </is>
      </c>
      <c r="T76" t="inlineStr">
        <is>
          <t>A-075</t>
        </is>
      </c>
      <c r="U76" t="inlineStr"/>
      <c r="V76" t="inlineStr"/>
    </row>
    <row r="77">
      <c r="A77" t="inlineStr">
        <is>
          <t>System Devices UK Ltd</t>
        </is>
      </c>
      <c r="B77" t="inlineStr">
        <is>
          <t>英国</t>
        </is>
      </c>
      <c r="C77" t="inlineStr"/>
      <c r="D77" t="inlineStr">
        <is>
          <t>systemdevices.co.uk</t>
        </is>
      </c>
      <c r="E77" t="inlineStr">
        <is>
          <t>分销（Antaira 授权）</t>
        </is>
      </c>
      <c r="F77" t="inlineStr">
        <is>
          <t>Antaira</t>
        </is>
      </c>
      <c r="G77" t="inlineStr">
        <is>
          <t>否</t>
        </is>
      </c>
      <c r="H77" t="inlineStr">
        <is>
          <t>工业/轨道同规格 1/3 价第二供应源</t>
        </is>
      </c>
      <c r="I77" t="inlineStr">
        <is>
          <t>LT-IS6312XGP-4XS8GT</t>
        </is>
      </c>
      <c r="J77" t="inlineStr">
        <is>
          <t>+44 1928 571 977 / info@systemdevices.co.uk</t>
        </is>
      </c>
      <c r="K77" t="inlineStr">
        <is>
          <t>★★★</t>
        </is>
      </c>
      <c r="L77" t="inlineStr">
        <is>
          <t>未触达</t>
        </is>
      </c>
      <c r="M77" t="inlineStr">
        <is>
          <t>2026-09-22</t>
        </is>
      </c>
      <c r="N77" t="inlineStr"/>
      <c r="O77" t="inlineStr"/>
      <c r="P77" t="inlineStr"/>
      <c r="Q77" t="inlineStr">
        <is>
          <t>Runcorn，英国工业网络分销；【2026-09-23】Antaira 官方 where-to-buy 名录确认的分销商。英国分销商，另有 info@systemdevices.co.uk。</t>
        </is>
      </c>
      <c r="R77" t="inlineStr">
        <is>
          <t>A</t>
        </is>
      </c>
      <c r="S77" t="inlineStr">
        <is>
          <t>有明确交换/供电需求（工业/楼宇），且有具体人直联</t>
        </is>
      </c>
      <c r="T77" t="inlineStr">
        <is>
          <t>A-076</t>
        </is>
      </c>
      <c r="U77" t="inlineStr"/>
      <c r="V77" t="inlineStr"/>
    </row>
    <row r="78">
      <c r="A78" t="inlineStr">
        <is>
          <t>Maher Haddad / MyNetworkTraining</t>
        </is>
      </c>
      <c r="B78" t="inlineStr">
        <is>
          <t>荷兰</t>
        </is>
      </c>
      <c r="C78" t="inlineStr">
        <is>
          <t>Hilversum</t>
        </is>
      </c>
      <c r="D78" t="inlineStr">
        <is>
          <t>mynetworktraining.com</t>
        </is>
      </c>
      <c r="E78" t="inlineStr">
        <is>
          <t>集成商/顾问（MikroTik 认证）</t>
        </is>
      </c>
      <c r="F78" t="inlineStr">
        <is>
          <t>MikroTik 认证顾问 10 证全拿</t>
        </is>
      </c>
      <c r="G78" t="inlineStr">
        <is>
          <t>否</t>
        </is>
      </c>
      <c r="H78" t="inlineStr">
        <is>
          <t>MikroTik 认证顾问：自己做方案/集成/运维并自行采购设备 → 用 ERPS/IGMP/VLAN/CLI/MIB 这类技术语言切入，不打价格战</t>
        </is>
      </c>
      <c r="I78" t="inlineStr">
        <is>
          <t>LT-S8328XGP-4XS24GT-S</t>
        </is>
      </c>
      <c r="J78" t="inlineStr">
        <is>
          <t>+31 6 22488675 / info@mynetworktraining.com</t>
        </is>
      </c>
      <c r="K78" t="inlineStr">
        <is>
          <t>★★★</t>
        </is>
      </c>
      <c r="L78" t="inlineStr">
        <is>
          <t>未触达</t>
        </is>
      </c>
      <c r="M78" t="inlineStr">
        <is>
          <t>2026-09-22</t>
        </is>
      </c>
      <c r="N78" t="inlineStr"/>
      <c r="O78" t="inlineStr"/>
      <c r="P78" t="inlineStr"/>
      <c r="Q78" t="inlineStr">
        <is>
          <t>★ 10 证全拿 + 认证讲师，20+ 年 IT；技能清单明确含 **Switching**、MPLS/VPLS、The Dude、CAPsMAN、流量控制</t>
        </is>
      </c>
      <c r="R78" t="inlineStr">
        <is>
          <t>A</t>
        </is>
      </c>
      <c r="S78" t="inlineStr">
        <is>
          <t>有明确交换/供电需求（交换专长），且有具体人直联</t>
        </is>
      </c>
      <c r="T78" t="inlineStr">
        <is>
          <t>A-077</t>
        </is>
      </c>
      <c r="U78" t="inlineStr"/>
      <c r="V78" t="inlineStr"/>
    </row>
    <row r="79">
      <c r="A79" t="inlineStr">
        <is>
          <t>Modelec Data-Industrie</t>
        </is>
      </c>
      <c r="B79" t="inlineStr">
        <is>
          <t>荷兰</t>
        </is>
      </c>
      <c r="C79" t="inlineStr"/>
      <c r="D79" t="inlineStr">
        <is>
          <t>modelec.nl</t>
        </is>
      </c>
      <c r="E79" t="inlineStr">
        <is>
          <t>分销（Westermo Reseller）</t>
        </is>
      </c>
      <c r="F79" t="inlineStr">
        <is>
          <t>Westermo</t>
        </is>
      </c>
      <c r="G79" t="inlineStr">
        <is>
          <t>否</t>
        </is>
      </c>
      <c r="H79" t="inlineStr">
        <is>
          <t>工业/轨道同规格 1/3 价第二供应源</t>
        </is>
      </c>
      <c r="I79" t="inlineStr">
        <is>
          <t>LT-IS6312XG-4XS8GT</t>
        </is>
      </c>
      <c r="J79" t="inlineStr">
        <is>
          <t>+31 318 636 262</t>
        </is>
      </c>
      <c r="K79" t="inlineStr">
        <is>
          <t>★★★</t>
        </is>
      </c>
      <c r="L79" t="inlineStr">
        <is>
          <t>未触达</t>
        </is>
      </c>
      <c r="M79" t="inlineStr">
        <is>
          <t>2026-09-22</t>
        </is>
      </c>
      <c r="N79" t="inlineStr"/>
      <c r="O79" t="inlineStr"/>
      <c r="P79" t="inlineStr"/>
      <c r="Q79" t="inlineStr">
        <is>
          <t>荷兰工业数据通信分销；【2026-09-23】Westermo 官方 where-to-buy 名录确认的分销商。荷兰 reseller，具备全套技术支持与本地办会能力。</t>
        </is>
      </c>
      <c r="R79" t="inlineStr">
        <is>
          <t>A</t>
        </is>
      </c>
      <c r="S79" t="inlineStr">
        <is>
          <t>有明确交换/供电需求（工业/楼宇），且有具体人直联</t>
        </is>
      </c>
      <c r="T79" t="inlineStr">
        <is>
          <t>A-078</t>
        </is>
      </c>
      <c r="U79" t="inlineStr"/>
      <c r="V79" t="inlineStr"/>
    </row>
    <row r="80">
      <c r="A80" t="inlineStr">
        <is>
          <t>AGL Industrial Solutions</t>
        </is>
      </c>
      <c r="B80" t="inlineStr">
        <is>
          <t>葡萄牙</t>
        </is>
      </c>
      <c r="C80" t="inlineStr"/>
      <c r="D80" t="inlineStr">
        <is>
          <t>guedeslopes.pt</t>
        </is>
      </c>
      <c r="E80" t="inlineStr">
        <is>
          <t>分销（Antaira 授权）</t>
        </is>
      </c>
      <c r="F80" t="inlineStr">
        <is>
          <t>Antaira</t>
        </is>
      </c>
      <c r="G80" t="inlineStr">
        <is>
          <t>否</t>
        </is>
      </c>
      <c r="H80" t="inlineStr">
        <is>
          <t>工业/轨道同规格 1/3 价第二供应源</t>
        </is>
      </c>
      <c r="I80" t="inlineStr">
        <is>
          <t>LT-IS6312XGP-4XS8GT</t>
        </is>
      </c>
      <c r="J80" t="inlineStr">
        <is>
          <t>+351 218 278 341 / geral@guedeslopes.pt</t>
        </is>
      </c>
      <c r="K80" t="inlineStr">
        <is>
          <t>★★★</t>
        </is>
      </c>
      <c r="L80" t="inlineStr">
        <is>
          <t>未触达</t>
        </is>
      </c>
      <c r="M80" t="inlineStr">
        <is>
          <t>2026-09-22</t>
        </is>
      </c>
      <c r="N80" t="inlineStr"/>
      <c r="O80" t="inlineStr"/>
      <c r="P80" t="inlineStr"/>
      <c r="Q80" t="inlineStr">
        <is>
          <t>Porto Salvo，伊比利亚工业方案商；【2026-09-23】Antaira 官方 where-to-buy 名录确认的分销商。葡萄牙分销商。</t>
        </is>
      </c>
      <c r="R80" t="inlineStr">
        <is>
          <t>A</t>
        </is>
      </c>
      <c r="S80" t="inlineStr">
        <is>
          <t>有明确交换/供电需求（工业/楼宇），且有具体人直联</t>
        </is>
      </c>
      <c r="T80" t="inlineStr">
        <is>
          <t>A-079</t>
        </is>
      </c>
      <c r="U80" t="inlineStr"/>
      <c r="V80" t="inlineStr"/>
    </row>
    <row r="81">
      <c r="A81" t="inlineStr">
        <is>
          <t>Urbino Lobo / MiniMeLabs</t>
        </is>
      </c>
      <c r="B81" t="inlineStr">
        <is>
          <t>葡萄牙</t>
        </is>
      </c>
      <c r="C81" t="inlineStr">
        <is>
          <t>Funchal（马德拉）</t>
        </is>
      </c>
      <c r="D81" t="inlineStr">
        <is>
          <t>minimelabs.com</t>
        </is>
      </c>
      <c r="E81" t="inlineStr">
        <is>
          <t>集成商/顾问（MikroTik 认证）</t>
        </is>
      </c>
      <c r="F81" t="inlineStr">
        <is>
          <t>MikroTik 认证顾问 MTCNA+MTCUME</t>
        </is>
      </c>
      <c r="G81" t="inlineStr">
        <is>
          <t>否</t>
        </is>
      </c>
      <c r="H81" t="inlineStr">
        <is>
          <t>MikroTik 认证顾问：自己做方案/集成/运维并自行采购设备 → 用 ERPS/IGMP/VLAN/CLI/MIB 这类技术语言切入，不打价格战</t>
        </is>
      </c>
      <c r="I81" t="inlineStr">
        <is>
          <t>LT-S8328GP-4GX24GT-S</t>
        </is>
      </c>
      <c r="J81" t="inlineStr">
        <is>
          <t>+351 919 379 550 / urbino@minimelabs.com</t>
        </is>
      </c>
      <c r="K81" t="inlineStr">
        <is>
          <t>★★★</t>
        </is>
      </c>
      <c r="L81" t="inlineStr">
        <is>
          <t>未触达</t>
        </is>
      </c>
      <c r="M81" t="inlineStr">
        <is>
          <t>2026-09-22</t>
        </is>
      </c>
      <c r="N81" t="inlineStr"/>
      <c r="O81" t="inlineStr"/>
      <c r="P81" t="inlineStr"/>
      <c r="Q81" t="inlineStr">
        <is>
          <t>★★ 自述「**酒店 Hospitality、多住户公寓 Multi-Dwelling Properties、公共接入 Public Access 的网络与强制门户 Captive Portal 环境专家**」，且「**手上有大量现场工程师与生态方案的数据库**」→ 酒店+MDU 是 PoE 接入交换机批量出货场景；他还有外场工程师网络，能铺量。同事 João Martins（+351 968 850 581 / joao@minimelabs.com，MTCNA+MTCUME）</t>
        </is>
      </c>
      <c r="R81" t="inlineStr">
        <is>
          <t>A</t>
        </is>
      </c>
      <c r="S81" t="inlineStr">
        <is>
          <t>有明确交换/供电需求（酒店/多住户），且有具体人直联</t>
        </is>
      </c>
      <c r="T81" t="inlineStr">
        <is>
          <t>A-080</t>
        </is>
      </c>
      <c r="U81" t="inlineStr"/>
      <c r="V81" t="inlineStr"/>
    </row>
    <row r="82">
      <c r="A82" t="inlineStr">
        <is>
          <t>Carlos Otin / Hotelinking</t>
        </is>
      </c>
      <c r="B82" t="inlineStr">
        <is>
          <t>西班牙</t>
        </is>
      </c>
      <c r="C82" t="inlineStr">
        <is>
          <t>Palma（马略卡）</t>
        </is>
      </c>
      <c r="D82" t="inlineStr">
        <is>
          <t>hotelinking.com</t>
        </is>
      </c>
      <c r="E82" t="inlineStr">
        <is>
          <t>集成商/顾问（MikroTik 认证）</t>
        </is>
      </c>
      <c r="F82" t="inlineStr">
        <is>
          <t>MikroTik 认证顾问 MTCNA+MTCSE</t>
        </is>
      </c>
      <c r="G82" t="inlineStr">
        <is>
          <t>否</t>
        </is>
      </c>
      <c r="H82" t="inlineStr">
        <is>
          <t>MikroTik 认证顾问：自己做方案/集成/运维并自行采购设备 → 用 ERPS/IGMP/VLAN/CLI/MIB 这类技术语言切入，不打价格战</t>
        </is>
      </c>
      <c r="I82" t="inlineStr">
        <is>
          <t>LT-S8328GP-4GX24GT-S</t>
        </is>
      </c>
      <c r="J82" t="inlineStr">
        <is>
          <t>+34 691 837 651 / c.otin@hotelinking.com</t>
        </is>
      </c>
      <c r="K82" t="inlineStr">
        <is>
          <t>★★★</t>
        </is>
      </c>
      <c r="L82" t="inlineStr">
        <is>
          <t>未触达</t>
        </is>
      </c>
      <c r="M82" t="inlineStr">
        <is>
          <t>2026-09-22</t>
        </is>
      </c>
      <c r="N82" t="inlineStr"/>
      <c r="O82" t="inlineStr"/>
      <c r="P82" t="inlineStr"/>
      <c r="Q82" t="inlineStr">
        <is>
          <t>★★ 高级网络工程师，专注**酒店 hospitality 与多站点 multi-site** 可扩展网络；专长 MikroTik 路由 + **交换 switching** + 无线 + **GPON 集成**；做网络审计、复杂故障排查、配置标准化、对接监控与自动化平台 → 酒店多站点 = PoE 接入交换机批量需求</t>
        </is>
      </c>
      <c r="R82" t="inlineStr">
        <is>
          <t>A</t>
        </is>
      </c>
      <c r="S82" t="inlineStr">
        <is>
          <t>有明确交换/供电需求（交换专长、酒店/多住户、光纤接入），且有具体人直联</t>
        </is>
      </c>
      <c r="T82" t="inlineStr">
        <is>
          <t>A-081</t>
        </is>
      </c>
      <c r="U82" t="inlineStr"/>
      <c r="V82" t="inlineStr"/>
    </row>
    <row r="83">
      <c r="A83" t="inlineStr">
        <is>
          <t>Carlos Villalobos / Hecnys</t>
        </is>
      </c>
      <c r="B83" t="inlineStr">
        <is>
          <t>西班牙</t>
        </is>
      </c>
      <c r="C83" t="inlineStr">
        <is>
          <t>Bormujos (Sevilla)</t>
        </is>
      </c>
      <c r="D83" t="inlineStr">
        <is>
          <t>hecnys.com</t>
        </is>
      </c>
      <c r="E83" t="inlineStr">
        <is>
          <t>集成商/顾问（MikroTik 认证）</t>
        </is>
      </c>
      <c r="F83" t="inlineStr">
        <is>
          <t>MikroTik 认证顾问 MTCNA+MTCTCE</t>
        </is>
      </c>
      <c r="G83" t="inlineStr">
        <is>
          <t>否</t>
        </is>
      </c>
      <c r="H83" t="inlineStr">
        <is>
          <t>MikroTik 认证顾问：自己做方案/集成/运维并自行采购设备 → 用 ERPS/IGMP/VLAN/CLI/MIB 这类技术语言切入，不打价格战</t>
        </is>
      </c>
      <c r="I83" t="inlineStr">
        <is>
          <t>LT-IS6312XGP-4XS8GT</t>
        </is>
      </c>
      <c r="J83" t="inlineStr">
        <is>
          <t>+34 645 396 100 / carlosvillalobos@hecnys.com</t>
        </is>
      </c>
      <c r="K83" t="inlineStr">
        <is>
          <t>★★★</t>
        </is>
      </c>
      <c r="L83" t="inlineStr">
        <is>
          <t>未触达</t>
        </is>
      </c>
      <c r="M83" t="inlineStr">
        <is>
          <t>2026-09-22</t>
        </is>
      </c>
      <c r="N83" t="inlineStr"/>
      <c r="O83" t="inlineStr"/>
      <c r="P83" t="inlineStr"/>
      <c r="Q83" t="inlineStr">
        <is>
          <t>★★ 工业工程师出身，专长 **IT/OT 网络融合（工业场景）**；基于 MikroTik 的架构设计、配置与优化 → 推工业导轨交换机</t>
        </is>
      </c>
      <c r="R83" t="inlineStr">
        <is>
          <t>A</t>
        </is>
      </c>
      <c r="S83" t="inlineStr">
        <is>
          <t>有明确交换/供电需求（工业/楼宇），且有具体人直联</t>
        </is>
      </c>
      <c r="T83" t="inlineStr">
        <is>
          <t>A-082</t>
        </is>
      </c>
      <c r="U83" t="inlineStr"/>
      <c r="V83" t="inlineStr"/>
    </row>
    <row r="84">
      <c r="A84" t="inlineStr">
        <is>
          <t>Celenet</t>
        </is>
      </c>
      <c r="B84" t="inlineStr">
        <is>
          <t>西班牙</t>
        </is>
      </c>
      <c r="C84" t="inlineStr">
        <is>
          <t>Beniel (Murcia)</t>
        </is>
      </c>
      <c r="D84" t="inlineStr">
        <is>
          <t>celenet.es</t>
        </is>
      </c>
      <c r="E84" t="inlineStr">
        <is>
          <t>集成商/顾问（MikroTik 认证）</t>
        </is>
      </c>
      <c r="F84" t="inlineStr">
        <is>
          <t>MikroTik 认证顾问 10 证全拿 / 9 证（含 MTCSWE）</t>
        </is>
      </c>
      <c r="G84" t="inlineStr">
        <is>
          <t>否</t>
        </is>
      </c>
      <c r="H84" t="inlineStr">
        <is>
          <t>MikroTik 认证顾问：自己做方案/集成/运维并自行采购设备 → 用 ERPS/IGMP/VLAN/CLI/MIB 这类技术语言切入，不打价格战</t>
        </is>
      </c>
      <c r="I84" t="inlineStr">
        <is>
          <t>LT-S8328XGP-4XS24GT-S</t>
        </is>
      </c>
      <c r="J84" t="inlineStr">
        <is>
          <t>Carlos Cardenas Cebrian +34 622 330 440 / ccardenas@celenet.es；Javier Prieto Vera +34 649 395 961 / jprietove@celenet.es</t>
        </is>
      </c>
      <c r="K84" t="inlineStr">
        <is>
          <t>★★★</t>
        </is>
      </c>
      <c r="L84" t="inlineStr">
        <is>
          <t>未触达</t>
        </is>
      </c>
      <c r="M84" t="inlineStr">
        <is>
          <t>2026-09-22</t>
        </is>
      </c>
      <c r="N84" t="inlineStr"/>
      <c r="O84" t="inlineStr"/>
      <c r="P84" t="inlineStr"/>
      <c r="Q84" t="inlineStr">
        <is>
          <t>公司内 2 位顾问，均 9–10 证。Carlos：WISP、OSPF/BGP/MPLS、IPv6 规划、**组播 Multicast**、高可用、负载均衡、流量工程、QoS、CAPsMAN、Hotspot、RouterOS v7。Javier：OSPF/BGP/VLAN/EoIP/MPLS/VPLS、WiFi 部署、带宽管理</t>
        </is>
      </c>
      <c r="R84" t="inlineStr">
        <is>
          <t>A</t>
        </is>
      </c>
      <c r="S84" t="inlineStr">
        <is>
          <t>有明确交换/供电需求（交换认证 MTCSWE、组播/IPTV），且有具体人直联</t>
        </is>
      </c>
      <c r="T84" t="inlineStr">
        <is>
          <t>A-083</t>
        </is>
      </c>
      <c r="U84" t="inlineStr"/>
      <c r="V84" t="inlineStr"/>
    </row>
    <row r="85">
      <c r="A85" t="inlineStr">
        <is>
          <t>Giancarlos Bejarano Bordones</t>
        </is>
      </c>
      <c r="B85" t="inlineStr">
        <is>
          <t>西班牙</t>
        </is>
      </c>
      <c r="C85" t="inlineStr">
        <is>
          <t>Zaragoza</t>
        </is>
      </c>
      <c r="D85" t="inlineStr"/>
      <c r="E85" t="inlineStr">
        <is>
          <t>集成商/顾问（MikroTik 认证）</t>
        </is>
      </c>
      <c r="F85" t="inlineStr">
        <is>
          <t>MikroTik 认证顾问 MTCNA+MTCRE+MTCINE+MTCSE</t>
        </is>
      </c>
      <c r="G85" t="inlineStr">
        <is>
          <t>否</t>
        </is>
      </c>
      <c r="H85" t="inlineStr">
        <is>
          <t>MikroTik 认证顾问：自己做方案/集成/运维并自行采购设备 → 用 ERPS/IGMP/VLAN/CLI/MIB 这类技术语言切入，不打价格战</t>
        </is>
      </c>
      <c r="I85" t="inlineStr">
        <is>
          <t>LT-S8328XGP-4XS24GT-S</t>
        </is>
      </c>
      <c r="J85" t="inlineStr">
        <is>
          <t>+34 604 819 851 / giancbeja@gmail.com</t>
        </is>
      </c>
      <c r="K85" t="inlineStr">
        <is>
          <t>★★★</t>
        </is>
      </c>
      <c r="L85" t="inlineStr">
        <is>
          <t>未触达</t>
        </is>
      </c>
      <c r="M85" t="inlineStr">
        <is>
          <t>2026-09-22</t>
        </is>
      </c>
      <c r="N85" t="inlineStr"/>
      <c r="O85" t="inlineStr"/>
      <c r="P85" t="inlineStr"/>
      <c r="Q85" t="inlineStr">
        <is>
          <t>系统与网络安全工程师；**IGMP**、VLAN、OSPF/MPLS、QoS/CoS/DSCP、IPSec、多 WAN 负载均衡、DoS 防护、Hotspot 与强制门户</t>
        </is>
      </c>
      <c r="R85" t="inlineStr">
        <is>
          <t>A</t>
        </is>
      </c>
      <c r="S85" t="inlineStr">
        <is>
          <t>有明确交换/供电需求（酒店/多住户），且有具体人直联</t>
        </is>
      </c>
      <c r="T85" t="inlineStr">
        <is>
          <t>A-084</t>
        </is>
      </c>
      <c r="U85" t="inlineStr"/>
      <c r="V85" t="inlineStr"/>
    </row>
    <row r="86">
      <c r="A86" t="inlineStr">
        <is>
          <t>Jaime Fuentes</t>
        </is>
      </c>
      <c r="B86" t="inlineStr">
        <is>
          <t>西班牙</t>
        </is>
      </c>
      <c r="C86" t="inlineStr">
        <is>
          <t>Alcalá la Real</t>
        </is>
      </c>
      <c r="D86" t="inlineStr"/>
      <c r="E86" t="inlineStr">
        <is>
          <t>集成商/顾问（MikroTik 认证）</t>
        </is>
      </c>
      <c r="F86" t="inlineStr">
        <is>
          <t>MikroTik 认证顾问 MTCNA+MTCRE+MTCTCE</t>
        </is>
      </c>
      <c r="G86" t="inlineStr">
        <is>
          <t>否</t>
        </is>
      </c>
      <c r="H86" t="inlineStr">
        <is>
          <t>MikroTik 认证顾问：自己做方案/集成/运维并自行采购设备 → 用 ERPS/IGMP/VLAN/CLI/MIB 这类技术语言切入，不打价格战</t>
        </is>
      </c>
      <c r="I86" t="inlineStr">
        <is>
          <t>LT-S8328XGP-4XS24GT-S</t>
        </is>
      </c>
      <c r="J86" t="inlineStr">
        <is>
          <t>+34 615 800 589 / jaimefuentesit@gmail.com</t>
        </is>
      </c>
      <c r="K86" t="inlineStr">
        <is>
          <t>★★★</t>
        </is>
      </c>
      <c r="L86" t="inlineStr">
        <is>
          <t>未触达</t>
        </is>
      </c>
      <c r="M86" t="inlineStr">
        <is>
          <t>2026-09-22</t>
        </is>
      </c>
      <c r="N86" t="inlineStr"/>
      <c r="O86" t="inlineStr"/>
      <c r="P86" t="inlineStr"/>
      <c r="Q86" t="inlineStr">
        <is>
          <t>MikroTik 讲师，专做 ISP/WISP 网络设计与技术支持；技能含 **FTTH**、OSPF/BGP/MPLS/VPLS、CAPsMAN、Hotspot、The Dude、RADIUS、LibreNMS、Python</t>
        </is>
      </c>
      <c r="R86" t="inlineStr">
        <is>
          <t>A</t>
        </is>
      </c>
      <c r="S86" t="inlineStr">
        <is>
          <t>有明确交换/供电需求（光纤接入），且有具体人直联</t>
        </is>
      </c>
      <c r="T86" t="inlineStr">
        <is>
          <t>A-085</t>
        </is>
      </c>
      <c r="U86" t="inlineStr"/>
      <c r="V86" t="inlineStr"/>
    </row>
    <row r="87">
      <c r="A87" t="inlineStr">
        <is>
          <t>Olisian Sulaj</t>
        </is>
      </c>
      <c r="B87" t="inlineStr">
        <is>
          <t>阿尔巴尼亚</t>
        </is>
      </c>
      <c r="C87" t="inlineStr">
        <is>
          <t>Tirana</t>
        </is>
      </c>
      <c r="D87" t="inlineStr"/>
      <c r="E87" t="inlineStr">
        <is>
          <t>集成商/顾问（MikroTik 认证）</t>
        </is>
      </c>
      <c r="F87" t="inlineStr">
        <is>
          <t>MikroTik 认证顾问 MTCNA+MTCRE</t>
        </is>
      </c>
      <c r="G87" t="inlineStr">
        <is>
          <t>否</t>
        </is>
      </c>
      <c r="H87" t="inlineStr">
        <is>
          <t>MikroTik 认证顾问：自己做方案/集成/运维并自行采购设备 → 用 ERPS/IGMP/VLAN/CLI/MIB 这类技术语言切入，不打价格战</t>
        </is>
      </c>
      <c r="I87" t="inlineStr">
        <is>
          <t>LT-S8328GP-4GX24GT-S</t>
        </is>
      </c>
      <c r="J87" t="inlineStr">
        <is>
          <t>+355 69 299 6257 / olisian.sulaj@gmail.com</t>
        </is>
      </c>
      <c r="K87" t="inlineStr">
        <is>
          <t>★★★</t>
        </is>
      </c>
      <c r="L87" t="inlineStr">
        <is>
          <t>未触达</t>
        </is>
      </c>
      <c r="M87" t="inlineStr">
        <is>
          <t>2026-09-22</t>
        </is>
      </c>
      <c r="N87" t="inlineStr"/>
      <c r="O87" t="inlineStr"/>
      <c r="P87" t="inlineStr"/>
      <c r="Q87" t="inlineStr">
        <is>
          <t>★ 专长含 **Switching（MAC-based VLAN）**、PPPoE 与 RADIUS 认证计费、HotSpot、WISP 有线无线 NOC 规划设计迁移、PtP/Mesh、队列与流量整形；英西双语</t>
        </is>
      </c>
      <c r="R87" t="inlineStr">
        <is>
          <t>A</t>
        </is>
      </c>
      <c r="S87" t="inlineStr">
        <is>
          <t>有明确交换/供电需求（交换专长、PoE/监控/门禁），且有具体人直联</t>
        </is>
      </c>
      <c r="T87" t="inlineStr">
        <is>
          <t>A-086</t>
        </is>
      </c>
      <c r="U87" t="inlineStr"/>
      <c r="V87" t="inlineStr"/>
    </row>
    <row r="88">
      <c r="A88" t="inlineStr">
        <is>
          <t>Oltion Nikolla / Router.al</t>
        </is>
      </c>
      <c r="B88" t="inlineStr">
        <is>
          <t>阿尔巴尼亚</t>
        </is>
      </c>
      <c r="C88" t="inlineStr">
        <is>
          <t>Tirana</t>
        </is>
      </c>
      <c r="D88" t="inlineStr">
        <is>
          <t>router.al</t>
        </is>
      </c>
      <c r="E88" t="inlineStr">
        <is>
          <t>集成商/顾问（MikroTik 认证）</t>
        </is>
      </c>
      <c r="F88" t="inlineStr">
        <is>
          <t>MikroTik 认证顾问 MTCNA+MTCRE</t>
        </is>
      </c>
      <c r="G88" t="inlineStr">
        <is>
          <t>否</t>
        </is>
      </c>
      <c r="H88" t="inlineStr">
        <is>
          <t>MikroTik 认证顾问：自己做方案/集成/运维并自行采购设备 → 用 ERPS/IGMP/VLAN/CLI/MIB 这类技术语言切入，不打价格战</t>
        </is>
      </c>
      <c r="I88" t="inlineStr">
        <is>
          <t>LT-S8328GP-4GX24GT-S</t>
        </is>
      </c>
      <c r="J88" t="inlineStr">
        <is>
          <t>+355 695 250 949 / oltionnikolla@gmail.com</t>
        </is>
      </c>
      <c r="K88" t="inlineStr">
        <is>
          <t>★★★</t>
        </is>
      </c>
      <c r="L88" t="inlineStr">
        <is>
          <t>未触达</t>
        </is>
      </c>
      <c r="M88" t="inlineStr">
        <is>
          <t>2026-09-22</t>
        </is>
      </c>
      <c r="N88" t="inlineStr"/>
      <c r="O88" t="inlineStr"/>
      <c r="P88" t="inlineStr"/>
      <c r="Q88" t="inlineStr">
        <is>
          <t>★★ 域名 **router.al**（阿尔巴尼亚国别域名做 MikroTik 生意）；资深网络工程师与 IT 顾问，**业务覆盖整个巴尔干地区与国际**；核心专长明确含「**复杂路由与交换：BGP、OSPF、MPLS/VPLS、VLAN Filtering、RSTP/MSTP、多 WAN 负载均衡**」；高密度 Wi-Fi、CAPsMAN、Asterisk/VoIP 集成；服务含 ISP/WISP 建网与企业 IT 外包</t>
        </is>
      </c>
      <c r="R88" t="inlineStr">
        <is>
          <t>A</t>
        </is>
      </c>
      <c r="S88" t="inlineStr">
        <is>
          <t>有明确交换/供电需求（交换专长），且有具体人直联</t>
        </is>
      </c>
      <c r="T88" t="inlineStr">
        <is>
          <t>A-087</t>
        </is>
      </c>
      <c r="U88" t="inlineStr"/>
      <c r="V88" t="inlineStr"/>
    </row>
    <row r="89">
      <c r="A89" t="inlineStr">
        <is>
          <t>Nexus Networks</t>
        </is>
      </c>
      <c r="B89" t="inlineStr">
        <is>
          <t>马耳他</t>
        </is>
      </c>
      <c r="C89" t="inlineStr"/>
      <c r="D89" t="inlineStr">
        <is>
          <t>nexus.com.mt</t>
        </is>
      </c>
      <c r="E89" t="inlineStr">
        <is>
          <t>分销（MikroTik 官方）</t>
        </is>
      </c>
      <c r="F89" t="inlineStr">
        <is>
          <t>MikroTik（Reseller）</t>
        </is>
      </c>
      <c r="G89" t="inlineStr">
        <is>
          <t>否</t>
        </is>
      </c>
      <c r="H89" t="inlineStr">
        <is>
          <t>卖 MikroTik 但缺工业/ERPS/PoE++ → 用同价位工业线补他的产品缺口</t>
        </is>
      </c>
      <c r="I89" t="inlineStr">
        <is>
          <t>LT-IS6312XGP-4XS8GT</t>
        </is>
      </c>
      <c r="J89" t="inlineStr">
        <is>
          <t>+356 7946 1720 / hello@nexus.com.mt</t>
        </is>
      </c>
      <c r="K89" t="inlineStr">
        <is>
          <t>★★★</t>
        </is>
      </c>
      <c r="L89" t="inlineStr">
        <is>
          <t>未触达</t>
        </is>
      </c>
      <c r="M89" t="inlineStr">
        <is>
          <t>2026-09-22</t>
        </is>
      </c>
      <c r="N89" t="inlineStr"/>
      <c r="O89" t="inlineStr"/>
      <c r="P89" t="inlineStr"/>
      <c r="Q89" t="inlineStr">
        <is>
          <t>★ 马耳他**唯一**认证顾问（Johann，+356 7946 1720 / johann@nexus.com.mt）；持有 **MTCSWE（交换认证）**+ MTCTCE（流量控制）；10 年网络工程；**服务行业明确列举：酒店 hospitality、在线游戏 online gaming、零售 retail、制造 manufacturing** → 马耳他是欧洲 iGaming（在线博彩）产业聚集地，该行业对网络时延与稳定性要求极高；酒店与制造则需要接入交换机</t>
        </is>
      </c>
      <c r="R89" t="inlineStr">
        <is>
          <t>A</t>
        </is>
      </c>
      <c r="S89" t="inlineStr">
        <is>
          <t>有明确交换/供电需求（交换认证 MTCSWE、交换专长、酒店/多住户），且有具体人直联</t>
        </is>
      </c>
      <c r="T89" t="inlineStr">
        <is>
          <t>A-088</t>
        </is>
      </c>
      <c r="U89" t="inlineStr"/>
      <c r="V89" t="inlineStr"/>
    </row>
    <row r="90">
      <c r="A90" t="inlineStr">
        <is>
          <t>Henk Veldkamp</t>
        </is>
      </c>
      <c r="B90" t="inlineStr">
        <is>
          <t>荷兰</t>
        </is>
      </c>
      <c r="C90" t="inlineStr">
        <is>
          <t>Zwolle</t>
        </is>
      </c>
      <c r="D90" t="inlineStr"/>
      <c r="E90" t="inlineStr">
        <is>
          <t>集成商/顾问（MikroTik 认证）</t>
        </is>
      </c>
      <c r="F90" t="inlineStr">
        <is>
          <t>MikroTik 认证顾问，持 MTCRE MTCWE MTCTCE MTCUME MTCIPv6E MTCINE MTCSE MTCSWE MTCEWE</t>
        </is>
      </c>
      <c r="G90" t="inlineStr">
        <is>
          <t>否</t>
        </is>
      </c>
      <c r="H90" t="inlineStr">
        <is>
          <t>MikroTik 生态切入</t>
        </is>
      </c>
      <c r="I90" t="inlineStr">
        <is>
          <t>LT-S8328XGP-4XS24GT-S</t>
        </is>
      </c>
      <c r="J90" t="inlineStr">
        <is>
          <t>MikroTik 顾问名录（电话见名录页）</t>
        </is>
      </c>
      <c r="K90" t="inlineStr">
        <is>
          <t>★★★</t>
        </is>
      </c>
      <c r="L90" t="inlineStr">
        <is>
          <t>未触达</t>
        </is>
      </c>
      <c r="M90" t="inlineStr">
        <is>
          <t>MikroTik 官方认证顾问名录</t>
        </is>
      </c>
      <c r="N90" t="inlineStr"/>
      <c r="O90" t="inlineStr"/>
      <c r="P90" t="inlineStr"/>
      <c r="Q90" t="inlineStr">
        <is>
          <t>【2026-09-23】MikroTik 官方认证顾问名录（mikrotik.com/consultants）收录。荷兰证书最全者之一，持 MTCSWE 交换认证；名录显示其讲授 MTCNA–MTCINE 全部课程。</t>
        </is>
      </c>
      <c r="R90" t="inlineStr">
        <is>
          <t>A</t>
        </is>
      </c>
      <c r="S90" t="inlineStr">
        <is>
          <t>有明确交换/供电需求（交换认证 MTCSWE、交换专长），三星重点</t>
        </is>
      </c>
      <c r="T90" t="inlineStr">
        <is>
          <t>A-089</t>
        </is>
      </c>
      <c r="U90" t="inlineStr"/>
      <c r="V90" t="inlineStr"/>
    </row>
    <row r="91">
      <c r="A91" t="inlineStr">
        <is>
          <t>Maurice Van Der Grijspaarde</t>
        </is>
      </c>
      <c r="B91" t="inlineStr">
        <is>
          <t>荷兰</t>
        </is>
      </c>
      <c r="C91" t="inlineStr">
        <is>
          <t>Haarlem</t>
        </is>
      </c>
      <c r="D91" t="inlineStr"/>
      <c r="E91" t="inlineStr">
        <is>
          <t>集成商/顾问（MikroTik 认证）</t>
        </is>
      </c>
      <c r="F91" t="inlineStr">
        <is>
          <t>MikroTik 认证顾问，持 MTCRE MTCTCE MTCUME MTCIPv6E MTCINE MTCSE MTCSWE</t>
        </is>
      </c>
      <c r="G91" t="inlineStr">
        <is>
          <t>否</t>
        </is>
      </c>
      <c r="H91" t="inlineStr">
        <is>
          <t>MikroTik 生态切入</t>
        </is>
      </c>
      <c r="I91" t="inlineStr">
        <is>
          <t>LT-S8328XGP-4XS24GT-S</t>
        </is>
      </c>
      <c r="J91" t="inlineStr">
        <is>
          <t>MikroTik 顾问名录</t>
        </is>
      </c>
      <c r="K91" t="inlineStr">
        <is>
          <t>★★★</t>
        </is>
      </c>
      <c r="L91" t="inlineStr">
        <is>
          <t>未触达</t>
        </is>
      </c>
      <c r="M91" t="inlineStr">
        <is>
          <t>MikroTik 官方认证顾问名录</t>
        </is>
      </c>
      <c r="N91" t="inlineStr"/>
      <c r="O91" t="inlineStr"/>
      <c r="P91" t="inlineStr"/>
      <c r="Q91" t="inlineStr">
        <is>
          <t>【2026-09-23】MikroTik 官方认证顾问名录（mikrotik.com/consultants）收录。持 MTCSWE 交换认证。</t>
        </is>
      </c>
      <c r="R91" t="inlineStr">
        <is>
          <t>A</t>
        </is>
      </c>
      <c r="S91" t="inlineStr">
        <is>
          <t>有明确交换/供电需求（交换认证 MTCSWE、交换专长），三星重点</t>
        </is>
      </c>
      <c r="T91" t="inlineStr">
        <is>
          <t>A-090</t>
        </is>
      </c>
      <c r="U91" t="inlineStr"/>
      <c r="V91" t="inlineStr"/>
    </row>
    <row r="92">
      <c r="A92" t="inlineStr">
        <is>
          <t>Joost Van De Weijer</t>
        </is>
      </c>
      <c r="B92" t="inlineStr">
        <is>
          <t>荷兰</t>
        </is>
      </c>
      <c r="C92" t="inlineStr">
        <is>
          <t>Bladel</t>
        </is>
      </c>
      <c r="D92" t="inlineStr"/>
      <c r="E92" t="inlineStr">
        <is>
          <t>集成商/顾问（MikroTik 认证）</t>
        </is>
      </c>
      <c r="F92" t="inlineStr">
        <is>
          <t>MikroTik 认证顾问，持 MTCRE MTCWE MTCTCE MTCINE MTCSWE MTCEWE</t>
        </is>
      </c>
      <c r="G92" t="inlineStr">
        <is>
          <t>否</t>
        </is>
      </c>
      <c r="H92" t="inlineStr">
        <is>
          <t>MikroTik 生态切入</t>
        </is>
      </c>
      <c r="I92" t="inlineStr">
        <is>
          <t>LT-S8328XGP-4XS24GT-S</t>
        </is>
      </c>
      <c r="J92" t="inlineStr">
        <is>
          <t>MikroTik 顾问名录</t>
        </is>
      </c>
      <c r="K92" t="inlineStr">
        <is>
          <t>★★★</t>
        </is>
      </c>
      <c r="L92" t="inlineStr">
        <is>
          <t>未触达</t>
        </is>
      </c>
      <c r="M92" t="inlineStr">
        <is>
          <t>MikroTik 官方认证顾问名录</t>
        </is>
      </c>
      <c r="N92" t="inlineStr"/>
      <c r="O92" t="inlineStr"/>
      <c r="P92" t="inlineStr"/>
      <c r="Q92" t="inlineStr">
        <is>
          <t>【2026-09-23】MikroTik 官方认证顾问名录（mikrotik.com/consultants）收录。持 MTCSWE 交换认证。</t>
        </is>
      </c>
      <c r="R92" t="inlineStr">
        <is>
          <t>A</t>
        </is>
      </c>
      <c r="S92" t="inlineStr">
        <is>
          <t>有明确交换/供电需求（交换认证 MTCSWE、交换专长），三星重点</t>
        </is>
      </c>
      <c r="T92" t="inlineStr">
        <is>
          <t>A-091</t>
        </is>
      </c>
      <c r="U92" t="inlineStr"/>
      <c r="V92" t="inlineStr"/>
    </row>
    <row r="93">
      <c r="A93" t="inlineStr">
        <is>
          <t>ALLNET Nordic A/S</t>
        </is>
      </c>
      <c r="B93" t="inlineStr">
        <is>
          <t>丹麦</t>
        </is>
      </c>
      <c r="C93" t="inlineStr"/>
      <c r="D93" t="inlineStr">
        <is>
          <t>shop.allnet.dk</t>
        </is>
      </c>
      <c r="E93" t="inlineStr">
        <is>
          <t>分销（MikroTik 官方）</t>
        </is>
      </c>
      <c r="F93" t="inlineStr">
        <is>
          <t>MikroTik（Master）</t>
        </is>
      </c>
      <c r="G93" t="inlineStr">
        <is>
          <t>否</t>
        </is>
      </c>
      <c r="H93" t="inlineStr">
        <is>
          <t>ALLNET 集团北欧站（德/法/意/丹 = 4 国）</t>
        </is>
      </c>
      <c r="I93" t="inlineStr">
        <is>
          <t>LT-S8328GP-4GX24GT</t>
        </is>
      </c>
      <c r="J93" t="inlineStr">
        <is>
          <t>+45 69 96 00 00 / info@allnet.dk</t>
        </is>
      </c>
      <c r="K93" t="inlineStr">
        <is>
          <t>★★★</t>
        </is>
      </c>
      <c r="L93" t="inlineStr">
        <is>
          <t>未触达</t>
        </is>
      </c>
      <c r="M93" t="inlineStr">
        <is>
          <t>2026-09-22</t>
        </is>
      </c>
      <c r="N93" t="inlineStr"/>
      <c r="O93" t="inlineStr"/>
      <c r="P93" t="inlineStr"/>
      <c r="Q93" t="inlineStr">
        <is>
          <t>Ballerup</t>
        </is>
      </c>
      <c r="R93" t="inlineStr">
        <is>
          <t>B</t>
        </is>
      </c>
      <c r="S93" t="inlineStr">
        <is>
          <t>通用分销商信号，无差异化切入点，慢慢跟</t>
        </is>
      </c>
      <c r="T93" t="inlineStr">
        <is>
          <t>B-001</t>
        </is>
      </c>
      <c r="U93" t="inlineStr"/>
      <c r="V93" t="inlineStr"/>
    </row>
    <row r="94">
      <c r="A94" t="inlineStr">
        <is>
          <t>Bross Engineering Aps</t>
        </is>
      </c>
      <c r="B94" t="inlineStr">
        <is>
          <t>丹麦</t>
        </is>
      </c>
      <c r="C94" t="inlineStr">
        <is>
          <t>Ballerup (København)</t>
        </is>
      </c>
      <c r="D94" t="inlineStr">
        <is>
          <t>bross.dk</t>
        </is>
      </c>
      <c r="E94" t="inlineStr">
        <is>
          <t>分销（HMS/N-Tron·Red Lion 渠道）</t>
        </is>
      </c>
      <c r="F94" t="inlineStr">
        <is>
          <t>N-Tron + Red Lion + Anybus + Ewon + Ixxat</t>
        </is>
      </c>
      <c r="G94" t="inlineStr">
        <is>
          <t>否</t>
        </is>
      </c>
      <c r="H94" t="inlineStr">
        <is>
          <t>卖 N-Tron/Red Lion 工业交换机（8口非网管约 $500+）→ 中性货同规格 LT-IS6310G 约 $91，做第二供应商，价差 5 倍</t>
        </is>
      </c>
      <c r="I94" t="inlineStr">
        <is>
          <t>LT-IS6312XG-4XS8GT</t>
        </is>
      </c>
      <c r="J94" t="inlineStr">
        <is>
          <t>官网联系页（HMS 名录只公开地址与网址）</t>
        </is>
      </c>
      <c r="K94" t="inlineStr">
        <is>
          <t>★★★</t>
        </is>
      </c>
      <c r="L94" t="inlineStr">
        <is>
          <t>未触达</t>
        </is>
      </c>
      <c r="M94" t="inlineStr">
        <is>
          <t>2026-09-22</t>
        </is>
      </c>
      <c r="N94" t="inlineStr"/>
      <c r="O94" t="inlineStr"/>
      <c r="P94" t="inlineStr"/>
      <c r="Q94" t="inlineStr">
        <is>
          <t>丹麦唯一本地 N-Tron 代理（除 RS）</t>
        </is>
      </c>
      <c r="R94" t="inlineStr">
        <is>
          <t>C</t>
        </is>
      </c>
      <c r="S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4" t="inlineStr">
        <is>
          <t>C-151</t>
        </is>
      </c>
      <c r="U94" t="inlineStr">
        <is>
          <t>B下放·无邮箱（群发触达不到）</t>
        </is>
      </c>
      <c r="V94" t="inlineStr"/>
    </row>
    <row r="95">
      <c r="A95" t="inlineStr">
        <is>
          <t>Danbit</t>
        </is>
      </c>
      <c r="B95" t="inlineStr">
        <is>
          <t>丹麦</t>
        </is>
      </c>
      <c r="C95" t="inlineStr"/>
      <c r="D95" t="inlineStr">
        <is>
          <t>danbit.dk</t>
        </is>
      </c>
      <c r="E95" t="inlineStr">
        <is>
          <t>分销</t>
        </is>
      </c>
      <c r="F95" t="inlineStr">
        <is>
          <t>自有 + Moxa EDS-205</t>
        </is>
      </c>
      <c r="G95" t="inlineStr">
        <is>
          <t>部分</t>
        </is>
      </c>
      <c r="H95" t="inlineStr">
        <is>
          <t>已有PoE++(95W/口)线→补10G与24口</t>
        </is>
      </c>
      <c r="I95" t="inlineStr">
        <is>
          <t>LT-IS6328XGP-4XS24GT-4BT</t>
        </is>
      </c>
      <c r="J95" t="inlineStr">
        <is>
          <t>官网</t>
        </is>
      </c>
      <c r="K95" t="inlineStr">
        <is>
          <t>★★★</t>
        </is>
      </c>
      <c r="L95" t="inlineStr">
        <is>
          <t>未触达</t>
        </is>
      </c>
      <c r="M95" t="inlineStr">
        <is>
          <t>反向信号/2026-09</t>
        </is>
      </c>
      <c r="N95" t="inlineStr"/>
      <c r="O95" t="inlineStr"/>
      <c r="P95" t="inlineStr"/>
      <c r="Q95" t="inlineStr">
        <is>
          <t>【待补】本行由分销商名录批量导入，三星依据仅为渠道等级（分销）与「自有 + Moxa EDS-205」，尚无人工核实。建议先查证其是否已有工业交换机 / PoE++ 产品线，再定切入型号</t>
        </is>
      </c>
      <c r="R95" t="inlineStr">
        <is>
          <t>C</t>
        </is>
      </c>
      <c r="S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95" t="inlineStr">
        <is>
          <t>C-152</t>
        </is>
      </c>
      <c r="U95" t="inlineStr">
        <is>
          <t>B下放·无邮箱（群发触达不到）</t>
        </is>
      </c>
      <c r="V95" t="inlineStr"/>
    </row>
    <row r="96">
      <c r="A96" t="inlineStr">
        <is>
          <t>Dvisor IT ApS</t>
        </is>
      </c>
      <c r="B96" t="inlineStr">
        <is>
          <t>丹麦</t>
        </is>
      </c>
      <c r="C96" t="inlineStr"/>
      <c r="D96" t="inlineStr">
        <is>
          <t>shop.dvisor.dk</t>
        </is>
      </c>
      <c r="E96" t="inlineStr">
        <is>
          <t>分销（MikroTik 官方）</t>
        </is>
      </c>
      <c r="F96" t="inlineStr">
        <is>
          <t>MikroTik（Reseller）</t>
        </is>
      </c>
      <c r="G96" t="inlineStr">
        <is>
          <t>否</t>
        </is>
      </c>
      <c r="H96" t="inlineStr">
        <is>
          <t>卖 MikroTik 但缺工业/ERPS/PoE++ → 用同价位工业线补他的产品缺口</t>
        </is>
      </c>
      <c r="I96" t="inlineStr">
        <is>
          <t>LT-IS6312XGP-4XS8GT</t>
        </is>
      </c>
      <c r="J96" t="inlineStr">
        <is>
          <t>+45 69 17 07 08 / info@dvisor.dk</t>
        </is>
      </c>
      <c r="K96" t="inlineStr">
        <is>
          <t>★★★</t>
        </is>
      </c>
      <c r="L96" t="inlineStr">
        <is>
          <t>未触达</t>
        </is>
      </c>
      <c r="M96" t="inlineStr">
        <is>
          <t>2026-09-22</t>
        </is>
      </c>
      <c r="N96" t="inlineStr"/>
      <c r="O96" t="inlineStr"/>
      <c r="P96" t="inlineStr"/>
      <c r="Q96" t="inlineStr">
        <is>
          <t>Rønde</t>
        </is>
      </c>
      <c r="R96" t="inlineStr">
        <is>
          <t>B</t>
        </is>
      </c>
      <c r="S96" t="inlineStr">
        <is>
          <t>通用分销商信号，无差异化切入点，慢慢跟</t>
        </is>
      </c>
      <c r="T96" t="inlineStr">
        <is>
          <t>B-004</t>
        </is>
      </c>
      <c r="U96" t="inlineStr"/>
      <c r="V96" t="inlineStr"/>
    </row>
    <row r="97">
      <c r="A97" t="inlineStr">
        <is>
          <t>Nextron AS</t>
        </is>
      </c>
      <c r="B97" t="inlineStr">
        <is>
          <t>丹麦</t>
        </is>
      </c>
      <c r="C97" t="inlineStr"/>
      <c r="D97" t="inlineStr">
        <is>
          <t>nextron.dk</t>
        </is>
      </c>
      <c r="E97" t="inlineStr">
        <is>
          <t>分销（MikroTik 官方）</t>
        </is>
      </c>
      <c r="F97" t="inlineStr">
        <is>
          <t>MikroTik（Reseller）</t>
        </is>
      </c>
      <c r="G97" t="inlineStr">
        <is>
          <t>否</t>
        </is>
      </c>
      <c r="H97" t="inlineStr">
        <is>
          <t>Nextron 北欧多国（丹/挪/芬/瑞典）</t>
        </is>
      </c>
      <c r="I97" t="inlineStr">
        <is>
          <t>LT-S8328XG-4XS8GT-S</t>
        </is>
      </c>
      <c r="J97" t="inlineStr">
        <is>
          <t>+45 70 10 37 00 / sales@nextron.dk</t>
        </is>
      </c>
      <c r="K97" t="inlineStr">
        <is>
          <t>★★★</t>
        </is>
      </c>
      <c r="L97" t="inlineStr">
        <is>
          <t>未触达</t>
        </is>
      </c>
      <c r="M97" t="inlineStr">
        <is>
          <t>2026-09-22</t>
        </is>
      </c>
      <c r="N97" t="inlineStr"/>
      <c r="O97" t="inlineStr"/>
      <c r="P97" t="inlineStr"/>
      <c r="Q97" t="inlineStr">
        <is>
          <t>Copenhagen</t>
        </is>
      </c>
      <c r="R97" t="inlineStr">
        <is>
          <t>B</t>
        </is>
      </c>
      <c r="S97" t="inlineStr">
        <is>
          <t>通用分销商信号，无差异化切入点，慢慢跟</t>
        </is>
      </c>
      <c r="T97" t="inlineStr">
        <is>
          <t>B-005</t>
        </is>
      </c>
      <c r="U97" t="inlineStr"/>
      <c r="V97" t="inlineStr"/>
    </row>
    <row r="98">
      <c r="A98" t="inlineStr">
        <is>
          <t>Thomas Fossing / CloudPilot</t>
        </is>
      </c>
      <c r="B98" t="inlineStr">
        <is>
          <t>丹麦</t>
        </is>
      </c>
      <c r="C98" t="inlineStr">
        <is>
          <t>Copenhagen</t>
        </is>
      </c>
      <c r="D98" t="inlineStr">
        <is>
          <t>cloudpilot.dk</t>
        </is>
      </c>
      <c r="E98" t="inlineStr">
        <is>
          <t>集成商/顾问（MikroTik 认证）</t>
        </is>
      </c>
      <c r="F98" t="inlineStr">
        <is>
          <t>MikroTik 认证顾问 MTCNA+MTCRE+MTCWE+MTCINE</t>
        </is>
      </c>
      <c r="G98" t="inlineStr">
        <is>
          <t>否</t>
        </is>
      </c>
      <c r="H98" t="inlineStr">
        <is>
          <t>MikroTik 认证顾问：自己做方案/集成/运维并自行采购设备 → 用 ERPS/IGMP/VLAN/CLI/MIB 这类技术语言切入，不打价格战</t>
        </is>
      </c>
      <c r="I98" t="inlineStr">
        <is>
          <t>LT-S8328XGP-4XS24GT-S</t>
        </is>
      </c>
      <c r="J98" t="inlineStr">
        <is>
          <t>+45 23 708 070 / tcf@cloudpilot.dk</t>
        </is>
      </c>
      <c r="K98" t="inlineStr">
        <is>
          <t>★★★</t>
        </is>
      </c>
      <c r="L98" t="inlineStr">
        <is>
          <t>未触达</t>
        </is>
      </c>
      <c r="M98" t="inlineStr">
        <is>
          <t>2026-09-22</t>
        </is>
      </c>
      <c r="N98" t="inlineStr"/>
      <c r="O98" t="inlineStr"/>
      <c r="P98" t="inlineStr"/>
      <c r="Q98" t="inlineStr">
        <is>
          <t>面向没有专职 IT 经理的中小企业做 IT 平台规划与选型（预算内最优结构）；含 MTCWE（无线）+ MTCINE（ISP 互联）</t>
        </is>
      </c>
      <c r="R98" t="inlineStr">
        <is>
          <t>B</t>
        </is>
      </c>
      <c r="S98" t="inlineStr">
        <is>
          <t>有信号（ISP/骨干）但需先验证需求或联系人不具体</t>
        </is>
      </c>
      <c r="T98" t="inlineStr">
        <is>
          <t>B-006</t>
        </is>
      </c>
      <c r="U98" t="inlineStr"/>
      <c r="V98" t="inlineStr"/>
    </row>
    <row r="99">
      <c r="A99" t="inlineStr">
        <is>
          <t>Alpha Metronik Ltd</t>
        </is>
      </c>
      <c r="B99" t="inlineStr">
        <is>
          <t>乌克兰</t>
        </is>
      </c>
      <c r="C99" t="inlineStr"/>
      <c r="D99" t="inlineStr">
        <is>
          <t>alfa-metronik.ua</t>
        </is>
      </c>
      <c r="E99" t="inlineStr">
        <is>
          <t>分销（ORing 授权）</t>
        </is>
      </c>
      <c r="F99" t="inlineStr">
        <is>
          <t>ORing</t>
        </is>
      </c>
      <c r="G99" t="inlineStr">
        <is>
          <t>否</t>
        </is>
      </c>
      <c r="H99" t="inlineStr">
        <is>
          <t>乌克兰分销（MikroTik 出货 T3 市场）</t>
        </is>
      </c>
      <c r="I99" t="inlineStr">
        <is>
          <t>LT-IS6312XG-4XS8GT</t>
        </is>
      </c>
      <c r="J99" t="inlineStr">
        <is>
          <t>+380 (44) 501-96-01</t>
        </is>
      </c>
      <c r="K99" t="inlineStr">
        <is>
          <t>★★</t>
        </is>
      </c>
      <c r="L99" t="inlineStr">
        <is>
          <t>未触达</t>
        </is>
      </c>
      <c r="M99" t="inlineStr">
        <is>
          <t>ORing经销商名录/2026-09</t>
        </is>
      </c>
      <c r="N99" t="inlineStr"/>
      <c r="O99" t="inlineStr"/>
      <c r="P99" t="inlineStr"/>
      <c r="Q99" t="inlineStr">
        <is>
          <t>⚠️ 出货前做制裁与最终用途筛查</t>
        </is>
      </c>
      <c r="R99" t="inlineStr">
        <is>
          <t>C</t>
        </is>
      </c>
      <c r="S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99" t="inlineStr">
        <is>
          <t>C-153</t>
        </is>
      </c>
      <c r="U99" t="inlineStr">
        <is>
          <t>B下放·无邮箱（群发触达不到）</t>
        </is>
      </c>
      <c r="V99" t="inlineStr"/>
    </row>
    <row r="100">
      <c r="A100" t="inlineStr">
        <is>
          <t>Andrii Chernov / VIP</t>
        </is>
      </c>
      <c r="B100" t="inlineStr">
        <is>
          <t>乌克兰</t>
        </is>
      </c>
      <c r="C100" t="inlineStr">
        <is>
          <t>Ternopil</t>
        </is>
      </c>
      <c r="D100" t="inlineStr">
        <is>
          <t>vip.te.ua</t>
        </is>
      </c>
      <c r="E100" t="inlineStr">
        <is>
          <t>集成商/顾问（MikroTik 认证）</t>
        </is>
      </c>
      <c r="F100" t="inlineStr">
        <is>
          <t>MikroTik 认证顾问 MTCNA+MTCRE+MTCIPv6E</t>
        </is>
      </c>
      <c r="G100" t="inlineStr">
        <is>
          <t>否</t>
        </is>
      </c>
      <c r="H100" t="inlineStr">
        <is>
          <t>MikroTik 认证顾问：自己做方案/集成/运维并自行采购设备 → 用 ERPS/IGMP/VLAN/CLI/MIB 这类技术语言切入，不打价格战</t>
        </is>
      </c>
      <c r="I100" t="inlineStr">
        <is>
          <t>LT-S8328G-4XS24GT-S</t>
        </is>
      </c>
      <c r="J100" t="inlineStr">
        <is>
          <t>+380 67 678 0959 / service@vip.te.ua</t>
        </is>
      </c>
      <c r="K100" t="inlineStr">
        <is>
          <t>★★</t>
        </is>
      </c>
      <c r="L100" t="inlineStr">
        <is>
          <t>未触达</t>
        </is>
      </c>
      <c r="M100" t="inlineStr">
        <is>
          <t>2026-09-22</t>
        </is>
      </c>
      <c r="N100" t="inlineStr"/>
      <c r="O100" t="inlineStr"/>
      <c r="P100" t="inlineStr"/>
      <c r="Q100" t="inlineStr"/>
      <c r="R100" t="inlineStr">
        <is>
          <t>B</t>
        </is>
      </c>
      <c r="S100" t="inlineStr">
        <is>
          <t>通用分销商信号，无差异化切入点，慢慢跟</t>
        </is>
      </c>
      <c r="T100" t="inlineStr">
        <is>
          <t>B-008</t>
        </is>
      </c>
      <c r="U100" t="inlineStr"/>
      <c r="V100" t="inlineStr"/>
    </row>
    <row r="101">
      <c r="A101" t="inlineStr">
        <is>
          <t>Andrii Nagornyi</t>
        </is>
      </c>
      <c r="B101" t="inlineStr">
        <is>
          <t>乌克兰</t>
        </is>
      </c>
      <c r="C101" t="inlineStr">
        <is>
          <t>Kryvyi Rih</t>
        </is>
      </c>
      <c r="D101" t="inlineStr"/>
      <c r="E101" t="inlineStr">
        <is>
          <t>集成商/顾问（MikroTik 认证）</t>
        </is>
      </c>
      <c r="F101" t="inlineStr">
        <is>
          <t>MikroTik 认证顾问 MTCNA+MTCTCE+MTCSE</t>
        </is>
      </c>
      <c r="G101" t="inlineStr">
        <is>
          <t>否</t>
        </is>
      </c>
      <c r="H101" t="inlineStr">
        <is>
          <t>MikroTik 认证顾问：自己做方案/集成/运维并自行采购设备 → 用 ERPS/IGMP/VLAN/CLI/MIB 这类技术语言切入，不打价格战</t>
        </is>
      </c>
      <c r="I101" t="inlineStr">
        <is>
          <t>LT-S8328G-4XS24GT-S</t>
        </is>
      </c>
      <c r="J101" t="inlineStr">
        <is>
          <t>+380 67 539 2648 / orglink@hotmail.com</t>
        </is>
      </c>
      <c r="K101" t="inlineStr">
        <is>
          <t>★★</t>
        </is>
      </c>
      <c r="L101" t="inlineStr">
        <is>
          <t>未触达</t>
        </is>
      </c>
      <c r="M101" t="inlineStr">
        <is>
          <t>2026-09-22</t>
        </is>
      </c>
      <c r="N101" t="inlineStr"/>
      <c r="O101" t="inlineStr"/>
      <c r="P101" t="inlineStr"/>
      <c r="Q101" t="inlineStr">
        <is>
          <t>MikroTik IT 外包与网络工程：基础设施设计、RouterOS 部署、VPN、无线、安全、脚本</t>
        </is>
      </c>
      <c r="R101" t="inlineStr">
        <is>
          <t>B</t>
        </is>
      </c>
      <c r="S101" t="inlineStr">
        <is>
          <t>通用分销商信号，无差异化切入点，慢慢跟</t>
        </is>
      </c>
      <c r="T101" t="inlineStr">
        <is>
          <t>B-009</t>
        </is>
      </c>
      <c r="U101" t="inlineStr"/>
      <c r="V101" t="inlineStr"/>
    </row>
    <row r="102">
      <c r="A102" t="inlineStr">
        <is>
          <t>DEPS</t>
        </is>
      </c>
      <c r="B102" t="inlineStr">
        <is>
          <t>乌克兰</t>
        </is>
      </c>
      <c r="C102" t="inlineStr"/>
      <c r="D102" t="inlineStr">
        <is>
          <t>deps.ua</t>
        </is>
      </c>
      <c r="E102" t="inlineStr">
        <is>
          <t>分销（MikroTik 官方）</t>
        </is>
      </c>
      <c r="F102" t="inlineStr">
        <is>
          <t>MikroTik（Master+VAD）</t>
        </is>
      </c>
      <c r="G102" t="inlineStr">
        <is>
          <t>否</t>
        </is>
      </c>
      <c r="H102" t="inlineStr">
        <is>
          <t>四城分部（基辅/利沃夫/哈尔科夫/敖德萨）</t>
        </is>
      </c>
      <c r="I102" t="inlineStr">
        <is>
          <t>LT-IS6312XGP-4XS8GT</t>
        </is>
      </c>
      <c r="J102" t="inlineStr">
        <is>
          <t>+380 44 323 88 88 / Oleg.Smaliychuk@deps.ua</t>
        </is>
      </c>
      <c r="K102" t="inlineStr">
        <is>
          <t>★★★</t>
        </is>
      </c>
      <c r="L102" t="inlineStr">
        <is>
          <t>未触达</t>
        </is>
      </c>
      <c r="M102" t="inlineStr">
        <is>
          <t>2026-09-22</t>
        </is>
      </c>
      <c r="N102" t="inlineStr"/>
      <c r="O102" t="inlineStr"/>
      <c r="P102" t="inlineStr"/>
      <c r="Q102" t="inlineStr">
        <is>
          <t>Kyiv 等 4 城</t>
        </is>
      </c>
      <c r="R102" t="inlineStr">
        <is>
          <t>B</t>
        </is>
      </c>
      <c r="S102" t="inlineStr">
        <is>
          <t>通用分销商信号，无差异化切入点，慢慢跟</t>
        </is>
      </c>
      <c r="T102" t="inlineStr">
        <is>
          <t>B-010</t>
        </is>
      </c>
      <c r="U102" t="inlineStr"/>
      <c r="V102" t="inlineStr"/>
    </row>
    <row r="103">
      <c r="A103" t="inlineStr">
        <is>
          <t>ELKO Ukraine</t>
        </is>
      </c>
      <c r="B103" t="inlineStr">
        <is>
          <t>乌克兰</t>
        </is>
      </c>
      <c r="C103" t="inlineStr"/>
      <c r="D103" t="inlineStr">
        <is>
          <t>elko.ua</t>
        </is>
      </c>
      <c r="E103" t="inlineStr">
        <is>
          <t>分销（MikroTik 官方）</t>
        </is>
      </c>
      <c r="F103" t="inlineStr">
        <is>
          <t>MikroTik（Master+VAD）</t>
        </is>
      </c>
      <c r="G103" t="inlineStr">
        <is>
          <t>否</t>
        </is>
      </c>
      <c r="H103" t="inlineStr">
        <is>
          <t>ELKO 集团乌克兰站</t>
        </is>
      </c>
      <c r="I103" t="inlineStr">
        <is>
          <t>LT-S8328XG-4XS8GT-S</t>
        </is>
      </c>
      <c r="J103" t="inlineStr">
        <is>
          <t>+380 44 461 9670 / elko@elko.ua</t>
        </is>
      </c>
      <c r="K103" t="inlineStr">
        <is>
          <t>★★★</t>
        </is>
      </c>
      <c r="L103" t="inlineStr">
        <is>
          <t>未触达</t>
        </is>
      </c>
      <c r="M103" t="inlineStr">
        <is>
          <t>2026-09-22</t>
        </is>
      </c>
      <c r="N103" t="inlineStr"/>
      <c r="O103" t="inlineStr"/>
      <c r="P103" t="inlineStr"/>
      <c r="Q103" t="inlineStr">
        <is>
          <t>Kyiv</t>
        </is>
      </c>
      <c r="R103" t="inlineStr">
        <is>
          <t>B</t>
        </is>
      </c>
      <c r="S103" t="inlineStr">
        <is>
          <t>通用分销商信号，无差异化切入点，慢慢跟</t>
        </is>
      </c>
      <c r="T103" t="inlineStr">
        <is>
          <t>B-011</t>
        </is>
      </c>
      <c r="U103" t="inlineStr"/>
      <c r="V103" t="inlineStr"/>
    </row>
    <row r="104">
      <c r="A104" t="inlineStr">
        <is>
          <t>ERC</t>
        </is>
      </c>
      <c r="B104" t="inlineStr">
        <is>
          <t>乌克兰</t>
        </is>
      </c>
      <c r="C104" t="inlineStr"/>
      <c r="D104" t="inlineStr">
        <is>
          <t>erc.ua</t>
        </is>
      </c>
      <c r="E104" t="inlineStr">
        <is>
          <t>分销（MikroTik 官方）</t>
        </is>
      </c>
      <c r="F104" t="inlineStr">
        <is>
          <t>MikroTik（Master+VAD）</t>
        </is>
      </c>
      <c r="G104" t="inlineStr">
        <is>
          <t>否</t>
        </is>
      </c>
      <c r="H104" t="inlineStr">
        <is>
          <t>MikroTik 官方分销，商用线可直接比价，工业线为零 → 新品类增量</t>
        </is>
      </c>
      <c r="I104" t="inlineStr">
        <is>
          <t>LT-S8328XG-4XS8GT-S</t>
        </is>
      </c>
      <c r="J104" t="inlineStr">
        <is>
          <t>+380 44 230 3474 / Network_SOHO@erc.ua</t>
        </is>
      </c>
      <c r="K104" t="inlineStr">
        <is>
          <t>★★★</t>
        </is>
      </c>
      <c r="L104" t="inlineStr">
        <is>
          <t>未触达</t>
        </is>
      </c>
      <c r="M104" t="inlineStr">
        <is>
          <t>2026-09-22</t>
        </is>
      </c>
      <c r="N104" t="inlineStr"/>
      <c r="O104" t="inlineStr"/>
      <c r="P104" t="inlineStr"/>
      <c r="Q104" t="inlineStr">
        <is>
          <t>Kyiv</t>
        </is>
      </c>
      <c r="R104" t="inlineStr">
        <is>
          <t>B</t>
        </is>
      </c>
      <c r="S104" t="inlineStr">
        <is>
          <t>通用分销商信号，无差异化切入点，慢慢跟</t>
        </is>
      </c>
      <c r="T104" t="inlineStr">
        <is>
          <t>B-012</t>
        </is>
      </c>
      <c r="U104" t="inlineStr"/>
      <c r="V104" t="inlineStr"/>
    </row>
    <row r="105">
      <c r="A105" t="inlineStr">
        <is>
          <t>Gazik Store</t>
        </is>
      </c>
      <c r="B105" t="inlineStr">
        <is>
          <t>乌克兰</t>
        </is>
      </c>
      <c r="C105" t="inlineStr"/>
      <c r="D105" t="inlineStr">
        <is>
          <t>gazik.ua</t>
        </is>
      </c>
      <c r="E105" t="inlineStr">
        <is>
          <t>分销（MikroTik 官方）</t>
        </is>
      </c>
      <c r="F105" t="inlineStr">
        <is>
          <t>MikroTik（Reseller）</t>
        </is>
      </c>
      <c r="G105" t="inlineStr">
        <is>
          <t>否</t>
        </is>
      </c>
      <c r="H105" t="inlineStr">
        <is>
          <t>卖 MikroTik 但缺工业/ERPS/PoE++ → 用同价位工业线补他的产品缺口</t>
        </is>
      </c>
      <c r="I105" t="inlineStr">
        <is>
          <t>LT-IS6312XG-4XS8GT</t>
        </is>
      </c>
      <c r="J105" t="inlineStr">
        <is>
          <t>+380 67 323 17 30 / orest@gazik.in</t>
        </is>
      </c>
      <c r="K105" t="inlineStr">
        <is>
          <t>★★</t>
        </is>
      </c>
      <c r="L105" t="inlineStr">
        <is>
          <t>未触达</t>
        </is>
      </c>
      <c r="M105" t="inlineStr">
        <is>
          <t>2026-09-22</t>
        </is>
      </c>
      <c r="N105" t="inlineStr"/>
      <c r="O105" t="inlineStr"/>
      <c r="P105" t="inlineStr"/>
      <c r="Q105" t="inlineStr">
        <is>
          <t>Lviv</t>
        </is>
      </c>
      <c r="R105" t="inlineStr">
        <is>
          <t>B</t>
        </is>
      </c>
      <c r="S105" t="inlineStr">
        <is>
          <t>通用分销商信号，无差异化切入点，慢慢跟</t>
        </is>
      </c>
      <c r="T105" t="inlineStr">
        <is>
          <t>B-013</t>
        </is>
      </c>
      <c r="U105" t="inlineStr"/>
      <c r="V105" t="inlineStr"/>
    </row>
    <row r="106">
      <c r="A106" t="inlineStr">
        <is>
          <t>Lanbox</t>
        </is>
      </c>
      <c r="B106" t="inlineStr">
        <is>
          <t>乌克兰</t>
        </is>
      </c>
      <c r="C106" t="inlineStr"/>
      <c r="D106" t="inlineStr">
        <is>
          <t>lanbox.com.ua</t>
        </is>
      </c>
      <c r="E106" t="inlineStr">
        <is>
          <t>分销（MikroTik 官方）</t>
        </is>
      </c>
      <c r="F106" t="inlineStr">
        <is>
          <t>MikroTik（Reseller）</t>
        </is>
      </c>
      <c r="G106" t="inlineStr">
        <is>
          <t>否</t>
        </is>
      </c>
      <c r="H106" t="inlineStr">
        <is>
          <t>MikroTik 官方分销，商用线可直接比价，工业线为零 → 新品类增量</t>
        </is>
      </c>
      <c r="I106" t="inlineStr">
        <is>
          <t>LT-S8328XG-4XS8GT-S</t>
        </is>
      </c>
      <c r="J106" t="inlineStr">
        <is>
          <t>+380 44 384 02 29 / sale@lanbox.com.ua</t>
        </is>
      </c>
      <c r="K106" t="inlineStr">
        <is>
          <t>★★</t>
        </is>
      </c>
      <c r="L106" t="inlineStr">
        <is>
          <t>未触达</t>
        </is>
      </c>
      <c r="M106" t="inlineStr">
        <is>
          <t>2026-09-22</t>
        </is>
      </c>
      <c r="N106" t="inlineStr"/>
      <c r="O106" t="inlineStr"/>
      <c r="P106" t="inlineStr"/>
      <c r="Q106" t="inlineStr">
        <is>
          <t>Lviv</t>
        </is>
      </c>
      <c r="R106" t="inlineStr">
        <is>
          <t>B</t>
        </is>
      </c>
      <c r="S106" t="inlineStr">
        <is>
          <t>通用分销商信号，无差异化切入点，慢慢跟</t>
        </is>
      </c>
      <c r="T106" t="inlineStr">
        <is>
          <t>B-014</t>
        </is>
      </c>
      <c r="U106" t="inlineStr"/>
      <c r="V106" t="inlineStr"/>
    </row>
    <row r="107">
      <c r="A107" t="inlineStr">
        <is>
          <t>Lanmarket</t>
        </is>
      </c>
      <c r="B107" t="inlineStr">
        <is>
          <t>乌克兰</t>
        </is>
      </c>
      <c r="C107" t="inlineStr"/>
      <c r="D107" t="inlineStr">
        <is>
          <t>lanmarket.ua</t>
        </is>
      </c>
      <c r="E107" t="inlineStr">
        <is>
          <t>分销（MikroTik 官方）</t>
        </is>
      </c>
      <c r="F107" t="inlineStr">
        <is>
          <t>MikroTik（Reseller）</t>
        </is>
      </c>
      <c r="G107" t="inlineStr">
        <is>
          <t>否</t>
        </is>
      </c>
      <c r="H107" t="inlineStr">
        <is>
          <t>MikroTik 官方分销，商用线可直接比价，工业线为零 → 新品类增量</t>
        </is>
      </c>
      <c r="I107" t="inlineStr">
        <is>
          <t>LT-S8328XG-4XS8GT-S</t>
        </is>
      </c>
      <c r="J107" t="inlineStr">
        <is>
          <t>+380 50 666 78 58 / sale@lanmarket.net</t>
        </is>
      </c>
      <c r="K107" t="inlineStr">
        <is>
          <t>★★</t>
        </is>
      </c>
      <c r="L107" t="inlineStr">
        <is>
          <t>未触达</t>
        </is>
      </c>
      <c r="M107" t="inlineStr">
        <is>
          <t>2026-09-22</t>
        </is>
      </c>
      <c r="N107" t="inlineStr"/>
      <c r="O107" t="inlineStr"/>
      <c r="P107" t="inlineStr"/>
      <c r="Q107" t="inlineStr">
        <is>
          <t>Chernivtsi</t>
        </is>
      </c>
      <c r="R107" t="inlineStr">
        <is>
          <t>B</t>
        </is>
      </c>
      <c r="S107" t="inlineStr">
        <is>
          <t>通用分销商信号，无差异化切入点，慢慢跟</t>
        </is>
      </c>
      <c r="T107" t="inlineStr">
        <is>
          <t>B-015</t>
        </is>
      </c>
      <c r="U107" t="inlineStr"/>
      <c r="V107" t="inlineStr"/>
    </row>
    <row r="108">
      <c r="A108" t="inlineStr">
        <is>
          <t>Lantorg</t>
        </is>
      </c>
      <c r="B108" t="inlineStr">
        <is>
          <t>乌克兰</t>
        </is>
      </c>
      <c r="C108" t="inlineStr"/>
      <c r="D108" t="inlineStr">
        <is>
          <t>lantorg.com</t>
        </is>
      </c>
      <c r="E108" t="inlineStr">
        <is>
          <t>分销（MikroTik 官方）</t>
        </is>
      </c>
      <c r="F108" t="inlineStr">
        <is>
          <t>MikroTik（Reseller）</t>
        </is>
      </c>
      <c r="G108" t="inlineStr">
        <is>
          <t>否</t>
        </is>
      </c>
      <c r="H108" t="inlineStr">
        <is>
          <t>卖 MikroTik 但缺工业/ERPS/PoE++ → 用同价位工业线补他的产品缺口</t>
        </is>
      </c>
      <c r="I108" t="inlineStr">
        <is>
          <t>LT-IS6312XGP-4XS8GT</t>
        </is>
      </c>
      <c r="J108" t="inlineStr">
        <is>
          <t>+380 57 780 40 63 / 238100@lantorg.com</t>
        </is>
      </c>
      <c r="K108" t="inlineStr">
        <is>
          <t>★★</t>
        </is>
      </c>
      <c r="L108" t="inlineStr">
        <is>
          <t>未触达</t>
        </is>
      </c>
      <c r="M108" t="inlineStr">
        <is>
          <t>2026-09-22</t>
        </is>
      </c>
      <c r="N108" t="inlineStr"/>
      <c r="O108" t="inlineStr"/>
      <c r="P108" t="inlineStr"/>
      <c r="Q108" t="inlineStr">
        <is>
          <t>Kharkiv</t>
        </is>
      </c>
      <c r="R108" t="inlineStr">
        <is>
          <t>B</t>
        </is>
      </c>
      <c r="S108" t="inlineStr">
        <is>
          <t>通用分销商信号，无差异化切入点，慢慢跟</t>
        </is>
      </c>
      <c r="T108" t="inlineStr">
        <is>
          <t>B-016</t>
        </is>
      </c>
      <c r="U108" t="inlineStr"/>
      <c r="V108" t="inlineStr"/>
    </row>
    <row r="109">
      <c r="A109" t="inlineStr">
        <is>
          <t>Lux-Mobil</t>
        </is>
      </c>
      <c r="B109" t="inlineStr">
        <is>
          <t>乌克兰</t>
        </is>
      </c>
      <c r="C109" t="inlineStr"/>
      <c r="D109" t="inlineStr">
        <is>
          <t>lux-mobil.com.ua</t>
        </is>
      </c>
      <c r="E109" t="inlineStr">
        <is>
          <t>分销（MikroTik 官方）</t>
        </is>
      </c>
      <c r="F109" t="inlineStr">
        <is>
          <t>MikroTik（Reseller）</t>
        </is>
      </c>
      <c r="G109" t="inlineStr">
        <is>
          <t>否</t>
        </is>
      </c>
      <c r="H109" t="inlineStr">
        <is>
          <t>卖 MikroTik 但缺工业/ERPS/PoE++ → 用同价位工业线补他的产品缺口</t>
        </is>
      </c>
      <c r="I109" t="inlineStr">
        <is>
          <t>LT-IS6312XGP-4XS8GT</t>
        </is>
      </c>
      <c r="J109" t="inlineStr">
        <is>
          <t>+380 98 152 09 27 / info@lux-mobil.com.ua</t>
        </is>
      </c>
      <c r="K109" t="inlineStr">
        <is>
          <t>★★</t>
        </is>
      </c>
      <c r="L109" t="inlineStr">
        <is>
          <t>未触达</t>
        </is>
      </c>
      <c r="M109" t="inlineStr">
        <is>
          <t>2026-09-22</t>
        </is>
      </c>
      <c r="N109" t="inlineStr"/>
      <c r="O109" t="inlineStr"/>
      <c r="P109" t="inlineStr"/>
      <c r="Q109" t="inlineStr">
        <is>
          <t>Kyiv</t>
        </is>
      </c>
      <c r="R109" t="inlineStr">
        <is>
          <t>B</t>
        </is>
      </c>
      <c r="S109" t="inlineStr">
        <is>
          <t>通用分销商信号，无差异化切入点，慢慢跟</t>
        </is>
      </c>
      <c r="T109" t="inlineStr">
        <is>
          <t>B-017</t>
        </is>
      </c>
      <c r="U109" t="inlineStr"/>
      <c r="V109" t="inlineStr"/>
    </row>
    <row r="110">
      <c r="A110" t="inlineStr">
        <is>
          <t>MTI</t>
        </is>
      </c>
      <c r="B110" t="inlineStr">
        <is>
          <t>乌克兰</t>
        </is>
      </c>
      <c r="C110" t="inlineStr"/>
      <c r="D110" t="inlineStr">
        <is>
          <t>products.mti.ua</t>
        </is>
      </c>
      <c r="E110" t="inlineStr">
        <is>
          <t>分销（MikroTik 官方）</t>
        </is>
      </c>
      <c r="F110" t="inlineStr">
        <is>
          <t>MikroTik（Master+VAD）</t>
        </is>
      </c>
      <c r="G110" t="inlineStr">
        <is>
          <t>否</t>
        </is>
      </c>
      <c r="H110" t="inlineStr">
        <is>
          <t>乌克兰大型 IT 分销</t>
        </is>
      </c>
      <c r="I110" t="inlineStr">
        <is>
          <t>LT-S8328GP-4GX24GT</t>
        </is>
      </c>
      <c r="J110" t="inlineStr">
        <is>
          <t>+380 44 207 40 61 / itdistri@mti.ua</t>
        </is>
      </c>
      <c r="K110" t="inlineStr">
        <is>
          <t>★★★</t>
        </is>
      </c>
      <c r="L110" t="inlineStr">
        <is>
          <t>未触达</t>
        </is>
      </c>
      <c r="M110" t="inlineStr">
        <is>
          <t>2026-09-22</t>
        </is>
      </c>
      <c r="N110" t="inlineStr"/>
      <c r="O110" t="inlineStr"/>
      <c r="P110" t="inlineStr"/>
      <c r="Q110" t="inlineStr">
        <is>
          <t>Kyiv</t>
        </is>
      </c>
      <c r="R110" t="inlineStr">
        <is>
          <t>B</t>
        </is>
      </c>
      <c r="S110" t="inlineStr">
        <is>
          <t>通用分销商信号，无差异化切入点，慢慢跟</t>
        </is>
      </c>
      <c r="T110" t="inlineStr">
        <is>
          <t>B-018</t>
        </is>
      </c>
      <c r="U110" t="inlineStr"/>
      <c r="V110" t="inlineStr"/>
    </row>
    <row r="111">
      <c r="A111" t="inlineStr">
        <is>
          <t>Network Discount</t>
        </is>
      </c>
      <c r="B111" t="inlineStr">
        <is>
          <t>乌克兰</t>
        </is>
      </c>
      <c r="C111" t="inlineStr"/>
      <c r="D111" t="inlineStr">
        <is>
          <t>networkdiscount.com.ua</t>
        </is>
      </c>
      <c r="E111" t="inlineStr">
        <is>
          <t>分销（MikroTik 官方）</t>
        </is>
      </c>
      <c r="F111" t="inlineStr">
        <is>
          <t>MikroTik（Reseller）</t>
        </is>
      </c>
      <c r="G111" t="inlineStr">
        <is>
          <t>否</t>
        </is>
      </c>
      <c r="H111" t="inlineStr">
        <is>
          <t>卖 MikroTik 但缺工业/ERPS/PoE++ → 用同价位工业线补他的产品缺口</t>
        </is>
      </c>
      <c r="I111" t="inlineStr">
        <is>
          <t>LT-IS6312XG-4XS8GT</t>
        </is>
      </c>
      <c r="J111" t="inlineStr">
        <is>
          <t>+380 44 392 28 30 / sales@networkdiscount.com.ua</t>
        </is>
      </c>
      <c r="K111" t="inlineStr">
        <is>
          <t>★★</t>
        </is>
      </c>
      <c r="L111" t="inlineStr">
        <is>
          <t>未触达</t>
        </is>
      </c>
      <c r="M111" t="inlineStr">
        <is>
          <t>2026-09-22</t>
        </is>
      </c>
      <c r="N111" t="inlineStr"/>
      <c r="O111" t="inlineStr"/>
      <c r="P111" t="inlineStr"/>
      <c r="Q111" t="inlineStr">
        <is>
          <t>Kyiv</t>
        </is>
      </c>
      <c r="R111" t="inlineStr">
        <is>
          <t>B</t>
        </is>
      </c>
      <c r="S111" t="inlineStr">
        <is>
          <t>通用分销商信号，无差异化切入点，慢慢跟</t>
        </is>
      </c>
      <c r="T111" t="inlineStr">
        <is>
          <t>B-019</t>
        </is>
      </c>
      <c r="U111" t="inlineStr"/>
      <c r="V111" t="inlineStr"/>
    </row>
    <row r="112">
      <c r="A112" t="inlineStr">
        <is>
          <t>Oleksandr Kovinia / K2O Services</t>
        </is>
      </c>
      <c r="B112" t="inlineStr">
        <is>
          <t>乌克兰</t>
        </is>
      </c>
      <c r="C112" t="inlineStr">
        <is>
          <t>Kyiv</t>
        </is>
      </c>
      <c r="D112" t="inlineStr">
        <is>
          <t>k2o.cc</t>
        </is>
      </c>
      <c r="E112" t="inlineStr">
        <is>
          <t>集成商/顾问（MikroTik 认证）</t>
        </is>
      </c>
      <c r="F112" t="inlineStr">
        <is>
          <t>MikroTik 认证顾问 MTCNA+MTCRE+MTCIPv6E+MTCSE</t>
        </is>
      </c>
      <c r="G112" t="inlineStr">
        <is>
          <t>否</t>
        </is>
      </c>
      <c r="H112" t="inlineStr">
        <is>
          <t>MikroTik 认证顾问：自己做方案/集成/运维并自行采购设备 → 用 ERPS/IGMP/VLAN/CLI/MIB 这类技术语言切入，不打价格战</t>
        </is>
      </c>
      <c r="I112" t="inlineStr">
        <is>
          <t>LT-S8328XGP-4XS24GT-S</t>
        </is>
      </c>
      <c r="J112" t="inlineStr">
        <is>
          <t>olekovin+mikrotik-consult@gmail.com</t>
        </is>
      </c>
      <c r="K112" t="inlineStr">
        <is>
          <t>★★★</t>
        </is>
      </c>
      <c r="L112" t="inlineStr">
        <is>
          <t>未触达</t>
        </is>
      </c>
      <c r="M112" t="inlineStr">
        <is>
          <t>2026-09-22</t>
        </is>
      </c>
      <c r="N112" t="inlineStr"/>
      <c r="O112" t="inlineStr"/>
      <c r="P112" t="inlineStr"/>
      <c r="Q112" t="inlineStr">
        <is>
          <t>★ 专做 MikroTik 方案的公司：RouterOS 配置、**监控方案、自动化**、企业网络；设计/排障/性能优化/安全加固/长期运维</t>
        </is>
      </c>
      <c r="R112" t="inlineStr">
        <is>
          <t>B</t>
        </is>
      </c>
      <c r="S112" t="inlineStr">
        <is>
          <t>通用分销商信号，无差异化切入点，慢慢跟</t>
        </is>
      </c>
      <c r="T112" t="inlineStr">
        <is>
          <t>B-020</t>
        </is>
      </c>
      <c r="U112" t="inlineStr"/>
      <c r="V112" t="inlineStr"/>
    </row>
    <row r="113">
      <c r="A113" t="inlineStr">
        <is>
          <t>Omnilink</t>
        </is>
      </c>
      <c r="B113" t="inlineStr">
        <is>
          <t>乌克兰</t>
        </is>
      </c>
      <c r="C113" t="inlineStr"/>
      <c r="D113" t="inlineStr">
        <is>
          <t>omnilink.ua</t>
        </is>
      </c>
      <c r="E113" t="inlineStr">
        <is>
          <t>分销（MikroTik 官方）</t>
        </is>
      </c>
      <c r="F113" t="inlineStr">
        <is>
          <t>MikroTik（Reseller）</t>
        </is>
      </c>
      <c r="G113" t="inlineStr">
        <is>
          <t>否</t>
        </is>
      </c>
      <c r="H113" t="inlineStr">
        <is>
          <t>卖 MikroTik 但缺工业/ERPS/PoE++ → 用同价位工业线补他的产品缺口</t>
        </is>
      </c>
      <c r="I113" t="inlineStr">
        <is>
          <t>LT-IS6312XG-4XS8GT</t>
        </is>
      </c>
      <c r="J113" t="inlineStr">
        <is>
          <t>+380 44 359 0770 / sale@omnilink.com.ua</t>
        </is>
      </c>
      <c r="K113" t="inlineStr">
        <is>
          <t>★★</t>
        </is>
      </c>
      <c r="L113" t="inlineStr">
        <is>
          <t>未触达</t>
        </is>
      </c>
      <c r="M113" t="inlineStr">
        <is>
          <t>2026-09-22</t>
        </is>
      </c>
      <c r="N113" t="inlineStr"/>
      <c r="O113" t="inlineStr"/>
      <c r="P113" t="inlineStr"/>
      <c r="Q113" t="inlineStr">
        <is>
          <t>Kyiv</t>
        </is>
      </c>
      <c r="R113" t="inlineStr">
        <is>
          <t>B</t>
        </is>
      </c>
      <c r="S113" t="inlineStr">
        <is>
          <t>通用分销商信号，无差异化切入点，慢慢跟</t>
        </is>
      </c>
      <c r="T113" t="inlineStr">
        <is>
          <t>B-021</t>
        </is>
      </c>
      <c r="U113" t="inlineStr"/>
      <c r="V113" t="inlineStr"/>
    </row>
    <row r="114">
      <c r="A114" t="inlineStr">
        <is>
          <t>RIM2000</t>
        </is>
      </c>
      <c r="B114" t="inlineStr">
        <is>
          <t>乌克兰</t>
        </is>
      </c>
      <c r="C114" t="inlineStr"/>
      <c r="D114" t="inlineStr">
        <is>
          <t>rim2000.ua</t>
        </is>
      </c>
      <c r="E114" t="inlineStr">
        <is>
          <t>分销（MikroTik 官方）</t>
        </is>
      </c>
      <c r="F114" t="inlineStr">
        <is>
          <t>MikroTik（Reseller）</t>
        </is>
      </c>
      <c r="G114" t="inlineStr">
        <is>
          <t>否</t>
        </is>
      </c>
      <c r="H114" t="inlineStr">
        <is>
          <t>专属邮箱 mikrotik@rim2000.com；四城分部</t>
        </is>
      </c>
      <c r="I114" t="inlineStr">
        <is>
          <t>LT-IS6312XG-4XS8GT</t>
        </is>
      </c>
      <c r="J114" t="inlineStr">
        <is>
          <t>+380 562 360 300 / mikrotik@rim2000.com</t>
        </is>
      </c>
      <c r="K114" t="inlineStr">
        <is>
          <t>★★★</t>
        </is>
      </c>
      <c r="L114" t="inlineStr">
        <is>
          <t>未触达</t>
        </is>
      </c>
      <c r="M114" t="inlineStr">
        <is>
          <t>2026-09-22</t>
        </is>
      </c>
      <c r="N114" t="inlineStr"/>
      <c r="O114" t="inlineStr"/>
      <c r="P114" t="inlineStr"/>
      <c r="Q114" t="inlineStr">
        <is>
          <t>Dnipro 等 4 城</t>
        </is>
      </c>
      <c r="R114" t="inlineStr">
        <is>
          <t>B</t>
        </is>
      </c>
      <c r="S114" t="inlineStr">
        <is>
          <t>通用分销商信号，无差异化切入点，慢慢跟</t>
        </is>
      </c>
      <c r="T114" t="inlineStr">
        <is>
          <t>B-022</t>
        </is>
      </c>
      <c r="U114" t="inlineStr"/>
      <c r="V114" t="inlineStr"/>
    </row>
    <row r="115">
      <c r="A115" t="inlineStr">
        <is>
          <t>Romsat</t>
        </is>
      </c>
      <c r="B115" t="inlineStr">
        <is>
          <t>乌克兰</t>
        </is>
      </c>
      <c r="C115" t="inlineStr"/>
      <c r="D115" t="inlineStr">
        <is>
          <t>romsat.ua</t>
        </is>
      </c>
      <c r="E115" t="inlineStr">
        <is>
          <t>分销（MikroTik 官方）</t>
        </is>
      </c>
      <c r="F115" t="inlineStr">
        <is>
          <t>MikroTik（Master）</t>
        </is>
      </c>
      <c r="G115" t="inlineStr">
        <is>
          <t>否</t>
        </is>
      </c>
      <c r="H115" t="inlineStr">
        <is>
          <t>卖 MikroTik 但缺工业/ERPS/PoE++ → 用同价位工业线补他的产品缺口</t>
        </is>
      </c>
      <c r="I115" t="inlineStr">
        <is>
          <t>LT-IS6312XGP-4XS8GT</t>
        </is>
      </c>
      <c r="J115" t="inlineStr">
        <is>
          <t>+380 44 225 5454 / info@romsat.ua</t>
        </is>
      </c>
      <c r="K115" t="inlineStr">
        <is>
          <t>★★★</t>
        </is>
      </c>
      <c r="L115" t="inlineStr">
        <is>
          <t>未触达</t>
        </is>
      </c>
      <c r="M115" t="inlineStr">
        <is>
          <t>2026-09-22</t>
        </is>
      </c>
      <c r="N115" t="inlineStr"/>
      <c r="O115" t="inlineStr"/>
      <c r="P115" t="inlineStr"/>
      <c r="Q115" t="inlineStr">
        <is>
          <t>Kyiv</t>
        </is>
      </c>
      <c r="R115" t="inlineStr">
        <is>
          <t>B</t>
        </is>
      </c>
      <c r="S115" t="inlineStr">
        <is>
          <t>通用分销商信号，无差异化切入点，慢慢跟</t>
        </is>
      </c>
      <c r="T115" t="inlineStr">
        <is>
          <t>B-023</t>
        </is>
      </c>
      <c r="U115" t="inlineStr"/>
      <c r="V115" t="inlineStr"/>
    </row>
    <row r="116">
      <c r="A116" t="inlineStr">
        <is>
          <t>SHOP-GSM.NET</t>
        </is>
      </c>
      <c r="B116" t="inlineStr">
        <is>
          <t>乌克兰</t>
        </is>
      </c>
      <c r="C116" t="inlineStr"/>
      <c r="D116" t="inlineStr">
        <is>
          <t>shop-gsm.ua</t>
        </is>
      </c>
      <c r="E116" t="inlineStr">
        <is>
          <t>分销（MikroTik 官方）</t>
        </is>
      </c>
      <c r="F116" t="inlineStr">
        <is>
          <t>MikroTik（Reseller）</t>
        </is>
      </c>
      <c r="G116" t="inlineStr">
        <is>
          <t>否</t>
        </is>
      </c>
      <c r="H116" t="inlineStr">
        <is>
          <t>MikroTik 官方分销，商用线可直接比价，工业线为零 → 新品类增量</t>
        </is>
      </c>
      <c r="I116" t="inlineStr">
        <is>
          <t>LT-S8328XG-4XS8GT-S</t>
        </is>
      </c>
      <c r="J116" t="inlineStr">
        <is>
          <t>+380 44 361 13 34 / info@shop-gsm.net</t>
        </is>
      </c>
      <c r="K116" t="inlineStr">
        <is>
          <t>★★</t>
        </is>
      </c>
      <c r="L116" t="inlineStr">
        <is>
          <t>未触达</t>
        </is>
      </c>
      <c r="M116" t="inlineStr">
        <is>
          <t>2026-09-22</t>
        </is>
      </c>
      <c r="N116" t="inlineStr"/>
      <c r="O116" t="inlineStr"/>
      <c r="P116" t="inlineStr"/>
      <c r="Q116" t="inlineStr">
        <is>
          <t>Kyiv</t>
        </is>
      </c>
      <c r="R116" t="inlineStr">
        <is>
          <t>B</t>
        </is>
      </c>
      <c r="S116" t="inlineStr">
        <is>
          <t>通用分销商信号，无差异化切入点，慢慢跟</t>
        </is>
      </c>
      <c r="T116" t="inlineStr">
        <is>
          <t>B-024</t>
        </is>
      </c>
      <c r="U116" t="inlineStr"/>
      <c r="V116" t="inlineStr"/>
    </row>
    <row r="117">
      <c r="A117" t="inlineStr">
        <is>
          <t>Serhii Antropov</t>
        </is>
      </c>
      <c r="B117" t="inlineStr">
        <is>
          <t>乌克兰</t>
        </is>
      </c>
      <c r="C117" t="inlineStr">
        <is>
          <t>Chernivtsi</t>
        </is>
      </c>
      <c r="D117" t="inlineStr"/>
      <c r="E117" t="inlineStr">
        <is>
          <t>集成商/顾问（MikroTik 认证）</t>
        </is>
      </c>
      <c r="F117" t="inlineStr">
        <is>
          <t>MikroTik 认证顾问 MTCNA+MTCRE+MTCTCE+MTCINE+MTCIPv6E</t>
        </is>
      </c>
      <c r="G117" t="inlineStr">
        <is>
          <t>否</t>
        </is>
      </c>
      <c r="H117" t="inlineStr">
        <is>
          <t>MikroTik 认证顾问：自己做方案/集成/运维并自行采购设备 → 用 ERPS/IGMP/VLAN/CLI/MIB 这类技术语言切入，不打价格战</t>
        </is>
      </c>
      <c r="I117" t="inlineStr">
        <is>
          <t>LT-S8328XG-4XS24GT-S</t>
        </is>
      </c>
      <c r="J117" t="inlineStr">
        <is>
          <t>+380 66 171 2971 / serega12034@gmail.com</t>
        </is>
      </c>
      <c r="K117" t="inlineStr">
        <is>
          <t>★★★</t>
        </is>
      </c>
      <c r="L117" t="inlineStr">
        <is>
          <t>未触达</t>
        </is>
      </c>
      <c r="M117" t="inlineStr">
        <is>
          <t>2026-09-22</t>
        </is>
      </c>
      <c r="N117" t="inlineStr"/>
      <c r="O117" t="inlineStr"/>
      <c r="P117" t="inlineStr"/>
      <c r="Q117" t="inlineStr">
        <is>
          <t>含 MTCINE（ISP 互联）+ MTCTCE（流量控制）</t>
        </is>
      </c>
      <c r="R117" t="inlineStr">
        <is>
          <t>B</t>
        </is>
      </c>
      <c r="S117" t="inlineStr">
        <is>
          <t>有信号（ISP/骨干）但需先验证需求或联系人不具体</t>
        </is>
      </c>
      <c r="T117" t="inlineStr">
        <is>
          <t>B-025</t>
        </is>
      </c>
      <c r="U117" t="inlineStr"/>
      <c r="V117" t="inlineStr"/>
    </row>
    <row r="118">
      <c r="A118" t="inlineStr">
        <is>
          <t>Serhii Maksymenko</t>
        </is>
      </c>
      <c r="B118" t="inlineStr">
        <is>
          <t>乌克兰</t>
        </is>
      </c>
      <c r="C118" t="inlineStr">
        <is>
          <t>Dnipro</t>
        </is>
      </c>
      <c r="D118" t="inlineStr"/>
      <c r="E118" t="inlineStr">
        <is>
          <t>集成商/顾问（MikroTik 认证）</t>
        </is>
      </c>
      <c r="F118" t="inlineStr">
        <is>
          <t>MikroTik 认证顾问 MTCNA+MTCEWE</t>
        </is>
      </c>
      <c r="G118" t="inlineStr">
        <is>
          <t>否</t>
        </is>
      </c>
      <c r="H118" t="inlineStr">
        <is>
          <t>MikroTik 认证顾问：自己做方案/集成/运维并自行采购设备 → 用 ERPS/IGMP/VLAN/CLI/MIB 这类技术语言切入，不打价格战</t>
        </is>
      </c>
      <c r="I118" t="inlineStr">
        <is>
          <t>LT-S8328G-4XS24GT-S</t>
        </is>
      </c>
      <c r="J118" t="inlineStr">
        <is>
          <t>+380 67 551 7229 / studio4face@gmail.com</t>
        </is>
      </c>
      <c r="K118" t="inlineStr">
        <is>
          <t>★★</t>
        </is>
      </c>
      <c r="L118" t="inlineStr">
        <is>
          <t>未触达</t>
        </is>
      </c>
      <c r="M118" t="inlineStr">
        <is>
          <t>2026-09-22</t>
        </is>
      </c>
      <c r="N118" t="inlineStr"/>
      <c r="O118" t="inlineStr"/>
      <c r="P118" t="inlineStr"/>
      <c r="Q118" t="inlineStr">
        <is>
          <t>含 MTCEWE（企业无线）</t>
        </is>
      </c>
      <c r="R118" t="inlineStr">
        <is>
          <t>B</t>
        </is>
      </c>
      <c r="S118" t="inlineStr">
        <is>
          <t>通用分销商信号，无差异化切入点，慢慢跟</t>
        </is>
      </c>
      <c r="T118" t="inlineStr">
        <is>
          <t>B-026</t>
        </is>
      </c>
      <c r="U118" t="inlineStr"/>
      <c r="V118" t="inlineStr"/>
    </row>
    <row r="119">
      <c r="A119" t="inlineStr">
        <is>
          <t>Setevuha</t>
        </is>
      </c>
      <c r="B119" t="inlineStr">
        <is>
          <t>乌克兰</t>
        </is>
      </c>
      <c r="C119" t="inlineStr"/>
      <c r="D119" t="inlineStr">
        <is>
          <t>setevuha.com.ua</t>
        </is>
      </c>
      <c r="E119" t="inlineStr">
        <is>
          <t>分销（MikroTik 官方）</t>
        </is>
      </c>
      <c r="F119" t="inlineStr">
        <is>
          <t>MikroTik（Reseller）</t>
        </is>
      </c>
      <c r="G119" t="inlineStr">
        <is>
          <t>否</t>
        </is>
      </c>
      <c r="H119" t="inlineStr">
        <is>
          <t>专属邮箱 mikrotik@setevuha.ua</t>
        </is>
      </c>
      <c r="I119" t="inlineStr">
        <is>
          <t>LT-IS6312XGP-4XS8GT</t>
        </is>
      </c>
      <c r="J119" t="inlineStr">
        <is>
          <t>+380 44 384 02 29 / mikrotik@setevuha.ua</t>
        </is>
      </c>
      <c r="K119" t="inlineStr">
        <is>
          <t>★★★</t>
        </is>
      </c>
      <c r="L119" t="inlineStr">
        <is>
          <t>未触达</t>
        </is>
      </c>
      <c r="M119" t="inlineStr">
        <is>
          <t>2026-09-22</t>
        </is>
      </c>
      <c r="N119" t="inlineStr"/>
      <c r="O119" t="inlineStr"/>
      <c r="P119" t="inlineStr"/>
      <c r="Q119" t="inlineStr">
        <is>
          <t>Kyiv</t>
        </is>
      </c>
      <c r="R119" t="inlineStr">
        <is>
          <t>B</t>
        </is>
      </c>
      <c r="S119" t="inlineStr">
        <is>
          <t>通用分销商信号，无差异化切入点，慢慢跟</t>
        </is>
      </c>
      <c r="T119" t="inlineStr">
        <is>
          <t>B-027</t>
        </is>
      </c>
      <c r="U119" t="inlineStr"/>
      <c r="V119" t="inlineStr"/>
    </row>
    <row r="120">
      <c r="A120" t="inlineStr">
        <is>
          <t>Technotrade LLC</t>
        </is>
      </c>
      <c r="B120" t="inlineStr">
        <is>
          <t>乌克兰</t>
        </is>
      </c>
      <c r="C120" t="inlineStr"/>
      <c r="D120" t="inlineStr">
        <is>
          <t>technotrade.com.ua</t>
        </is>
      </c>
      <c r="E120" t="inlineStr">
        <is>
          <t>分销（MikroTik 官方）</t>
        </is>
      </c>
      <c r="F120" t="inlineStr">
        <is>
          <t>MikroTik（Reseller）</t>
        </is>
      </c>
      <c r="G120" t="inlineStr">
        <is>
          <t>否</t>
        </is>
      </c>
      <c r="H120" t="inlineStr">
        <is>
          <t>卖 MikroTik 但缺工业/ERPS/PoE++ → 用同价位工业线补他的产品缺口</t>
        </is>
      </c>
      <c r="I120" t="inlineStr">
        <is>
          <t>LT-IS6312XGP-4XS8GT</t>
        </is>
      </c>
      <c r="J120" t="inlineStr">
        <is>
          <t>+380 57 764 02 54 / molya@technotrade.com.ua</t>
        </is>
      </c>
      <c r="K120" t="inlineStr">
        <is>
          <t>★★</t>
        </is>
      </c>
      <c r="L120" t="inlineStr">
        <is>
          <t>未触达</t>
        </is>
      </c>
      <c r="M120" t="inlineStr">
        <is>
          <t>2026-09-22</t>
        </is>
      </c>
      <c r="N120" t="inlineStr"/>
      <c r="O120" t="inlineStr"/>
      <c r="P120" t="inlineStr"/>
      <c r="Q120" t="inlineStr">
        <is>
          <t>Kharkiv</t>
        </is>
      </c>
      <c r="R120" t="inlineStr">
        <is>
          <t>B</t>
        </is>
      </c>
      <c r="S120" t="inlineStr">
        <is>
          <t>通用分销商信号，无差异化切入点，慢慢跟</t>
        </is>
      </c>
      <c r="T120" t="inlineStr">
        <is>
          <t>B-028</t>
        </is>
      </c>
      <c r="U120" t="inlineStr"/>
      <c r="V120" t="inlineStr"/>
    </row>
    <row r="121">
      <c r="A121" t="inlineStr">
        <is>
          <t>Vadym Klymenko / Explorer</t>
        </is>
      </c>
      <c r="B121" t="inlineStr">
        <is>
          <t>乌克兰</t>
        </is>
      </c>
      <c r="C121" t="inlineStr">
        <is>
          <t>Odesa</t>
        </is>
      </c>
      <c r="D121" t="inlineStr">
        <is>
          <t>explorer.od.ua</t>
        </is>
      </c>
      <c r="E121" t="inlineStr">
        <is>
          <t>集成商/顾问（MikroTik 认证）</t>
        </is>
      </c>
      <c r="F121" t="inlineStr">
        <is>
          <t>MikroTik 认证顾问 MTCNA+MTCWE+MTCSE+MTCEWE</t>
        </is>
      </c>
      <c r="G121" t="inlineStr">
        <is>
          <t>否</t>
        </is>
      </c>
      <c r="H121" t="inlineStr">
        <is>
          <t>MikroTik 认证顾问：自己做方案/集成/运维并自行采购设备 → 用 ERPS/IGMP/VLAN/CLI/MIB 这类技术语言切入，不打价格战</t>
        </is>
      </c>
      <c r="I121" t="inlineStr">
        <is>
          <t>LT-S8328XGP-4XS24GT-S</t>
        </is>
      </c>
      <c r="J121" t="inlineStr">
        <is>
          <t>+380 94 946 7003 / vadim@explorer.od.ua</t>
        </is>
      </c>
      <c r="K121" t="inlineStr">
        <is>
          <t>★★★</t>
        </is>
      </c>
      <c r="L121" t="inlineStr">
        <is>
          <t>未触达</t>
        </is>
      </c>
      <c r="M121" t="inlineStr">
        <is>
          <t>2026-09-22</t>
        </is>
      </c>
      <c r="N121" t="inlineStr"/>
      <c r="O121" t="inlineStr"/>
      <c r="P121" t="inlineStr"/>
      <c r="Q121" t="inlineStr">
        <is>
          <t>系统集成公司：网络设计/审计/优化；OSPF、多厂商 VPN、高级防火墙与队列、**The Dude 与 RoMON 监控**、无线 CAPsMAN/PtP/PtMP、CHR 云；英俄德乌四语</t>
        </is>
      </c>
      <c r="R121" t="inlineStr">
        <is>
          <t>B</t>
        </is>
      </c>
      <c r="S121" t="inlineStr">
        <is>
          <t>通用分销商信号，无差异化切入点，慢慢跟</t>
        </is>
      </c>
      <c r="T121" t="inlineStr">
        <is>
          <t>B-029</t>
        </is>
      </c>
      <c r="U121" t="inlineStr"/>
      <c r="V121" t="inlineStr"/>
    </row>
    <row r="122">
      <c r="A122" t="inlineStr">
        <is>
          <t>Viatec</t>
        </is>
      </c>
      <c r="B122" t="inlineStr">
        <is>
          <t>乌克兰</t>
        </is>
      </c>
      <c r="C122" t="inlineStr"/>
      <c r="D122" t="inlineStr">
        <is>
          <t>viatec.ua</t>
        </is>
      </c>
      <c r="E122" t="inlineStr">
        <is>
          <t>分销（MikroTik 官方）</t>
        </is>
      </c>
      <c r="F122" t="inlineStr">
        <is>
          <t>MikroTik（Master+VAD）</t>
        </is>
      </c>
      <c r="G122" t="inlineStr">
        <is>
          <t>否</t>
        </is>
      </c>
      <c r="H122" t="inlineStr">
        <is>
          <t>卖 MikroTik 但缺工业/ERPS/PoE++ → 用同价位工业线补他的产品缺口</t>
        </is>
      </c>
      <c r="I122" t="inlineStr">
        <is>
          <t>LT-IS6312XG-4XS8GT</t>
        </is>
      </c>
      <c r="J122" t="inlineStr">
        <is>
          <t>+380 44 364 77 20 / viatec@viatec.ua</t>
        </is>
      </c>
      <c r="K122" t="inlineStr">
        <is>
          <t>★★★</t>
        </is>
      </c>
      <c r="L122" t="inlineStr">
        <is>
          <t>未触达</t>
        </is>
      </c>
      <c r="M122" t="inlineStr">
        <is>
          <t>2026-09-22</t>
        </is>
      </c>
      <c r="N122" t="inlineStr"/>
      <c r="O122" t="inlineStr"/>
      <c r="P122" t="inlineStr"/>
      <c r="Q122" t="inlineStr">
        <is>
          <t>Kyiv</t>
        </is>
      </c>
      <c r="R122" t="inlineStr">
        <is>
          <t>B</t>
        </is>
      </c>
      <c r="S122" t="inlineStr">
        <is>
          <t>通用分销商信号，无差异化切入点，慢慢跟</t>
        </is>
      </c>
      <c r="T122" t="inlineStr">
        <is>
          <t>B-030</t>
        </is>
      </c>
      <c r="U122" t="inlineStr"/>
      <c r="V122" t="inlineStr"/>
    </row>
    <row r="123">
      <c r="A123" t="inlineStr">
        <is>
          <t>Volodymyr Sydorenko / Coders</t>
        </is>
      </c>
      <c r="B123" t="inlineStr">
        <is>
          <t>乌克兰</t>
        </is>
      </c>
      <c r="C123" t="inlineStr">
        <is>
          <t>Zhytomyr</t>
        </is>
      </c>
      <c r="D123" t="inlineStr">
        <is>
          <t>coders.in.ua</t>
        </is>
      </c>
      <c r="E123" t="inlineStr">
        <is>
          <t>集成商/顾问（MikroTik 认证）</t>
        </is>
      </c>
      <c r="F123" t="inlineStr">
        <is>
          <t>MikroTik 认证顾问 MTCNA+MTCIPv6E</t>
        </is>
      </c>
      <c r="G123" t="inlineStr">
        <is>
          <t>否</t>
        </is>
      </c>
      <c r="H123" t="inlineStr">
        <is>
          <t>MikroTik 认证顾问：自己做方案/集成/运维并自行采购设备 → 用 ERPS/IGMP/VLAN/CLI/MIB 这类技术语言切入，不打价格战</t>
        </is>
      </c>
      <c r="I123" t="inlineStr">
        <is>
          <t>LT-S8328XG-4XS24GT-S</t>
        </is>
      </c>
      <c r="J123" t="inlineStr">
        <is>
          <t>+380 67 760 0368 / vvs@coders.in.ua</t>
        </is>
      </c>
      <c r="K123" t="inlineStr">
        <is>
          <t>★★★</t>
        </is>
      </c>
      <c r="L123" t="inlineStr">
        <is>
          <t>未触达</t>
        </is>
      </c>
      <c r="M123" t="inlineStr">
        <is>
          <t>2026-09-22</t>
        </is>
      </c>
      <c r="N123" t="inlineStr"/>
      <c r="O123" t="inlineStr"/>
      <c r="P123" t="inlineStr"/>
      <c r="Q123" t="inlineStr">
        <is>
          <t>中小企业网络：VLAN、QoS/流量整形、MultiWAN 负载均衡与故障切换、OSPF、脚本、CAPsMAN</t>
        </is>
      </c>
      <c r="R123" t="inlineStr">
        <is>
          <t>B</t>
        </is>
      </c>
      <c r="S123" t="inlineStr">
        <is>
          <t>通用分销商信号，无差异化切入点，慢慢跟</t>
        </is>
      </c>
      <c r="T123" t="inlineStr">
        <is>
          <t>B-031</t>
        </is>
      </c>
      <c r="U123" t="inlineStr"/>
      <c r="V123" t="inlineStr"/>
    </row>
    <row r="124">
      <c r="A124" t="inlineStr">
        <is>
          <t>WinTik</t>
        </is>
      </c>
      <c r="B124" t="inlineStr">
        <is>
          <t>乌克兰</t>
        </is>
      </c>
      <c r="C124" t="inlineStr"/>
      <c r="D124" t="inlineStr">
        <is>
          <t>wintik.com.ua</t>
        </is>
      </c>
      <c r="E124" t="inlineStr">
        <is>
          <t>分销（MikroTik 官方）</t>
        </is>
      </c>
      <c r="F124" t="inlineStr">
        <is>
          <t>MikroTik（Reseller）</t>
        </is>
      </c>
      <c r="G124" t="inlineStr">
        <is>
          <t>否</t>
        </is>
      </c>
      <c r="H124" t="inlineStr">
        <is>
          <t>域名含 Tik → 单品牌店</t>
        </is>
      </c>
      <c r="I124" t="inlineStr">
        <is>
          <t>LT-IS6312XG-4XS8GT</t>
        </is>
      </c>
      <c r="J124" t="inlineStr">
        <is>
          <t>+380 68 810 46 29 / sale@wintik.com.ua</t>
        </is>
      </c>
      <c r="K124" t="inlineStr">
        <is>
          <t>★★★</t>
        </is>
      </c>
      <c r="L124" t="inlineStr">
        <is>
          <t>未触达</t>
        </is>
      </c>
      <c r="M124" t="inlineStr">
        <is>
          <t>2026-09-22</t>
        </is>
      </c>
      <c r="N124" t="inlineStr"/>
      <c r="O124" t="inlineStr"/>
      <c r="P124" t="inlineStr"/>
      <c r="Q124" t="inlineStr">
        <is>
          <t>Kharkiv</t>
        </is>
      </c>
      <c r="R124" t="inlineStr">
        <is>
          <t>B</t>
        </is>
      </c>
      <c r="S124" t="inlineStr">
        <is>
          <t>通用分销商信号，无差异化切入点，慢慢跟</t>
        </is>
      </c>
      <c r="T124" t="inlineStr">
        <is>
          <t>B-032</t>
        </is>
      </c>
      <c r="U124" t="inlineStr"/>
      <c r="V124" t="inlineStr"/>
    </row>
    <row r="125">
      <c r="A125" t="inlineStr">
        <is>
          <t>Dipole Wireless Communication</t>
        </is>
      </c>
      <c r="B125" t="inlineStr">
        <is>
          <t>以色列</t>
        </is>
      </c>
      <c r="C125" t="inlineStr"/>
      <c r="D125" t="inlineStr">
        <is>
          <t>dipole.co.il</t>
        </is>
      </c>
      <c r="E125" t="inlineStr">
        <is>
          <t>分销（MikroTik 官方）</t>
        </is>
      </c>
      <c r="F125" t="inlineStr">
        <is>
          <t>MikroTik（Reseller）</t>
        </is>
      </c>
      <c r="G125" t="inlineStr">
        <is>
          <t>否</t>
        </is>
      </c>
      <c r="H125" t="inlineStr">
        <is>
          <t>卖 MikroTik 但缺工业/ERPS/PoE++ → 用同价位工业线补他的产品缺口</t>
        </is>
      </c>
      <c r="I125" t="inlineStr">
        <is>
          <t>LT-IS6312XGP-4XS8GT</t>
        </is>
      </c>
      <c r="J125" t="inlineStr">
        <is>
          <t>+972 3 573 2221 / sales@dipole-ltd.com</t>
        </is>
      </c>
      <c r="K125" t="inlineStr">
        <is>
          <t>★★★</t>
        </is>
      </c>
      <c r="L125" t="inlineStr">
        <is>
          <t>未触达</t>
        </is>
      </c>
      <c r="M125" t="inlineStr">
        <is>
          <t>2026-09-22</t>
        </is>
      </c>
      <c r="N125" t="inlineStr"/>
      <c r="O125" t="inlineStr"/>
      <c r="P125" t="inlineStr"/>
      <c r="Q125" t="inlineStr">
        <is>
          <t>Givatayim</t>
        </is>
      </c>
      <c r="R125" t="inlineStr">
        <is>
          <t>B</t>
        </is>
      </c>
      <c r="S125" t="inlineStr">
        <is>
          <t>通用分销商信号，无差异化切入点，慢慢跟</t>
        </is>
      </c>
      <c r="T125" t="inlineStr">
        <is>
          <t>B-033</t>
        </is>
      </c>
      <c r="U125" t="inlineStr"/>
      <c r="V125" t="inlineStr"/>
    </row>
    <row r="126">
      <c r="A126" t="inlineStr">
        <is>
          <t>El-Gev Electronics</t>
        </is>
      </c>
      <c r="B126" t="inlineStr">
        <is>
          <t>以色列</t>
        </is>
      </c>
      <c r="C126" t="inlineStr"/>
      <c r="D126" t="inlineStr">
        <is>
          <t>elgev.co.il</t>
        </is>
      </c>
      <c r="E126" t="inlineStr">
        <is>
          <t>分销（Westermo Reseller）</t>
        </is>
      </c>
      <c r="F126" t="inlineStr">
        <is>
          <t>Westermo</t>
        </is>
      </c>
      <c r="G126" t="inlineStr">
        <is>
          <t>否</t>
        </is>
      </c>
      <c r="H126" t="inlineStr">
        <is>
          <t>工业/轨道同规格 1/3 价第二供应源</t>
        </is>
      </c>
      <c r="I126" t="inlineStr">
        <is>
          <t>LT-IS6312XGP-4XS8GT</t>
        </is>
      </c>
      <c r="J126" t="inlineStr">
        <is>
          <t>+972 74-7190012</t>
        </is>
      </c>
      <c r="K126" t="inlineStr">
        <is>
          <t>★★</t>
        </is>
      </c>
      <c r="L126" t="inlineStr">
        <is>
          <t>未触达</t>
        </is>
      </c>
      <c r="M126" t="inlineStr">
        <is>
          <t>2026-09-22</t>
        </is>
      </c>
      <c r="N126" t="inlineStr"/>
      <c r="O126" t="inlineStr"/>
      <c r="P126" t="inlineStr"/>
      <c r="Q126" t="inlineStr">
        <is>
          <t>【2026-09-23】Westermo 官方 where-to-buy 名录确认的分销商。以色列 reseller，具备认证技术支持与 Westermo 方案能力。</t>
        </is>
      </c>
      <c r="R126" t="inlineStr">
        <is>
          <t>C</t>
        </is>
      </c>
      <c r="S12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6" t="inlineStr">
        <is>
          <t>C-154</t>
        </is>
      </c>
      <c r="U126" t="inlineStr">
        <is>
          <t>B下放·无邮箱（群发触达不到）</t>
        </is>
      </c>
      <c r="V126" t="inlineStr"/>
    </row>
    <row r="127">
      <c r="A127" t="inlineStr">
        <is>
          <t>Galoz Electronics Ltd</t>
        </is>
      </c>
      <c r="B127" t="inlineStr">
        <is>
          <t>以色列</t>
        </is>
      </c>
      <c r="C127" t="inlineStr">
        <is>
          <t>Rosh Ha Ayin</t>
        </is>
      </c>
      <c r="D127" t="inlineStr">
        <is>
          <t>galoz.co.il</t>
        </is>
      </c>
      <c r="E127" t="inlineStr">
        <is>
          <t>分销（HMS/N-Tron·Red Lion 渠道）</t>
        </is>
      </c>
      <c r="F127" t="inlineStr">
        <is>
          <t>N-Tron + Red Lion + Anybus + Ewon + Ixxat</t>
        </is>
      </c>
      <c r="G127" t="inlineStr">
        <is>
          <t>否</t>
        </is>
      </c>
      <c r="H127" t="inlineStr">
        <is>
          <t>卖 N-Tron/Red Lion 工业交换机（8口非网管约 $500+）→ 中性货同规格 LT-IS6310G 约 $91，做第二供应商，价差 5 倍</t>
        </is>
      </c>
      <c r="I127" t="inlineStr">
        <is>
          <t>LT-IS6312XG-4XS8GT</t>
        </is>
      </c>
      <c r="J127" t="inlineStr">
        <is>
          <t>官网联系页（HMS 名录只公开地址与网址）</t>
        </is>
      </c>
      <c r="K127" t="inlineStr">
        <is>
          <t>★★★</t>
        </is>
      </c>
      <c r="L127" t="inlineStr">
        <is>
          <t>未触达</t>
        </is>
      </c>
      <c r="M127" t="inlineStr">
        <is>
          <t>2026-09-22</t>
        </is>
      </c>
      <c r="N127" t="inlineStr"/>
      <c r="O127" t="inlineStr"/>
      <c r="P127" t="inlineStr"/>
      <c r="Q127" t="inlineStr">
        <is>
          <t>以色列 N-Tron 主力</t>
        </is>
      </c>
      <c r="R127" t="inlineStr">
        <is>
          <t>C</t>
        </is>
      </c>
      <c r="S1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7" t="inlineStr">
        <is>
          <t>C-155</t>
        </is>
      </c>
      <c r="U127" t="inlineStr">
        <is>
          <t>B下放·无邮箱（群发触达不到）</t>
        </is>
      </c>
      <c r="V127" t="inlineStr"/>
    </row>
    <row r="128">
      <c r="A128" t="inlineStr">
        <is>
          <t>IPNet Solutions LTD</t>
        </is>
      </c>
      <c r="B128" t="inlineStr">
        <is>
          <t>以色列</t>
        </is>
      </c>
      <c r="C128" t="inlineStr"/>
      <c r="D128" t="inlineStr">
        <is>
          <t>ip-net.co.il</t>
        </is>
      </c>
      <c r="E128" t="inlineStr">
        <is>
          <t>分销（ORing 授权）</t>
        </is>
      </c>
      <c r="F128" t="inlineStr">
        <is>
          <t>ORing</t>
        </is>
      </c>
      <c r="G128" t="inlineStr">
        <is>
          <t>否</t>
        </is>
      </c>
      <c r="H128" t="inlineStr">
        <is>
          <t>工业/轨道同规格 1/3 价第二供应源</t>
        </is>
      </c>
      <c r="I128" t="inlineStr">
        <is>
          <t>LT-IS6312XGP-4XS8GT</t>
        </is>
      </c>
      <c r="J128" t="inlineStr">
        <is>
          <t>+972 52-7502200</t>
        </is>
      </c>
      <c r="K128" t="inlineStr">
        <is>
          <t>★★</t>
        </is>
      </c>
      <c r="L128" t="inlineStr">
        <is>
          <t>未触达</t>
        </is>
      </c>
      <c r="M128" t="inlineStr">
        <is>
          <t>2026-09-22</t>
        </is>
      </c>
      <c r="N128" t="inlineStr"/>
      <c r="O128" t="inlineStr"/>
      <c r="P128" t="inlineStr"/>
      <c r="Q128" t="inlineStr"/>
      <c r="R128" t="inlineStr">
        <is>
          <t>C</t>
        </is>
      </c>
      <c r="S1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28" t="inlineStr">
        <is>
          <t>C-156</t>
        </is>
      </c>
      <c r="U128" t="inlineStr">
        <is>
          <t>B下放·无邮箱（群发触达不到）</t>
        </is>
      </c>
      <c r="V128" t="inlineStr"/>
    </row>
    <row r="129">
      <c r="A129" t="inlineStr">
        <is>
          <t>Ronitek</t>
        </is>
      </c>
      <c r="B129" t="inlineStr">
        <is>
          <t>以色列</t>
        </is>
      </c>
      <c r="C129" t="inlineStr"/>
      <c r="D129" t="inlineStr">
        <is>
          <t>ronitek.co.il</t>
        </is>
      </c>
      <c r="E129" t="inlineStr">
        <is>
          <t>分销（MikroTik 官方）</t>
        </is>
      </c>
      <c r="F129" t="inlineStr">
        <is>
          <t>MikroTik（Reseller）</t>
        </is>
      </c>
      <c r="G129" t="inlineStr">
        <is>
          <t>否</t>
        </is>
      </c>
      <c r="H129" t="inlineStr">
        <is>
          <t>卖 MikroTik 但缺工业/ERPS/PoE++ → 用同价位工业线补他的产品缺口</t>
        </is>
      </c>
      <c r="I129" t="inlineStr">
        <is>
          <t>LT-IS6312XG-4XS8GT</t>
        </is>
      </c>
      <c r="J129" t="inlineStr">
        <is>
          <t>+972 77 249 5881 / Info@ronitek.co.il</t>
        </is>
      </c>
      <c r="K129" t="inlineStr">
        <is>
          <t>★★</t>
        </is>
      </c>
      <c r="L129" t="inlineStr">
        <is>
          <t>未触达</t>
        </is>
      </c>
      <c r="M129" t="inlineStr">
        <is>
          <t>2026-09-22</t>
        </is>
      </c>
      <c r="N129" t="inlineStr"/>
      <c r="O129" t="inlineStr"/>
      <c r="P129" t="inlineStr"/>
      <c r="Q129" t="inlineStr">
        <is>
          <t>Tel Aviv</t>
        </is>
      </c>
      <c r="R129" t="inlineStr">
        <is>
          <t>B</t>
        </is>
      </c>
      <c r="S129" t="inlineStr">
        <is>
          <t>通用分销商信号，无差异化切入点，慢慢跟</t>
        </is>
      </c>
      <c r="T129" t="inlineStr">
        <is>
          <t>B-037</t>
        </is>
      </c>
      <c r="U129" t="inlineStr"/>
      <c r="V129" t="inlineStr"/>
    </row>
    <row r="130">
      <c r="A130" t="inlineStr">
        <is>
          <t>Triple core</t>
        </is>
      </c>
      <c r="B130" t="inlineStr">
        <is>
          <t>以色列</t>
        </is>
      </c>
      <c r="C130" t="inlineStr"/>
      <c r="D130" t="inlineStr">
        <is>
          <t>triple-core.com</t>
        </is>
      </c>
      <c r="E130" t="inlineStr">
        <is>
          <t>分销（MikroTik 官方）</t>
        </is>
      </c>
      <c r="F130" t="inlineStr">
        <is>
          <t>MikroTik（Reseller）</t>
        </is>
      </c>
      <c r="G130" t="inlineStr">
        <is>
          <t>否</t>
        </is>
      </c>
      <c r="H130" t="inlineStr">
        <is>
          <t>卖 MikroTik 但缺工业/ERPS/PoE++ → 用同价位工业线补他的产品缺口</t>
        </is>
      </c>
      <c r="I130" t="inlineStr">
        <is>
          <t>LT-IS6312XGP-4XS8GT</t>
        </is>
      </c>
      <c r="J130" t="inlineStr">
        <is>
          <t>+972 2 372 2666 / info@triple-core.com</t>
        </is>
      </c>
      <c r="K130" t="inlineStr">
        <is>
          <t>★★</t>
        </is>
      </c>
      <c r="L130" t="inlineStr">
        <is>
          <t>未触达</t>
        </is>
      </c>
      <c r="M130" t="inlineStr">
        <is>
          <t>2026-09-22</t>
        </is>
      </c>
      <c r="N130" t="inlineStr"/>
      <c r="O130" t="inlineStr"/>
      <c r="P130" t="inlineStr"/>
      <c r="Q130" t="inlineStr">
        <is>
          <t>Jerusalem</t>
        </is>
      </c>
      <c r="R130" t="inlineStr">
        <is>
          <t>B</t>
        </is>
      </c>
      <c r="S130" t="inlineStr">
        <is>
          <t>通用分销商信号，无差异化切入点，慢慢跟</t>
        </is>
      </c>
      <c r="T130" t="inlineStr">
        <is>
          <t>B-038</t>
        </is>
      </c>
      <c r="U130" t="inlineStr"/>
      <c r="V130" t="inlineStr"/>
    </row>
    <row r="131">
      <c r="A131" t="inlineStr">
        <is>
          <t>Voicenter LTD</t>
        </is>
      </c>
      <c r="B131" t="inlineStr">
        <is>
          <t>以色列</t>
        </is>
      </c>
      <c r="C131" t="inlineStr"/>
      <c r="D131" t="inlineStr">
        <is>
          <t>voicenter.co.il</t>
        </is>
      </c>
      <c r="E131" t="inlineStr">
        <is>
          <t>分销（MikroTik 官方）</t>
        </is>
      </c>
      <c r="F131" t="inlineStr">
        <is>
          <t>MikroTik（Master）</t>
        </is>
      </c>
      <c r="G131" t="inlineStr">
        <is>
          <t>否</t>
        </is>
      </c>
      <c r="H131" t="inlineStr">
        <is>
          <t>MikroTik 官方分销，商用线可直接比价，工业线为零 → 新品类增量</t>
        </is>
      </c>
      <c r="I131" t="inlineStr">
        <is>
          <t>LT-S8328XG-4XS8GT-S</t>
        </is>
      </c>
      <c r="J131" t="inlineStr">
        <is>
          <t>+972 72 2776 771 / info@voicenter.co.il</t>
        </is>
      </c>
      <c r="K131" t="inlineStr">
        <is>
          <t>★★★</t>
        </is>
      </c>
      <c r="L131" t="inlineStr">
        <is>
          <t>未触达</t>
        </is>
      </c>
      <c r="M131" t="inlineStr">
        <is>
          <t>2026-09-22</t>
        </is>
      </c>
      <c r="N131" t="inlineStr"/>
      <c r="O131" t="inlineStr"/>
      <c r="P131" t="inlineStr"/>
      <c r="Q131" t="inlineStr">
        <is>
          <t>Tel Aviv</t>
        </is>
      </c>
      <c r="R131" t="inlineStr">
        <is>
          <t>B</t>
        </is>
      </c>
      <c r="S131" t="inlineStr">
        <is>
          <t>通用分销商信号，无差异化切入点，慢慢跟</t>
        </is>
      </c>
      <c r="T131" t="inlineStr">
        <is>
          <t>B-039</t>
        </is>
      </c>
      <c r="U131" t="inlineStr"/>
      <c r="V131" t="inlineStr"/>
    </row>
    <row r="132">
      <c r="A132" t="inlineStr">
        <is>
          <t>ASAP</t>
        </is>
      </c>
      <c r="B132" t="inlineStr">
        <is>
          <t>保加利亚</t>
        </is>
      </c>
      <c r="C132" t="inlineStr"/>
      <c r="D132" t="inlineStr">
        <is>
          <t>asap.bg</t>
        </is>
      </c>
      <c r="E132" t="inlineStr">
        <is>
          <t>分销（MikroTik 官方）</t>
        </is>
      </c>
      <c r="F132" t="inlineStr">
        <is>
          <t>MikroTik（Reseller）</t>
        </is>
      </c>
      <c r="G132" t="inlineStr">
        <is>
          <t>否</t>
        </is>
      </c>
      <c r="H132" t="inlineStr">
        <is>
          <t>卖 MikroTik 但缺工业/ERPS/PoE++ → 用同价位工业线补他的产品缺口</t>
        </is>
      </c>
      <c r="I132" t="inlineStr">
        <is>
          <t>LT-IS6312XGP-4XS8GT</t>
        </is>
      </c>
      <c r="J132" t="inlineStr">
        <is>
          <t>+359 2 4475 100 / sales@asap.bg</t>
        </is>
      </c>
      <c r="K132" t="inlineStr">
        <is>
          <t>★★</t>
        </is>
      </c>
      <c r="L132" t="inlineStr">
        <is>
          <t>未触达</t>
        </is>
      </c>
      <c r="M132" t="inlineStr">
        <is>
          <t>2026-09-22</t>
        </is>
      </c>
      <c r="N132" t="inlineStr"/>
      <c r="O132" t="inlineStr"/>
      <c r="P132" t="inlineStr"/>
      <c r="Q132" t="inlineStr">
        <is>
          <t>Sofia</t>
        </is>
      </c>
      <c r="R132" t="inlineStr">
        <is>
          <t>B</t>
        </is>
      </c>
      <c r="S132" t="inlineStr">
        <is>
          <t>通用分销商信号，无差异化切入点，慢慢跟</t>
        </is>
      </c>
      <c r="T132" t="inlineStr">
        <is>
          <t>B-040</t>
        </is>
      </c>
      <c r="U132" t="inlineStr"/>
      <c r="V132" t="inlineStr"/>
    </row>
    <row r="133">
      <c r="A133" t="inlineStr">
        <is>
          <t>Comicon Ltd.</t>
        </is>
      </c>
      <c r="B133" t="inlineStr">
        <is>
          <t>保加利亚</t>
        </is>
      </c>
      <c r="C133" t="inlineStr">
        <is>
          <t>Sofia</t>
        </is>
      </c>
      <c r="D133" t="inlineStr">
        <is>
          <t>comicon.bg</t>
        </is>
      </c>
      <c r="E133" t="inlineStr">
        <is>
          <t>分销（HMS/N-Tron·Red Lion 渠道）</t>
        </is>
      </c>
      <c r="F133" t="inlineStr">
        <is>
          <t>N-Tron + Red Lion</t>
        </is>
      </c>
      <c r="G133" t="inlineStr">
        <is>
          <t>否</t>
        </is>
      </c>
      <c r="H133" t="inlineStr">
        <is>
          <t>卖 N-Tron/Red Lion 工业交换机（8口非网管约 $500+）→ 中性货同规格 LT-IS6310G 约 $91，做第二供应商，价差 5 倍</t>
        </is>
      </c>
      <c r="I133" t="inlineStr">
        <is>
          <t>LT-IS6310G</t>
        </is>
      </c>
      <c r="J133" t="inlineStr">
        <is>
          <t>官网联系页（HMS 名录只公开地址与网址）</t>
        </is>
      </c>
      <c r="K133" t="inlineStr">
        <is>
          <t>★★★</t>
        </is>
      </c>
      <c r="L133" t="inlineStr">
        <is>
          <t>未触达</t>
        </is>
      </c>
      <c r="M133" t="inlineStr">
        <is>
          <t>2026-09-22</t>
        </is>
      </c>
      <c r="N133" t="inlineStr"/>
      <c r="O133" t="inlineStr"/>
      <c r="P133" t="inlineStr"/>
      <c r="Q133" t="inlineStr">
        <is>
          <t>保加利亚唯一本地 N-Tron 代理（除 RS）</t>
        </is>
      </c>
      <c r="R133" t="inlineStr">
        <is>
          <t>C</t>
        </is>
      </c>
      <c r="S1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3" t="inlineStr">
        <is>
          <t>C-157</t>
        </is>
      </c>
      <c r="U133" t="inlineStr">
        <is>
          <t>B下放·无邮箱（群发触达不到）</t>
        </is>
      </c>
      <c r="V133" t="inlineStr"/>
    </row>
    <row r="134">
      <c r="A134" t="inlineStr">
        <is>
          <t>Computer Market</t>
        </is>
      </c>
      <c r="B134" t="inlineStr">
        <is>
          <t>保加利亚</t>
        </is>
      </c>
      <c r="C134" t="inlineStr"/>
      <c r="D134" t="inlineStr">
        <is>
          <t>computermarket.bg</t>
        </is>
      </c>
      <c r="E134" t="inlineStr">
        <is>
          <t>分销（MikroTik 官方）</t>
        </is>
      </c>
      <c r="F134" t="inlineStr">
        <is>
          <t>MikroTik（Reseller）</t>
        </is>
      </c>
      <c r="G134" t="inlineStr">
        <is>
          <t>否</t>
        </is>
      </c>
      <c r="H134" t="inlineStr">
        <is>
          <t>MikroTik 官方分销，商用线可直接比价，工业线为零 → 新品类增量</t>
        </is>
      </c>
      <c r="I134" t="inlineStr">
        <is>
          <t>LT-S8328XG-4XS8GT-S</t>
        </is>
      </c>
      <c r="J134" t="inlineStr">
        <is>
          <t>+359 700 200 02 / sales@computermarket.bg</t>
        </is>
      </c>
      <c r="K134" t="inlineStr">
        <is>
          <t>★★</t>
        </is>
      </c>
      <c r="L134" t="inlineStr">
        <is>
          <t>未触达</t>
        </is>
      </c>
      <c r="M134" t="inlineStr">
        <is>
          <t>2026-09-22</t>
        </is>
      </c>
      <c r="N134" t="inlineStr"/>
      <c r="O134" t="inlineStr"/>
      <c r="P134" t="inlineStr"/>
      <c r="Q134" t="inlineStr">
        <is>
          <t>Burgas</t>
        </is>
      </c>
      <c r="R134" t="inlineStr">
        <is>
          <t>B</t>
        </is>
      </c>
      <c r="S134" t="inlineStr">
        <is>
          <t>通用分销商信号，无差异化切入点，慢慢跟</t>
        </is>
      </c>
      <c r="T134" t="inlineStr">
        <is>
          <t>B-042</t>
        </is>
      </c>
      <c r="U134" t="inlineStr"/>
      <c r="V134" t="inlineStr"/>
    </row>
    <row r="135">
      <c r="A135" t="inlineStr">
        <is>
          <t>Georgi Vasilev</t>
        </is>
      </c>
      <c r="B135" t="inlineStr">
        <is>
          <t>保加利亚</t>
        </is>
      </c>
      <c r="C135" t="inlineStr">
        <is>
          <t>Sofia</t>
        </is>
      </c>
      <c r="D135" t="inlineStr"/>
      <c r="E135" t="inlineStr">
        <is>
          <t>集成商/顾问（MikroTik 认证）</t>
        </is>
      </c>
      <c r="F135" t="inlineStr">
        <is>
          <t>MikroTik 认证顾问 MTCNA+MTCRE</t>
        </is>
      </c>
      <c r="G135" t="inlineStr">
        <is>
          <t>否</t>
        </is>
      </c>
      <c r="H135" t="inlineStr">
        <is>
          <t>MikroTik 认证顾问：自己做方案/集成/运维并自行采购设备 → 用 ERPS/IGMP/VLAN/CLI/MIB 这类技术语言切入，不打价格战</t>
        </is>
      </c>
      <c r="I135" t="inlineStr">
        <is>
          <t>LT-S8328G-4XS24GT-S</t>
        </is>
      </c>
      <c r="J135" t="inlineStr">
        <is>
          <t>+359 889 895 830 / georgi.petkov.vasilev@gmail.com</t>
        </is>
      </c>
      <c r="K135" t="inlineStr">
        <is>
          <t>★★</t>
        </is>
      </c>
      <c r="L135" t="inlineStr">
        <is>
          <t>未触达</t>
        </is>
      </c>
      <c r="M135" t="inlineStr">
        <is>
          <t>2026-09-22</t>
        </is>
      </c>
      <c r="N135" t="inlineStr"/>
      <c r="O135" t="inlineStr"/>
      <c r="P135" t="inlineStr"/>
      <c r="Q135" t="inlineStr">
        <is>
          <t>电信硕士，10+ 年 IT，电子爱好者</t>
        </is>
      </c>
      <c r="R135" t="inlineStr">
        <is>
          <t>B</t>
        </is>
      </c>
      <c r="S135" t="inlineStr">
        <is>
          <t>通用分销商信号，无差异化切入点，慢慢跟</t>
        </is>
      </c>
      <c r="T135" t="inlineStr">
        <is>
          <t>B-043</t>
        </is>
      </c>
      <c r="U135" t="inlineStr"/>
      <c r="V135" t="inlineStr"/>
    </row>
    <row r="136">
      <c r="A136" t="inlineStr">
        <is>
          <t>MTBG OOD（mikrotikbg.shop）</t>
        </is>
      </c>
      <c r="B136" t="inlineStr">
        <is>
          <t>保加利亚</t>
        </is>
      </c>
      <c r="C136" t="inlineStr"/>
      <c r="D136" t="inlineStr">
        <is>
          <t>mikrotikbg.shop</t>
        </is>
      </c>
      <c r="E136" t="inlineStr">
        <is>
          <t>分销（MikroTik 官方）</t>
        </is>
      </c>
      <c r="F136" t="inlineStr">
        <is>
          <t>MikroTik（Master+VAD）</t>
        </is>
      </c>
      <c r="G136" t="inlineStr">
        <is>
          <t>否</t>
        </is>
      </c>
      <c r="H136" t="inlineStr">
        <is>
          <t>域名就是 mikrotikbg.shop → 单品牌依赖最高档</t>
        </is>
      </c>
      <c r="I136" t="inlineStr">
        <is>
          <t>LT-IS6312XGP-4XS8GT</t>
        </is>
      </c>
      <c r="J136" t="inlineStr">
        <is>
          <t>+359 2 45 125 25 / info@mikrotikbg.shop</t>
        </is>
      </c>
      <c r="K136" t="inlineStr">
        <is>
          <t>★★★</t>
        </is>
      </c>
      <c r="L136" t="inlineStr">
        <is>
          <t>未触达</t>
        </is>
      </c>
      <c r="M136" t="inlineStr">
        <is>
          <t>2026-09-22</t>
        </is>
      </c>
      <c r="N136" t="inlineStr"/>
      <c r="O136" t="inlineStr"/>
      <c r="P136" t="inlineStr"/>
      <c r="Q136" t="inlineStr">
        <is>
          <t>Burgas</t>
        </is>
      </c>
      <c r="R136" t="inlineStr">
        <is>
          <t>B</t>
        </is>
      </c>
      <c r="S136" t="inlineStr">
        <is>
          <t>通用分销商信号，无差异化切入点，慢慢跟</t>
        </is>
      </c>
      <c r="T136" t="inlineStr">
        <is>
          <t>B-044</t>
        </is>
      </c>
      <c r="U136" t="inlineStr"/>
      <c r="V136" t="inlineStr"/>
    </row>
    <row r="137">
      <c r="A137" t="inlineStr">
        <is>
          <t>Mihail Gyoshev / Digit Consult</t>
        </is>
      </c>
      <c r="B137" t="inlineStr">
        <is>
          <t>保加利亚</t>
        </is>
      </c>
      <c r="C137" t="inlineStr">
        <is>
          <t>Plovdiv</t>
        </is>
      </c>
      <c r="D137" t="inlineStr">
        <is>
          <t>digitconsult.eu</t>
        </is>
      </c>
      <c r="E137" t="inlineStr">
        <is>
          <t>集成商/顾问（MikroTik 认证）</t>
        </is>
      </c>
      <c r="F137" t="inlineStr">
        <is>
          <t>MikroTik 认证顾问 MTCNA+MTCUME+MTCINE+MTCIPv6E+MTCEWE</t>
        </is>
      </c>
      <c r="G137" t="inlineStr">
        <is>
          <t>否</t>
        </is>
      </c>
      <c r="H137" t="inlineStr">
        <is>
          <t>MikroTik 认证顾问：自己做方案/集成/运维并自行采购设备 → 用 ERPS/IGMP/VLAN/CLI/MIB 这类技术语言切入，不打价格战</t>
        </is>
      </c>
      <c r="I137" t="inlineStr">
        <is>
          <t>LT-S8328G-4XS24GT-S</t>
        </is>
      </c>
      <c r="J137" t="inlineStr">
        <is>
          <t>+359 898 737 844 / mihail.gyoshev@digitconsult.eu</t>
        </is>
      </c>
      <c r="K137" t="inlineStr">
        <is>
          <t>★★★</t>
        </is>
      </c>
      <c r="L137" t="inlineStr">
        <is>
          <t>未触达</t>
        </is>
      </c>
      <c r="M137" t="inlineStr">
        <is>
          <t>2026-09-22</t>
        </is>
      </c>
      <c r="N137" t="inlineStr"/>
      <c r="O137" t="inlineStr"/>
      <c r="P137" t="inlineStr"/>
      <c r="Q137" t="inlineStr">
        <is>
          <t>含 MTCINE（ISP 互联）+ MTCEWE（企业无线）</t>
        </is>
      </c>
      <c r="R137" t="inlineStr">
        <is>
          <t>B</t>
        </is>
      </c>
      <c r="S137" t="inlineStr">
        <is>
          <t>有信号（ISP/骨干）但需先验证需求或联系人不具体</t>
        </is>
      </c>
      <c r="T137" t="inlineStr">
        <is>
          <t>B-045</t>
        </is>
      </c>
      <c r="U137" t="inlineStr"/>
      <c r="V137" t="inlineStr"/>
    </row>
    <row r="138">
      <c r="A138" t="inlineStr">
        <is>
          <t>PCLife LTD.</t>
        </is>
      </c>
      <c r="B138" t="inlineStr">
        <is>
          <t>保加利亚</t>
        </is>
      </c>
      <c r="C138" t="inlineStr"/>
      <c r="D138" t="inlineStr">
        <is>
          <t>pclife.bg</t>
        </is>
      </c>
      <c r="E138" t="inlineStr">
        <is>
          <t>分销（MikroTik 官方）</t>
        </is>
      </c>
      <c r="F138" t="inlineStr">
        <is>
          <t>MikroTik（Reseller）</t>
        </is>
      </c>
      <c r="G138" t="inlineStr">
        <is>
          <t>否</t>
        </is>
      </c>
      <c r="H138" t="inlineStr">
        <is>
          <t>卖 MikroTik 但缺工业/ERPS/PoE++ → 用同价位工业线补他的产品缺口</t>
        </is>
      </c>
      <c r="I138" t="inlineStr">
        <is>
          <t>LT-IS6312XG-4XS8GT</t>
        </is>
      </c>
      <c r="J138" t="inlineStr">
        <is>
          <t>+359 88 762 4895 / orders@pclife.bg</t>
        </is>
      </c>
      <c r="K138" t="inlineStr">
        <is>
          <t>★★</t>
        </is>
      </c>
      <c r="L138" t="inlineStr">
        <is>
          <t>未触达</t>
        </is>
      </c>
      <c r="M138" t="inlineStr">
        <is>
          <t>2026-09-22</t>
        </is>
      </c>
      <c r="N138" t="inlineStr"/>
      <c r="O138" t="inlineStr"/>
      <c r="P138" t="inlineStr"/>
      <c r="Q138" t="inlineStr">
        <is>
          <t>Plovdiv</t>
        </is>
      </c>
      <c r="R138" t="inlineStr">
        <is>
          <t>B</t>
        </is>
      </c>
      <c r="S138" t="inlineStr">
        <is>
          <t>通用分销商信号，无差异化切入点，慢慢跟</t>
        </is>
      </c>
      <c r="T138" t="inlineStr">
        <is>
          <t>B-046</t>
        </is>
      </c>
      <c r="U138" t="inlineStr"/>
      <c r="V138" t="inlineStr"/>
    </row>
    <row r="139">
      <c r="A139" t="inlineStr">
        <is>
          <t>Rittbul</t>
        </is>
      </c>
      <c r="B139" t="inlineStr">
        <is>
          <t>保加利亚</t>
        </is>
      </c>
      <c r="C139" t="inlineStr"/>
      <c r="D139" t="inlineStr">
        <is>
          <t>rittbul.bg</t>
        </is>
      </c>
      <c r="E139" t="inlineStr">
        <is>
          <t>分销（Westermo Reseller）</t>
        </is>
      </c>
      <c r="F139" t="inlineStr">
        <is>
          <t>Westermo</t>
        </is>
      </c>
      <c r="G139" t="inlineStr">
        <is>
          <t>否</t>
        </is>
      </c>
      <c r="H139" t="inlineStr">
        <is>
          <t>工业/轨道同规格 1/3 价第二供应源</t>
        </is>
      </c>
      <c r="I139" t="inlineStr">
        <is>
          <t>LT-IS6312XG-4XS8GT</t>
        </is>
      </c>
      <c r="J139" t="inlineStr">
        <is>
          <t>+359 2 439 78 45</t>
        </is>
      </c>
      <c r="K139" t="inlineStr">
        <is>
          <t>★★</t>
        </is>
      </c>
      <c r="L139" t="inlineStr">
        <is>
          <t>未触达</t>
        </is>
      </c>
      <c r="M139" t="inlineStr">
        <is>
          <t>2026-09-22</t>
        </is>
      </c>
      <c r="N139" t="inlineStr"/>
      <c r="O139" t="inlineStr"/>
      <c r="P139" t="inlineStr"/>
      <c r="Q139" t="inlineStr">
        <is>
          <t>【2026-09-23】Westermo 官方 where-to-buy 名录确认的分销商。保加利亚 reseller（本地库存）。</t>
        </is>
      </c>
      <c r="R139" t="inlineStr">
        <is>
          <t>C</t>
        </is>
      </c>
      <c r="S1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39" t="inlineStr">
        <is>
          <t>C-158</t>
        </is>
      </c>
      <c r="U139" t="inlineStr">
        <is>
          <t>B下放·无邮箱（群发触达不到）</t>
        </is>
      </c>
      <c r="V139" t="inlineStr"/>
    </row>
    <row r="140">
      <c r="A140" t="inlineStr">
        <is>
          <t>Riva.Ltd</t>
        </is>
      </c>
      <c r="B140" t="inlineStr">
        <is>
          <t>保加利亚</t>
        </is>
      </c>
      <c r="C140" t="inlineStr"/>
      <c r="D140" t="inlineStr">
        <is>
          <t>riva.bg</t>
        </is>
      </c>
      <c r="E140" t="inlineStr">
        <is>
          <t>分销（MikroTik 官方）</t>
        </is>
      </c>
      <c r="F140" t="inlineStr">
        <is>
          <t>MikroTik（Master+VAD）</t>
        </is>
      </c>
      <c r="G140" t="inlineStr">
        <is>
          <t>否</t>
        </is>
      </c>
      <c r="H140" t="inlineStr">
        <is>
          <t>MikroTik 官方分销，商用线可直接比价，工业线为零 → 新品类增量</t>
        </is>
      </c>
      <c r="I140" t="inlineStr">
        <is>
          <t>LT-S8328GP-4GX24GT</t>
        </is>
      </c>
      <c r="J140" t="inlineStr">
        <is>
          <t>+359 56 84 23 23 / riva@riva.bg</t>
        </is>
      </c>
      <c r="K140" t="inlineStr">
        <is>
          <t>★★★</t>
        </is>
      </c>
      <c r="L140" t="inlineStr">
        <is>
          <t>未触达</t>
        </is>
      </c>
      <c r="M140" t="inlineStr">
        <is>
          <t>2026-09-22</t>
        </is>
      </c>
      <c r="N140" t="inlineStr"/>
      <c r="O140" t="inlineStr"/>
      <c r="P140" t="inlineStr"/>
      <c r="Q140" t="inlineStr">
        <is>
          <t>Burgas</t>
        </is>
      </c>
      <c r="R140" t="inlineStr">
        <is>
          <t>B</t>
        </is>
      </c>
      <c r="S140" t="inlineStr">
        <is>
          <t>通用分销商信号，无差异化切入点，慢慢跟</t>
        </is>
      </c>
      <c r="T140" t="inlineStr">
        <is>
          <t>B-048</t>
        </is>
      </c>
      <c r="U140" t="inlineStr"/>
      <c r="V140" t="inlineStr"/>
    </row>
    <row r="141">
      <c r="A141" t="inlineStr">
        <is>
          <t>Rootelsat, Ltd.（vesuviustreamline.com）</t>
        </is>
      </c>
      <c r="B141" t="inlineStr">
        <is>
          <t>保加利亚</t>
        </is>
      </c>
      <c r="C141" t="inlineStr"/>
      <c r="D141" t="inlineStr">
        <is>
          <t>vesuviustreamline.com</t>
        </is>
      </c>
      <c r="E141" t="inlineStr">
        <is>
          <t>分销（MikroTik 官方）</t>
        </is>
      </c>
      <c r="F141" t="inlineStr">
        <is>
          <t>MikroTik（Reseller）</t>
        </is>
      </c>
      <c r="G141" t="inlineStr">
        <is>
          <t>否</t>
        </is>
      </c>
      <c r="H141" t="inlineStr">
        <is>
          <t>卖 MikroTik 但缺工业/ERPS/PoE++ → 用同价位工业线补他的产品缺口</t>
        </is>
      </c>
      <c r="I141" t="inlineStr">
        <is>
          <t>LT-IS6312XG-4XS8GT</t>
        </is>
      </c>
      <c r="J141" t="inlineStr">
        <is>
          <t>+359 54 862 991 / office@vesuviustreamline.com</t>
        </is>
      </c>
      <c r="K141" t="inlineStr">
        <is>
          <t>★★</t>
        </is>
      </c>
      <c r="L141" t="inlineStr">
        <is>
          <t>未触达</t>
        </is>
      </c>
      <c r="M141" t="inlineStr">
        <is>
          <t>2026-09-22</t>
        </is>
      </c>
      <c r="N141" t="inlineStr"/>
      <c r="O141" t="inlineStr"/>
      <c r="P141" t="inlineStr"/>
      <c r="Q141" t="inlineStr">
        <is>
          <t>Shumen</t>
        </is>
      </c>
      <c r="R141" t="inlineStr">
        <is>
          <t>B</t>
        </is>
      </c>
      <c r="S141" t="inlineStr">
        <is>
          <t>通用分销商信号，无差异化切入点，慢慢跟</t>
        </is>
      </c>
      <c r="T141" t="inlineStr">
        <is>
          <t>B-049</t>
        </is>
      </c>
      <c r="U141" t="inlineStr"/>
      <c r="V141" t="inlineStr"/>
    </row>
    <row r="142">
      <c r="A142" t="inlineStr">
        <is>
          <t>Stanimir Konakchiev / Nebo Systems</t>
        </is>
      </c>
      <c r="B142" t="inlineStr">
        <is>
          <t>保加利亚</t>
        </is>
      </c>
      <c r="C142" t="inlineStr">
        <is>
          <t>Sofia</t>
        </is>
      </c>
      <c r="D142" t="inlineStr">
        <is>
          <t>nebosystems.eu</t>
        </is>
      </c>
      <c r="E142" t="inlineStr">
        <is>
          <t>集成商/顾问（MikroTik 认证）</t>
        </is>
      </c>
      <c r="F142" t="inlineStr">
        <is>
          <t>MikroTik 认证顾问 MTCNA+MTCRE+MTCUME+MTCIPv6E+MTCSE+MTCEWE</t>
        </is>
      </c>
      <c r="G142" t="inlineStr">
        <is>
          <t>否</t>
        </is>
      </c>
      <c r="H142" t="inlineStr">
        <is>
          <t>MikroTik 认证顾问：自己做方案/集成/运维并自行采购设备 → 用 ERPS/IGMP/VLAN/CLI/MIB 这类技术语言切入，不打价格战</t>
        </is>
      </c>
      <c r="I142" t="inlineStr">
        <is>
          <t>LT-S8328GP-4GX24GT-S</t>
        </is>
      </c>
      <c r="J142" t="inlineStr">
        <is>
          <t>+359 898 428 927 / s.konakchiev@nebosystems.eu</t>
        </is>
      </c>
      <c r="K142" t="inlineStr">
        <is>
          <t>★★★</t>
        </is>
      </c>
      <c r="L142" t="inlineStr">
        <is>
          <t>未触达</t>
        </is>
      </c>
      <c r="M142" t="inlineStr">
        <is>
          <t>2026-09-22</t>
        </is>
      </c>
      <c r="N142" t="inlineStr"/>
      <c r="O142" t="inlineStr"/>
      <c r="P142" t="inlineStr"/>
      <c r="Q142" t="inlineStr">
        <is>
          <t>6 证含 MTCEWE（企业无线）+ MTCSE（安全）+ MTCUME（用户管理）</t>
        </is>
      </c>
      <c r="R142" t="inlineStr">
        <is>
          <t>B</t>
        </is>
      </c>
      <c r="S142" t="inlineStr">
        <is>
          <t>通用分销商信号，无差异化切入点，慢慢跟</t>
        </is>
      </c>
      <c r="T142" t="inlineStr">
        <is>
          <t>B-050</t>
        </is>
      </c>
      <c r="U142" t="inlineStr"/>
      <c r="V142" t="inlineStr"/>
    </row>
    <row r="143">
      <c r="A143" t="inlineStr">
        <is>
          <t>Dejan Liovic</t>
        </is>
      </c>
      <c r="B143" t="inlineStr">
        <is>
          <t>克罗地亚</t>
        </is>
      </c>
      <c r="C143" t="inlineStr">
        <is>
          <t>Osijek</t>
        </is>
      </c>
      <c r="D143" t="inlineStr"/>
      <c r="E143" t="inlineStr">
        <is>
          <t>集成商/顾问（MikroTik 认证）</t>
        </is>
      </c>
      <c r="F143" t="inlineStr">
        <is>
          <t>MikroTik 认证顾问 MTCNA+MTCRE+MTCWE</t>
        </is>
      </c>
      <c r="G143" t="inlineStr">
        <is>
          <t>否</t>
        </is>
      </c>
      <c r="H143" t="inlineStr">
        <is>
          <t>MikroTik 认证顾问：自己做方案/集成/运维并自行采购设备 → 用 ERPS/IGMP/VLAN/CLI/MIB 这类技术语言切入，不打价格战</t>
        </is>
      </c>
      <c r="I143" t="inlineStr">
        <is>
          <t>LT-S8328G-4XS24GT-S</t>
        </is>
      </c>
      <c r="J143" t="inlineStr">
        <is>
          <t>+385 95 287 2886 / liovicd@outlook.com</t>
        </is>
      </c>
      <c r="K143" t="inlineStr">
        <is>
          <t>★★</t>
        </is>
      </c>
      <c r="L143" t="inlineStr">
        <is>
          <t>未触达</t>
        </is>
      </c>
      <c r="M143" t="inlineStr">
        <is>
          <t>2026-09-22</t>
        </is>
      </c>
      <c r="N143" t="inlineStr"/>
      <c r="O143" t="inlineStr"/>
      <c r="P143" t="inlineStr"/>
      <c r="Q143" t="inlineStr">
        <is>
          <t>项目规划与实施、基础与高级配置、现场与远程支持</t>
        </is>
      </c>
      <c r="R143" t="inlineStr">
        <is>
          <t>B</t>
        </is>
      </c>
      <c r="S143" t="inlineStr">
        <is>
          <t>通用分销商信号，无差异化切入点，慢慢跟</t>
        </is>
      </c>
      <c r="T143" t="inlineStr">
        <is>
          <t>B-051</t>
        </is>
      </c>
      <c r="U143" t="inlineStr"/>
      <c r="V143" t="inlineStr"/>
    </row>
    <row r="144">
      <c r="A144" t="inlineStr">
        <is>
          <t>EZY Infotech d.o.o.</t>
        </is>
      </c>
      <c r="B144" t="inlineStr">
        <is>
          <t>克罗地亚</t>
        </is>
      </c>
      <c r="C144" t="inlineStr"/>
      <c r="D144" t="inlineStr">
        <is>
          <t>ezy.hr</t>
        </is>
      </c>
      <c r="E144" t="inlineStr">
        <is>
          <t>分销（MikroTik 官方）</t>
        </is>
      </c>
      <c r="F144" t="inlineStr">
        <is>
          <t>MikroTik（Master）</t>
        </is>
      </c>
      <c r="G144" t="inlineStr">
        <is>
          <t>否</t>
        </is>
      </c>
      <c r="H144" t="inlineStr">
        <is>
          <t>MikroTik 官方分销，商用线可直接比价，工业线为零 → 新品类增量</t>
        </is>
      </c>
      <c r="I144" t="inlineStr">
        <is>
          <t>LT-S8328XG-4XS8GT-S</t>
        </is>
      </c>
      <c r="J144" t="inlineStr">
        <is>
          <t>+385 40 363 888 / prodaja@ezy.hr</t>
        </is>
      </c>
      <c r="K144" t="inlineStr">
        <is>
          <t>★★★</t>
        </is>
      </c>
      <c r="L144" t="inlineStr">
        <is>
          <t>未触达</t>
        </is>
      </c>
      <c r="M144" t="inlineStr">
        <is>
          <t>2026-09-22</t>
        </is>
      </c>
      <c r="N144" t="inlineStr"/>
      <c r="O144" t="inlineStr"/>
      <c r="P144" t="inlineStr"/>
      <c r="Q144" t="inlineStr">
        <is>
          <t>Čakovec</t>
        </is>
      </c>
      <c r="R144" t="inlineStr">
        <is>
          <t>B</t>
        </is>
      </c>
      <c r="S144" t="inlineStr">
        <is>
          <t>通用分销商信号，无差异化切入点，慢慢跟</t>
        </is>
      </c>
      <c r="T144" t="inlineStr">
        <is>
          <t>B-052</t>
        </is>
      </c>
      <c r="U144" t="inlineStr"/>
      <c r="V144" t="inlineStr"/>
    </row>
    <row r="145">
      <c r="A145" t="inlineStr">
        <is>
          <t>LOST d.o.o.</t>
        </is>
      </c>
      <c r="B145" t="inlineStr">
        <is>
          <t>克罗地亚</t>
        </is>
      </c>
      <c r="C145" t="inlineStr"/>
      <c r="D145" t="inlineStr">
        <is>
          <t>lost.hr</t>
        </is>
      </c>
      <c r="E145" t="inlineStr">
        <is>
          <t>分销（MikroTik 官方）</t>
        </is>
      </c>
      <c r="F145" t="inlineStr">
        <is>
          <t>MikroTik（Master+VAD）</t>
        </is>
      </c>
      <c r="G145" t="inlineStr">
        <is>
          <t>否</t>
        </is>
      </c>
      <c r="H145" t="inlineStr">
        <is>
          <t>卖 MikroTik 但缺工业/ERPS/PoE++ → 用同价位工业线补他的产品缺口</t>
        </is>
      </c>
      <c r="I145" t="inlineStr">
        <is>
          <t>LT-IS6312XGP-4XS8GT</t>
        </is>
      </c>
      <c r="J145" t="inlineStr">
        <is>
          <t>+385 1 3027 163 / lost@lost.hr</t>
        </is>
      </c>
      <c r="K145" t="inlineStr">
        <is>
          <t>★★★</t>
        </is>
      </c>
      <c r="L145" t="inlineStr">
        <is>
          <t>未触达</t>
        </is>
      </c>
      <c r="M145" t="inlineStr">
        <is>
          <t>2026-09-22</t>
        </is>
      </c>
      <c r="N145" t="inlineStr"/>
      <c r="O145" t="inlineStr"/>
      <c r="P145" t="inlineStr"/>
      <c r="Q145" t="inlineStr">
        <is>
          <t>Zagreb</t>
        </is>
      </c>
      <c r="R145" t="inlineStr">
        <is>
          <t>B</t>
        </is>
      </c>
      <c r="S145" t="inlineStr">
        <is>
          <t>通用分销商信号，无差异化切入点，慢慢跟</t>
        </is>
      </c>
      <c r="T145" t="inlineStr">
        <is>
          <t>B-053</t>
        </is>
      </c>
      <c r="U145" t="inlineStr"/>
      <c r="V145" t="inlineStr"/>
    </row>
    <row r="146">
      <c r="A146" t="inlineStr">
        <is>
          <t>Pondi d.o.o.</t>
        </is>
      </c>
      <c r="B146" t="inlineStr">
        <is>
          <t>克罗地亚</t>
        </is>
      </c>
      <c r="C146" t="inlineStr"/>
      <c r="D146" t="inlineStr">
        <is>
          <t>pondi.hr</t>
        </is>
      </c>
      <c r="E146" t="inlineStr">
        <is>
          <t>分销（MikroTik 官方）</t>
        </is>
      </c>
      <c r="F146" t="inlineStr">
        <is>
          <t>MikroTik（Reseller）</t>
        </is>
      </c>
      <c r="G146" t="inlineStr">
        <is>
          <t>否</t>
        </is>
      </c>
      <c r="H146" t="inlineStr">
        <is>
          <t>卖 MikroTik 但缺工业/ERPS/PoE++ → 用同价位工业线补他的产品缺口</t>
        </is>
      </c>
      <c r="I146" t="inlineStr">
        <is>
          <t>LT-IS6312XG-4XS8GT</t>
        </is>
      </c>
      <c r="J146" t="inlineStr">
        <is>
          <t>+385 21 494 000</t>
        </is>
      </c>
      <c r="K146" t="inlineStr">
        <is>
          <t>★★</t>
        </is>
      </c>
      <c r="L146" t="inlineStr">
        <is>
          <t>未触达</t>
        </is>
      </c>
      <c r="M146" t="inlineStr">
        <is>
          <t>2026-09-22</t>
        </is>
      </c>
      <c r="N146" t="inlineStr"/>
      <c r="O146" t="inlineStr"/>
      <c r="P146" t="inlineStr"/>
      <c r="Q146" t="inlineStr">
        <is>
          <t>Split</t>
        </is>
      </c>
      <c r="R146" t="inlineStr">
        <is>
          <t>C</t>
        </is>
      </c>
      <c r="S1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6" t="inlineStr">
        <is>
          <t>C-159</t>
        </is>
      </c>
      <c r="U146" t="inlineStr">
        <is>
          <t>B下放·无邮箱（群发触达不到）</t>
        </is>
      </c>
      <c r="V146" t="inlineStr"/>
    </row>
    <row r="147">
      <c r="A147" t="inlineStr">
        <is>
          <t>Microstar</t>
        </is>
      </c>
      <c r="B147" t="inlineStr">
        <is>
          <t>克罗地亚/斯洛文尼亚</t>
        </is>
      </c>
      <c r="C147" t="inlineStr"/>
      <c r="D147" t="inlineStr">
        <is>
          <t>microstar.hr</t>
        </is>
      </c>
      <c r="E147" t="inlineStr">
        <is>
          <t>分销（Westermo Bronze）</t>
        </is>
      </c>
      <c r="F147" t="inlineStr">
        <is>
          <t>Westermo</t>
        </is>
      </c>
      <c r="G147" t="inlineStr">
        <is>
          <t>否</t>
        </is>
      </c>
      <c r="H147" t="inlineStr">
        <is>
          <t>工业/轨道同规格 1/3 价第二供应源</t>
        </is>
      </c>
      <c r="I147" t="inlineStr">
        <is>
          <t>LT-IS6312XGP-4XS8GT</t>
        </is>
      </c>
      <c r="J147" t="inlineStr">
        <is>
          <t>+385 1 364 78 49</t>
        </is>
      </c>
      <c r="K147" t="inlineStr">
        <is>
          <t>★★</t>
        </is>
      </c>
      <c r="L147" t="inlineStr">
        <is>
          <t>未触达</t>
        </is>
      </c>
      <c r="M147" t="inlineStr">
        <is>
          <t>2026-09-22</t>
        </is>
      </c>
      <c r="N147" t="inlineStr"/>
      <c r="O147" t="inlineStr"/>
      <c r="P147" t="inlineStr"/>
      <c r="Q147" t="inlineStr">
        <is>
          <t>巴尔干，覆盖两国 【范围外】不在本次目标区域（欧洲+美加）内，暂不触达，留档备用；【2026-09-23】Westermo 官方 where-to-buy 名录确认的分销商。克罗地亚与斯洛文尼亚双国 Bronze 分销商。</t>
        </is>
      </c>
      <c r="R147" t="inlineStr">
        <is>
          <t>C</t>
        </is>
      </c>
      <c r="S14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7" t="inlineStr">
        <is>
          <t>C-160</t>
        </is>
      </c>
      <c r="U147" t="inlineStr">
        <is>
          <t>B下放·无邮箱（群发触达不到）</t>
        </is>
      </c>
      <c r="V147" t="inlineStr"/>
    </row>
    <row r="148">
      <c r="A148" t="inlineStr">
        <is>
          <t>Fálkinn Ísmar ehf.</t>
        </is>
      </c>
      <c r="B148" t="inlineStr">
        <is>
          <t>冰岛</t>
        </is>
      </c>
      <c r="C148" t="inlineStr">
        <is>
          <t>Kopavogur</t>
        </is>
      </c>
      <c r="D148" t="inlineStr">
        <is>
          <t>falkinnismar.is</t>
        </is>
      </c>
      <c r="E148" t="inlineStr">
        <is>
          <t>分销（HMS/N-Tron·Red Lion 渠道）</t>
        </is>
      </c>
      <c r="F148" t="inlineStr">
        <is>
          <t>N-Tron + Red Lion</t>
        </is>
      </c>
      <c r="G148" t="inlineStr">
        <is>
          <t>否</t>
        </is>
      </c>
      <c r="H148" t="inlineStr">
        <is>
          <t>卖 N-Tron/Red Lion 工业交换机（8口非网管约 $500+）→ 中性货同规格 LT-IS6310G 约 $91，做第二供应商，价差 5 倍</t>
        </is>
      </c>
      <c r="I148" t="inlineStr">
        <is>
          <t>LT-IS6310G</t>
        </is>
      </c>
      <c r="J148" t="inlineStr">
        <is>
          <t>官网联系页（HMS 名录只公开地址与网址）</t>
        </is>
      </c>
      <c r="K148" t="inlineStr">
        <is>
          <t>★★★</t>
        </is>
      </c>
      <c r="L148" t="inlineStr">
        <is>
          <t>未触达</t>
        </is>
      </c>
      <c r="M148" t="inlineStr">
        <is>
          <t>2026-09-22</t>
        </is>
      </c>
      <c r="N148" t="inlineStr"/>
      <c r="O148" t="inlineStr"/>
      <c r="P148" t="inlineStr"/>
      <c r="Q148" t="inlineStr">
        <is>
          <t>冰岛唯一本地 N-Tron 代理（除 RS）→ 无竞争</t>
        </is>
      </c>
      <c r="R148" t="inlineStr">
        <is>
          <t>C</t>
        </is>
      </c>
      <c r="S1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8" t="inlineStr">
        <is>
          <t>C-161</t>
        </is>
      </c>
      <c r="U148" t="inlineStr">
        <is>
          <t>B下放·无邮箱（群发触达不到）</t>
        </is>
      </c>
      <c r="V148" t="inlineStr"/>
    </row>
    <row r="149">
      <c r="A149" t="inlineStr">
        <is>
          <t>Mælibúnaður</t>
        </is>
      </c>
      <c r="B149" t="inlineStr">
        <is>
          <t>冰岛</t>
        </is>
      </c>
      <c r="C149" t="inlineStr"/>
      <c r="D149" t="inlineStr">
        <is>
          <t>maelibunadur.is</t>
        </is>
      </c>
      <c r="E149" t="inlineStr">
        <is>
          <t>分销（Westermo Reseller）</t>
        </is>
      </c>
      <c r="F149" t="inlineStr">
        <is>
          <t>Westermo</t>
        </is>
      </c>
      <c r="G149" t="inlineStr">
        <is>
          <t>否</t>
        </is>
      </c>
      <c r="H149" t="inlineStr">
        <is>
          <t>工业/轨道同规格 1/3 价第二供应源</t>
        </is>
      </c>
      <c r="I149" t="inlineStr">
        <is>
          <t>LT-IS6312XGP-4XS8GT</t>
        </is>
      </c>
      <c r="J149" t="inlineStr">
        <is>
          <t>+354 661 11 69</t>
        </is>
      </c>
      <c r="K149" t="inlineStr">
        <is>
          <t>★★</t>
        </is>
      </c>
      <c r="L149" t="inlineStr">
        <is>
          <t>未触达</t>
        </is>
      </c>
      <c r="M149" t="inlineStr">
        <is>
          <t>2026-09-22</t>
        </is>
      </c>
      <c r="N149" t="inlineStr"/>
      <c r="O149" t="inlineStr"/>
      <c r="P149" t="inlineStr"/>
      <c r="Q149" t="inlineStr">
        <is>
          <t>北欧小市场，竞争小；【2026-09-23】Westermo 官方 where-to-buy 名录确认的分销商。冰岛 reseller（本地库存）。</t>
        </is>
      </c>
      <c r="R149" t="inlineStr">
        <is>
          <t>C</t>
        </is>
      </c>
      <c r="S1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49" t="inlineStr">
        <is>
          <t>C-162</t>
        </is>
      </c>
      <c r="U149" t="inlineStr">
        <is>
          <t>B下放·无邮箱（群发触达不到）</t>
        </is>
      </c>
      <c r="V149" t="inlineStr"/>
    </row>
    <row r="150">
      <c r="A150" t="inlineStr">
        <is>
          <t>Öruggt Net ehf（Secure Net）</t>
        </is>
      </c>
      <c r="B150" t="inlineStr">
        <is>
          <t>冰岛</t>
        </is>
      </c>
      <c r="C150" t="inlineStr"/>
      <c r="D150" t="inlineStr">
        <is>
          <t>securenet.is</t>
        </is>
      </c>
      <c r="E150" t="inlineStr">
        <is>
          <t>分销（MikroTik 官方）</t>
        </is>
      </c>
      <c r="F150" t="inlineStr">
        <is>
          <t>MikroTik（Master+VAD）</t>
        </is>
      </c>
      <c r="G150" t="inlineStr">
        <is>
          <t>否</t>
        </is>
      </c>
      <c r="H150" t="inlineStr">
        <is>
          <t>冰岛唯一 Master 分销 → 无竞争</t>
        </is>
      </c>
      <c r="I150" t="inlineStr">
        <is>
          <t>LT-IS6312XGP-4XS8GT</t>
        </is>
      </c>
      <c r="J150" t="inlineStr">
        <is>
          <t>+354 551 5120 / sales@securenet.is</t>
        </is>
      </c>
      <c r="K150" t="inlineStr">
        <is>
          <t>★★★</t>
        </is>
      </c>
      <c r="L150" t="inlineStr">
        <is>
          <t>未触达</t>
        </is>
      </c>
      <c r="M150" t="inlineStr">
        <is>
          <t>2026-09-22</t>
        </is>
      </c>
      <c r="N150" t="inlineStr"/>
      <c r="O150" t="inlineStr"/>
      <c r="P150" t="inlineStr"/>
      <c r="Q150" t="inlineStr">
        <is>
          <t>Reykjavik</t>
        </is>
      </c>
      <c r="R150" t="inlineStr">
        <is>
          <t>B</t>
        </is>
      </c>
      <c r="S150" t="inlineStr">
        <is>
          <t>通用分销商信号，无差异化切入点，慢慢跟</t>
        </is>
      </c>
      <c r="T150" t="inlineStr">
        <is>
          <t>B-058</t>
        </is>
      </c>
      <c r="U150" t="inlineStr"/>
      <c r="V150" t="inlineStr"/>
    </row>
    <row r="151">
      <c r="A151" t="inlineStr">
        <is>
          <t>Afshin Yadollahi</t>
        </is>
      </c>
      <c r="B151" t="inlineStr">
        <is>
          <t>加拿大</t>
        </is>
      </c>
      <c r="C151" t="inlineStr">
        <is>
          <t>Toronto</t>
        </is>
      </c>
      <c r="D151" t="inlineStr"/>
      <c r="E151" t="inlineStr">
        <is>
          <t>集成商/顾问（MikroTik 认证）</t>
        </is>
      </c>
      <c r="F151" t="inlineStr">
        <is>
          <t>MikroTik 认证顾问 MTCNA+MTCRE</t>
        </is>
      </c>
      <c r="G151" t="inlineStr">
        <is>
          <t>否</t>
        </is>
      </c>
      <c r="H151" t="inlineStr">
        <is>
          <t>MikroTik 认证顾问：自己做方案/集成/运维并自行采购设备 → 用 ERPS/IGMP/VLAN/CLI/MIB 这类技术语言切入，不打价格战</t>
        </is>
      </c>
      <c r="I151" t="inlineStr">
        <is>
          <t>LT-S8328G-4XS24GT-S</t>
        </is>
      </c>
      <c r="J151" t="inlineStr">
        <is>
          <t>+1 647 463 9762 / yadollahi.afshin@gmail.com</t>
        </is>
      </c>
      <c r="K151" t="inlineStr">
        <is>
          <t>★★</t>
        </is>
      </c>
      <c r="L151" t="inlineStr">
        <is>
          <t>未触达</t>
        </is>
      </c>
      <c r="M151" t="inlineStr">
        <is>
          <t>2026-09-22</t>
        </is>
      </c>
      <c r="N151" t="inlineStr"/>
      <c r="O151" t="inlineStr"/>
      <c r="P151" t="inlineStr"/>
      <c r="Q151" t="inlineStr">
        <is>
          <t>英西波斯法四语</t>
        </is>
      </c>
      <c r="R151" t="inlineStr">
        <is>
          <t>B</t>
        </is>
      </c>
      <c r="S151" t="inlineStr">
        <is>
          <t>通用分销商信号，无差异化切入点，慢慢跟</t>
        </is>
      </c>
      <c r="T151" t="inlineStr">
        <is>
          <t>B-059</t>
        </is>
      </c>
      <c r="U151" t="inlineStr"/>
      <c r="V151" t="inlineStr"/>
    </row>
    <row r="152">
      <c r="A152" t="inlineStr">
        <is>
          <t>Cesco Electrical Supply Ltd</t>
        </is>
      </c>
      <c r="B152" t="inlineStr">
        <is>
          <t>加拿大</t>
        </is>
      </c>
      <c r="C152" t="inlineStr">
        <is>
          <t>Port Coquitlam BC</t>
        </is>
      </c>
      <c r="D152" t="inlineStr">
        <is>
          <t>cescoelectrical.com</t>
        </is>
      </c>
      <c r="E152" t="inlineStr">
        <is>
          <t>分销（HMS/N-Tron·Red Lion 渠道）</t>
        </is>
      </c>
      <c r="F152" t="inlineStr">
        <is>
          <t>N-Tron + Red Lion</t>
        </is>
      </c>
      <c r="G152" t="inlineStr">
        <is>
          <t>否</t>
        </is>
      </c>
      <c r="H152" t="inlineStr">
        <is>
          <t>卖 N-Tron/Red Lion 工业交换机（8口非网管约 $500+）→ 中性货同规格 LT-IS6310G 约 $91，做第二供应商/替换，价差 5 倍</t>
        </is>
      </c>
      <c r="I152" t="inlineStr">
        <is>
          <t>LT-IS6310G</t>
        </is>
      </c>
      <c r="J152" t="inlineStr">
        <is>
          <t>官网联系页（HMS 名录只公开地址与网址）</t>
        </is>
      </c>
      <c r="K152" t="inlineStr">
        <is>
          <t>★★</t>
        </is>
      </c>
      <c r="L152" t="inlineStr">
        <is>
          <t>未触达</t>
        </is>
      </c>
      <c r="M152" t="inlineStr">
        <is>
          <t>2026-09-22</t>
        </is>
      </c>
      <c r="N152" t="inlineStr"/>
      <c r="O152" t="inlineStr"/>
      <c r="P152" t="inlineStr"/>
      <c r="Q152" t="inlineStr"/>
      <c r="R152" t="inlineStr">
        <is>
          <t>C</t>
        </is>
      </c>
      <c r="S1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2" t="inlineStr">
        <is>
          <t>C-163</t>
        </is>
      </c>
      <c r="U152" t="inlineStr">
        <is>
          <t>B下放·无邮箱（群发触达不到）</t>
        </is>
      </c>
      <c r="V152" t="inlineStr"/>
    </row>
    <row r="153">
      <c r="A153" t="inlineStr">
        <is>
          <t>EB Horsman &amp; Son</t>
        </is>
      </c>
      <c r="B153" t="inlineStr">
        <is>
          <t>加拿大</t>
        </is>
      </c>
      <c r="C153" t="inlineStr">
        <is>
          <t>Surrey BC（另 Calgary / Edmonton AB）</t>
        </is>
      </c>
      <c r="D153" t="inlineStr">
        <is>
          <t>ebhorsman.com</t>
        </is>
      </c>
      <c r="E153" t="inlineStr">
        <is>
          <t>分销（HMS/N-Tron·Red Lion 渠道）</t>
        </is>
      </c>
      <c r="F153" t="inlineStr">
        <is>
          <t>N-Tron + Red Lion + Anybus + Ewon</t>
        </is>
      </c>
      <c r="G153" t="inlineStr">
        <is>
          <t>否</t>
        </is>
      </c>
      <c r="H153" t="inlineStr">
        <is>
          <t>卖 N-Tron/Red Lion 工业交换机（8口非网管约 $500+）→ 中性货同规格 LT-IS6310G 约 $91，做第二供应商/替换，价差 5 倍</t>
        </is>
      </c>
      <c r="I153" t="inlineStr">
        <is>
          <t>LT-IS6312XGP-4XS8GT</t>
        </is>
      </c>
      <c r="J153" t="inlineStr">
        <is>
          <t>官网联系页（HMS 名录只公开地址与网址）</t>
        </is>
      </c>
      <c r="K153" t="inlineStr">
        <is>
          <t>★★★</t>
        </is>
      </c>
      <c r="L153" t="inlineStr">
        <is>
          <t>未触达</t>
        </is>
      </c>
      <c r="M153" t="inlineStr">
        <is>
          <t>2026-09-22</t>
        </is>
      </c>
      <c r="N153" t="inlineStr"/>
      <c r="O153" t="inlineStr"/>
      <c r="P153" t="inlineStr"/>
      <c r="Q153" t="inlineStr">
        <is>
          <t>加拿大西部电气分销，3 家分公司</t>
        </is>
      </c>
      <c r="R153" t="inlineStr">
        <is>
          <t>C</t>
        </is>
      </c>
      <c r="S1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53" t="inlineStr">
        <is>
          <t>C-164</t>
        </is>
      </c>
      <c r="U153" t="inlineStr">
        <is>
          <t>B下放·无邮箱（群发触达不到）</t>
        </is>
      </c>
      <c r="V153" t="inlineStr"/>
    </row>
    <row r="154">
      <c r="A154" t="inlineStr">
        <is>
          <t>Falak Sheth</t>
        </is>
      </c>
      <c r="B154" t="inlineStr">
        <is>
          <t>加拿大</t>
        </is>
      </c>
      <c r="C154" t="inlineStr">
        <is>
          <t>Brampton, ON</t>
        </is>
      </c>
      <c r="D154" t="inlineStr"/>
      <c r="E154" t="inlineStr">
        <is>
          <t>集成商/顾问（MikroTik 认证）</t>
        </is>
      </c>
      <c r="F154" t="inlineStr">
        <is>
          <t>MikroTik 认证顾问 MTCNA+MTCRE</t>
        </is>
      </c>
      <c r="G154" t="inlineStr">
        <is>
          <t>否</t>
        </is>
      </c>
      <c r="H154" t="inlineStr">
        <is>
          <t>MikroTik 认证顾问：自己做方案/集成/运维并自行采购设备 → 用 ERPS/IGMP/VLAN/CLI/MIB 这类技术语言切入，不打价格战</t>
        </is>
      </c>
      <c r="I154" t="inlineStr">
        <is>
          <t>LT-S8328G-4XS24GT-S</t>
        </is>
      </c>
      <c r="J154" t="inlineStr">
        <is>
          <t>+1 647 615 2151 / sheth2151@gmail.com</t>
        </is>
      </c>
      <c r="K154" t="inlineStr">
        <is>
          <t>★★</t>
        </is>
      </c>
      <c r="L154" t="inlineStr">
        <is>
          <t>未触达</t>
        </is>
      </c>
      <c r="M154" t="inlineStr">
        <is>
          <t>2026-09-22</t>
        </is>
      </c>
      <c r="N154" t="inlineStr"/>
      <c r="O154" t="inlineStr"/>
      <c r="P154" t="inlineStr"/>
      <c r="Q154" t="inlineStr"/>
      <c r="R154" t="inlineStr">
        <is>
          <t>B</t>
        </is>
      </c>
      <c r="S154" t="inlineStr">
        <is>
          <t>通用分销商信号，无差异化切入点，慢慢跟</t>
        </is>
      </c>
      <c r="T154" t="inlineStr">
        <is>
          <t>B-062</t>
        </is>
      </c>
      <c r="U154" t="inlineStr"/>
      <c r="V154" t="inlineStr"/>
    </row>
    <row r="155">
      <c r="A155" t="inlineStr">
        <is>
          <t>Frédéric Gauthier / ProRéseau</t>
        </is>
      </c>
      <c r="B155" t="inlineStr">
        <is>
          <t>加拿大</t>
        </is>
      </c>
      <c r="C155" t="inlineStr">
        <is>
          <t>Québec</t>
        </is>
      </c>
      <c r="D155" t="inlineStr">
        <is>
          <t>proreseau.net</t>
        </is>
      </c>
      <c r="E155" t="inlineStr">
        <is>
          <t>集成商/顾问（MikroTik 认证）</t>
        </is>
      </c>
      <c r="F155" t="inlineStr">
        <is>
          <t>MikroTik 认证顾问 MTCNA+MTCSE+MTCEWE</t>
        </is>
      </c>
      <c r="G155" t="inlineStr">
        <is>
          <t>否</t>
        </is>
      </c>
      <c r="H155" t="inlineStr">
        <is>
          <t>MikroTik 认证顾问：自己做方案/集成/运维并自行采购设备 → 用 ERPS/IGMP/VLAN/CLI/MIB 这类技术语言切入，不打价格战</t>
        </is>
      </c>
      <c r="I155" t="inlineStr">
        <is>
          <t>LT-S8328G-4XS24GT-S</t>
        </is>
      </c>
      <c r="J155" t="inlineStr">
        <is>
          <t>+1 418 933 1285 / fgauthier@proreseau.net</t>
        </is>
      </c>
      <c r="K155" t="inlineStr">
        <is>
          <t>★★</t>
        </is>
      </c>
      <c r="L155" t="inlineStr">
        <is>
          <t>未触达</t>
        </is>
      </c>
      <c r="M155" t="inlineStr">
        <is>
          <t>2026-09-22</t>
        </is>
      </c>
      <c r="N155" t="inlineStr"/>
      <c r="O155" t="inlineStr"/>
      <c r="P155" t="inlineStr"/>
      <c r="Q155" t="inlineStr"/>
      <c r="R155" t="inlineStr">
        <is>
          <t>B</t>
        </is>
      </c>
      <c r="S155" t="inlineStr">
        <is>
          <t>通用分销商信号，无差异化切入点，慢慢跟</t>
        </is>
      </c>
      <c r="T155" t="inlineStr">
        <is>
          <t>B-063</t>
        </is>
      </c>
      <c r="U155" t="inlineStr"/>
      <c r="V155" t="inlineStr"/>
    </row>
    <row r="156">
      <c r="A156" t="inlineStr">
        <is>
          <t>Gerald Paul Mamaril</t>
        </is>
      </c>
      <c r="B156" t="inlineStr">
        <is>
          <t>加拿大</t>
        </is>
      </c>
      <c r="C156" t="inlineStr">
        <is>
          <t>Hamilton, ON</t>
        </is>
      </c>
      <c r="D156" t="inlineStr"/>
      <c r="E156" t="inlineStr">
        <is>
          <t>集成商/顾问（MikroTik 认证）</t>
        </is>
      </c>
      <c r="F156" t="inlineStr">
        <is>
          <t>MikroTik 认证顾问 MTCNA+MTCRE+MTCUME</t>
        </is>
      </c>
      <c r="G156" t="inlineStr">
        <is>
          <t>否</t>
        </is>
      </c>
      <c r="H156" t="inlineStr">
        <is>
          <t>MikroTik 认证顾问：自己做方案/集成/运维并自行采购设备 → 用 ERPS/IGMP/VLAN/CLI/MIB 这类技术语言切入，不打价格战</t>
        </is>
      </c>
      <c r="I156" t="inlineStr">
        <is>
          <t>LT-S8328G-4XS24GT-S</t>
        </is>
      </c>
      <c r="J156" t="inlineStr">
        <is>
          <t>+1 289 921 6314 / mamarilgeraldpaul22@gmail.com</t>
        </is>
      </c>
      <c r="K156" t="inlineStr">
        <is>
          <t>★★</t>
        </is>
      </c>
      <c r="L156" t="inlineStr">
        <is>
          <t>未触达</t>
        </is>
      </c>
      <c r="M156" t="inlineStr">
        <is>
          <t>2026-09-22</t>
        </is>
      </c>
      <c r="N156" t="inlineStr"/>
      <c r="O156" t="inlineStr"/>
      <c r="P156" t="inlineStr"/>
      <c r="Q156" t="inlineStr"/>
      <c r="R156" t="inlineStr">
        <is>
          <t>B</t>
        </is>
      </c>
      <c r="S156" t="inlineStr">
        <is>
          <t>通用分销商信号，无差异化切入点，慢慢跟</t>
        </is>
      </c>
      <c r="T156" t="inlineStr">
        <is>
          <t>B-064</t>
        </is>
      </c>
      <c r="U156" t="inlineStr"/>
      <c r="V156" t="inlineStr"/>
    </row>
    <row r="157">
      <c r="A157" t="inlineStr">
        <is>
          <t>Globall Distribution</t>
        </is>
      </c>
      <c r="B157" t="inlineStr">
        <is>
          <t>加拿大</t>
        </is>
      </c>
      <c r="C157" t="inlineStr"/>
      <c r="D157" t="inlineStr">
        <is>
          <t>globall.ca</t>
        </is>
      </c>
      <c r="E157" t="inlineStr">
        <is>
          <t>分销（PLANET 授权）</t>
        </is>
      </c>
      <c r="F157" t="inlineStr">
        <is>
          <t>PLANET（台厂工业/商用交换机）</t>
        </is>
      </c>
      <c r="G157" t="inlineStr">
        <is>
          <t>否</t>
        </is>
      </c>
      <c r="H157" t="inlineStr">
        <is>
          <t>加拿大 PLANET 分销商，在售工业 PoE 与 DIN 导轨型号</t>
        </is>
      </c>
      <c r="I157" t="inlineStr">
        <is>
          <t>LT-IS6312XGP-4XS8GT</t>
        </is>
      </c>
      <c r="J157" t="inlineStr">
        <is>
          <t>官网 Contact 页</t>
        </is>
      </c>
      <c r="K157" t="inlineStr">
        <is>
          <t>★★</t>
        </is>
      </c>
      <c r="L157" t="inlineStr">
        <is>
          <t>未触达</t>
        </is>
      </c>
      <c r="M157" t="inlineStr">
        <is>
          <t>PLANET 经销商名录/2026-09</t>
        </is>
      </c>
      <c r="N157" t="inlineStr"/>
      <c r="O157" t="inlineStr"/>
      <c r="P157" t="inlineStr"/>
      <c r="Q157" t="inlineStr">
        <is>
          <t>【2026-09-22 新增】globall.ca 自述 Canadian Distributor of Planet Networking &amp; Communication，在售 IGS-504HPT、IGS-801M、WGS-5225-8P2S 等工业型号。</t>
        </is>
      </c>
      <c r="R157" t="inlineStr">
        <is>
          <t>C</t>
        </is>
      </c>
      <c r="S1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157" t="inlineStr">
        <is>
          <t>C-165</t>
        </is>
      </c>
      <c r="U157" t="inlineStr">
        <is>
          <t>B下放·无邮箱（群发触达不到）</t>
        </is>
      </c>
      <c r="V157" t="inlineStr"/>
    </row>
    <row r="158">
      <c r="A158" t="inlineStr">
        <is>
          <t>Hussein Khalil</t>
        </is>
      </c>
      <c r="B158" t="inlineStr">
        <is>
          <t>加拿大</t>
        </is>
      </c>
      <c r="C158" t="inlineStr">
        <is>
          <t>Calgary</t>
        </is>
      </c>
      <c r="D158" t="inlineStr"/>
      <c r="E158" t="inlineStr">
        <is>
          <t>集成商/顾问（MikroTik 认证）</t>
        </is>
      </c>
      <c r="F158" t="inlineStr">
        <is>
          <t>MikroTik 认证顾问 MTCNA+MTCRE+MTCTCE</t>
        </is>
      </c>
      <c r="G158" t="inlineStr">
        <is>
          <t>否</t>
        </is>
      </c>
      <c r="H158" t="inlineStr">
        <is>
          <t>MikroTik 认证顾问：自己做方案/集成/运维并自行采购设备 → 用 ERPS/IGMP/VLAN/CLI/MIB 这类技术语言切入，不打价格战</t>
        </is>
      </c>
      <c r="I158" t="inlineStr">
        <is>
          <t>LT-S8328G-4XS24GT-S</t>
        </is>
      </c>
      <c r="J158" t="inlineStr">
        <is>
          <t>+1 403 973 6789 / hkhalil_7@hotmail.com</t>
        </is>
      </c>
      <c r="K158" t="inlineStr">
        <is>
          <t>★★</t>
        </is>
      </c>
      <c r="L158" t="inlineStr">
        <is>
          <t>未触达</t>
        </is>
      </c>
      <c r="M158" t="inlineStr">
        <is>
          <t>2026-09-22</t>
        </is>
      </c>
      <c r="N158" t="inlineStr"/>
      <c r="O158" t="inlineStr"/>
      <c r="P158" t="inlineStr"/>
      <c r="Q158" t="inlineStr">
        <is>
          <t>MikroTik 顾问兼讲师，覆盖防火墙、QoS、桥接、高级路由协议、无线等全部特性</t>
        </is>
      </c>
      <c r="R158" t="inlineStr">
        <is>
          <t>B</t>
        </is>
      </c>
      <c r="S158" t="inlineStr">
        <is>
          <t>通用分销商信号，无差异化切入点，慢慢跟</t>
        </is>
      </c>
      <c r="T158" t="inlineStr">
        <is>
          <t>B-066</t>
        </is>
      </c>
      <c r="U158" t="inlineStr"/>
      <c r="V158" t="inlineStr"/>
    </row>
    <row r="159">
      <c r="A159" t="inlineStr">
        <is>
          <t>JRS Global Technologies Ltd</t>
        </is>
      </c>
      <c r="B159" t="inlineStr">
        <is>
          <t>加拿大</t>
        </is>
      </c>
      <c r="C159" t="inlineStr">
        <is>
          <t>Ontario</t>
        </is>
      </c>
      <c r="D159" t="inlineStr">
        <is>
          <t>jrsglcanada.com</t>
        </is>
      </c>
      <c r="E159" t="inlineStr">
        <is>
          <t>分销（MikroTik 官方）</t>
        </is>
      </c>
      <c r="F159" t="inlineStr">
        <is>
          <t>MikroTik（Master+VAD）</t>
        </is>
      </c>
      <c r="G159" t="inlineStr">
        <is>
          <t>否</t>
        </is>
      </c>
      <c r="H159" t="inlineStr">
        <is>
          <t>MikroTik 官方分销，商用线可直接比价，工业线为零 → 新品类增量</t>
        </is>
      </c>
      <c r="I159" t="inlineStr">
        <is>
          <t>LT-S8328XG-4XS8GT-S</t>
        </is>
      </c>
      <c r="J159" t="inlineStr">
        <is>
          <t>+1 905 805 6660 / Sales@jrsgl.com</t>
        </is>
      </c>
      <c r="K159" t="inlineStr">
        <is>
          <t>★★★</t>
        </is>
      </c>
      <c r="L159" t="inlineStr">
        <is>
          <t>未触达</t>
        </is>
      </c>
      <c r="M159" t="inlineStr">
        <is>
          <t>2026-09-22</t>
        </is>
      </c>
      <c r="N159" t="inlineStr"/>
      <c r="O159" t="inlineStr"/>
      <c r="P159" t="inlineStr"/>
      <c r="Q159" t="inlineStr">
        <is>
          <t>Oakville</t>
        </is>
      </c>
      <c r="R159" t="inlineStr">
        <is>
          <t>B</t>
        </is>
      </c>
      <c r="S159" t="inlineStr">
        <is>
          <t>通用分销商信号，无差异化切入点，慢慢跟</t>
        </is>
      </c>
      <c r="T159" t="inlineStr">
        <is>
          <t>B-067</t>
        </is>
      </c>
      <c r="U159" t="inlineStr"/>
      <c r="V159" t="inlineStr"/>
    </row>
    <row r="160">
      <c r="A160" t="inlineStr">
        <is>
          <t>MBSI WAV</t>
        </is>
      </c>
      <c r="B160" t="inlineStr">
        <is>
          <t>加拿大</t>
        </is>
      </c>
      <c r="C160" t="inlineStr">
        <is>
          <t>Alberta</t>
        </is>
      </c>
      <c r="D160" t="inlineStr">
        <is>
          <t>mbsiwav.com</t>
        </is>
      </c>
      <c r="E160" t="inlineStr">
        <is>
          <t>分销（MikroTik 官方）</t>
        </is>
      </c>
      <c r="F160" t="inlineStr">
        <is>
          <t>MikroTik（Master+VAD）</t>
        </is>
      </c>
      <c r="G160" t="inlineStr">
        <is>
          <t>否</t>
        </is>
      </c>
      <c r="H160" t="inlineStr">
        <is>
          <t>WAV 集团加拿大主体（美加一体）</t>
        </is>
      </c>
      <c r="I160" t="inlineStr">
        <is>
          <t>LT-IS6312XGP-4XS8GT</t>
        </is>
      </c>
      <c r="J160" t="inlineStr">
        <is>
          <t>+1 866 597 6274 / sales@mbsiwav.com</t>
        </is>
      </c>
      <c r="K160" t="inlineStr">
        <is>
          <t>★★★</t>
        </is>
      </c>
      <c r="L160" t="inlineStr">
        <is>
          <t>未触达</t>
        </is>
      </c>
      <c r="M160" t="inlineStr">
        <is>
          <t>2026-09-22</t>
        </is>
      </c>
      <c r="N160" t="inlineStr"/>
      <c r="O160" t="inlineStr"/>
      <c r="P160" t="inlineStr"/>
      <c r="Q160" t="inlineStr">
        <is>
          <t>Medicine Hat</t>
        </is>
      </c>
      <c r="R160" t="inlineStr">
        <is>
          <t>B</t>
        </is>
      </c>
      <c r="S160" t="inlineStr">
        <is>
          <t>通用分销商信号，无差异化切入点，慢慢跟</t>
        </is>
      </c>
      <c r="T160" t="inlineStr">
        <is>
          <t>B-068</t>
        </is>
      </c>
      <c r="U160" t="inlineStr"/>
      <c r="V160" t="inlineStr"/>
    </row>
    <row r="161">
      <c r="A161" t="inlineStr">
        <is>
          <t>Mahkesis Group Inc.</t>
        </is>
      </c>
      <c r="B161" t="inlineStr">
        <is>
          <t>加拿大</t>
        </is>
      </c>
      <c r="C161" t="inlineStr">
        <is>
          <t>Manitoba</t>
        </is>
      </c>
      <c r="D161" t="inlineStr">
        <is>
          <t>shop.mahkesis.com</t>
        </is>
      </c>
      <c r="E161" t="inlineStr">
        <is>
          <t>分销（MikroTik 官方）</t>
        </is>
      </c>
      <c r="F161" t="inlineStr">
        <is>
          <t>MikroTik（Reseller）</t>
        </is>
      </c>
      <c r="G161" t="inlineStr">
        <is>
          <t>否</t>
        </is>
      </c>
      <c r="H161" t="inlineStr">
        <is>
          <t>卖 MikroTik 但缺工业/ERPS/PoE++ → 用同价位工业线补他的产品缺口</t>
        </is>
      </c>
      <c r="I161" t="inlineStr">
        <is>
          <t>LT-IS6312XG-4XS8GT</t>
        </is>
      </c>
      <c r="J161" t="inlineStr">
        <is>
          <t>+1 204 949 4012 / admin@mahkesis.com</t>
        </is>
      </c>
      <c r="K161" t="inlineStr">
        <is>
          <t>★★★</t>
        </is>
      </c>
      <c r="L161" t="inlineStr">
        <is>
          <t>未触达</t>
        </is>
      </c>
      <c r="M161" t="inlineStr">
        <is>
          <t>2026-09-22</t>
        </is>
      </c>
      <c r="N161" t="inlineStr"/>
      <c r="O161" t="inlineStr"/>
      <c r="P161" t="inlineStr"/>
      <c r="Q161" t="inlineStr">
        <is>
          <t>Winnipeg</t>
        </is>
      </c>
      <c r="R161" t="inlineStr">
        <is>
          <t>B</t>
        </is>
      </c>
      <c r="S161" t="inlineStr">
        <is>
          <t>通用分销商信号，无差异化切入点，慢慢跟</t>
        </is>
      </c>
      <c r="T161" t="inlineStr">
        <is>
          <t>B-069</t>
        </is>
      </c>
      <c r="U161" t="inlineStr"/>
      <c r="V161" t="inlineStr"/>
    </row>
    <row r="162">
      <c r="A162" t="inlineStr">
        <is>
          <t>Optitera Global Networks Inc.</t>
        </is>
      </c>
      <c r="B162" t="inlineStr">
        <is>
          <t>加拿大</t>
        </is>
      </c>
      <c r="C162" t="inlineStr">
        <is>
          <t>Ontario</t>
        </is>
      </c>
      <c r="D162" t="inlineStr">
        <is>
          <t>optiteraglobal.ca</t>
        </is>
      </c>
      <c r="E162" t="inlineStr">
        <is>
          <t>分销（MikroTik 官方）</t>
        </is>
      </c>
      <c r="F162" t="inlineStr">
        <is>
          <t>MikroTik（Reseller）</t>
        </is>
      </c>
      <c r="G162" t="inlineStr">
        <is>
          <t>否</t>
        </is>
      </c>
      <c r="H162" t="inlineStr">
        <is>
          <t>卖 MikroTik 但缺工业/ERPS/PoE++ → 用同价位工业线补他的产品缺口</t>
        </is>
      </c>
      <c r="I162" t="inlineStr">
        <is>
          <t>LT-IS6312XG-4XS8GT</t>
        </is>
      </c>
      <c r="J162" t="inlineStr">
        <is>
          <t>+1 437 424 4024 / sales@optiteraglobal.ca</t>
        </is>
      </c>
      <c r="K162" t="inlineStr">
        <is>
          <t>★★★</t>
        </is>
      </c>
      <c r="L162" t="inlineStr">
        <is>
          <t>未触达</t>
        </is>
      </c>
      <c r="M162" t="inlineStr">
        <is>
          <t>2026-09-22</t>
        </is>
      </c>
      <c r="N162" t="inlineStr"/>
      <c r="O162" t="inlineStr"/>
      <c r="P162" t="inlineStr"/>
      <c r="Q162" t="inlineStr">
        <is>
          <t>【待补】本行由分销商名录批量导入，三星依据仅为渠道等级（分销（MikroTik 官方））与「MikroTik（Reseller）」，尚无人工核实。建议先查证其是否已有工业交换机 / PoE++ 产品线，再定切入型号</t>
        </is>
      </c>
      <c r="R162" t="inlineStr">
        <is>
          <t>B</t>
        </is>
      </c>
      <c r="S162" t="inlineStr">
        <is>
          <t>三星依据仅为渠道等级，需求未核实，需先查证其是否已有工业/PoE 产品线</t>
        </is>
      </c>
      <c r="T162" t="inlineStr">
        <is>
          <t>B-070</t>
        </is>
      </c>
      <c r="U162" t="inlineStr"/>
      <c r="V162" t="inlineStr"/>
    </row>
    <row r="163">
      <c r="A163" t="inlineStr">
        <is>
          <t>Proax</t>
        </is>
      </c>
      <c r="B163" t="inlineStr">
        <is>
          <t>加拿大</t>
        </is>
      </c>
      <c r="C163" t="inlineStr"/>
      <c r="D163" t="inlineStr">
        <is>
          <t>proax.ca</t>
        </is>
      </c>
      <c r="E163" t="inlineStr">
        <is>
          <t>分销（Advantech 授权）</t>
        </is>
      </c>
      <c r="F163" t="inlineStr">
        <is>
          <t>Advantech 加拿大官方分销商，上架 EKI-7712G-4F 网管型（8GE+4SFP）、EKI-7712G-4FPI 宽温 PoE 等</t>
        </is>
      </c>
      <c r="G163" t="inlineStr">
        <is>
          <t>否</t>
        </is>
      </c>
      <c r="H163" t="inlineStr">
        <is>
          <t>台厂渠道话术</t>
        </is>
      </c>
      <c r="I163" t="inlineStr">
        <is>
          <t>LT-IS6312XGP-4XS8GT</t>
        </is>
      </c>
      <c r="J163" t="inlineStr">
        <is>
          <t>官网联系页</t>
        </is>
      </c>
      <c r="K163" t="inlineStr">
        <is>
          <t>★★</t>
        </is>
      </c>
      <c r="L163" t="inlineStr">
        <is>
          <t>未触达</t>
        </is>
      </c>
      <c r="M163" t="inlineStr">
        <is>
          <t>EtherWAN/Advantech 渠道名录（经销商定位法）</t>
        </is>
      </c>
      <c r="N163" t="inlineStr"/>
      <c r="O163" t="inlineStr"/>
      <c r="P163" t="inlineStr"/>
      <c r="Q163" t="inlineStr">
        <is>
          <t>【2026-09-22 补】经 Advantech（台厂）EKI 系列渠道确认为其分销商。加拿大本地发货与自提，覆盖工业通信与网络产品线。</t>
        </is>
      </c>
      <c r="R163" t="inlineStr">
        <is>
          <t>C</t>
        </is>
      </c>
      <c r="S1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163" t="inlineStr">
        <is>
          <t>C-166</t>
        </is>
      </c>
      <c r="U163" t="inlineStr">
        <is>
          <t>B下放·无邮箱（群发触达不到）</t>
        </is>
      </c>
      <c r="V163" t="inlineStr"/>
    </row>
    <row r="164">
      <c r="A164" t="inlineStr">
        <is>
          <t>Simon Miners / JMR</t>
        </is>
      </c>
      <c r="B164" t="inlineStr">
        <is>
          <t>加拿大</t>
        </is>
      </c>
      <c r="C164" t="inlineStr">
        <is>
          <t>Niagara Falls, ON</t>
        </is>
      </c>
      <c r="D164" t="inlineStr">
        <is>
          <t>jmr.ca</t>
        </is>
      </c>
      <c r="E164" t="inlineStr">
        <is>
          <t>集成商/顾问（MikroTik 认证）</t>
        </is>
      </c>
      <c r="F164" t="inlineStr">
        <is>
          <t>MikroTik 认证顾问 MTCNA+MTCRE</t>
        </is>
      </c>
      <c r="G164" t="inlineStr">
        <is>
          <t>否</t>
        </is>
      </c>
      <c r="H164" t="inlineStr">
        <is>
          <t>MikroTik 认证顾问：自己做方案/集成/运维并自行采购设备 → 用 ERPS/IGMP/VLAN/CLI/MIB 这类技术语言切入，不打价格战</t>
        </is>
      </c>
      <c r="I164" t="inlineStr">
        <is>
          <t>LT-S8328G-4XS24GT-S</t>
        </is>
      </c>
      <c r="J164" t="inlineStr">
        <is>
          <t>+1 905 374 2878 / simon@jmr.ca</t>
        </is>
      </c>
      <c r="K164" t="inlineStr">
        <is>
          <t>★★</t>
        </is>
      </c>
      <c r="L164" t="inlineStr">
        <is>
          <t>未触达</t>
        </is>
      </c>
      <c r="M164" t="inlineStr">
        <is>
          <t>2026-09-22</t>
        </is>
      </c>
      <c r="N164" t="inlineStr"/>
      <c r="O164" t="inlineStr"/>
      <c r="P164" t="inlineStr"/>
      <c r="Q164" t="inlineStr"/>
      <c r="R164" t="inlineStr">
        <is>
          <t>B</t>
        </is>
      </c>
      <c r="S164" t="inlineStr">
        <is>
          <t>通用分销商信号，无差异化切入点，慢慢跟</t>
        </is>
      </c>
      <c r="T164" t="inlineStr">
        <is>
          <t>B-072</t>
        </is>
      </c>
      <c r="U164" t="inlineStr"/>
      <c r="V164" t="inlineStr"/>
    </row>
    <row r="165">
      <c r="A165" t="inlineStr">
        <is>
          <t>Solimedia Technology Inc</t>
        </is>
      </c>
      <c r="B165" t="inlineStr">
        <is>
          <t>加拿大</t>
        </is>
      </c>
      <c r="C165" t="inlineStr">
        <is>
          <t>BC</t>
        </is>
      </c>
      <c r="D165" t="inlineStr">
        <is>
          <t>solimedia.net</t>
        </is>
      </c>
      <c r="E165" t="inlineStr">
        <is>
          <t>分销（MikroTik 官方）</t>
        </is>
      </c>
      <c r="F165" t="inlineStr">
        <is>
          <t>MikroTik（Master+VAD）</t>
        </is>
      </c>
      <c r="G165" t="inlineStr">
        <is>
          <t>否</t>
        </is>
      </c>
      <c r="H165" t="inlineStr">
        <is>
          <t>卖 MikroTik 但缺工业/ERPS/PoE++ → 用同价位工业线补他的产品缺口</t>
        </is>
      </c>
      <c r="I165" t="inlineStr">
        <is>
          <t>LT-IS6312XGP-4XS8GT</t>
        </is>
      </c>
      <c r="J165" t="inlineStr">
        <is>
          <t>+1 604 568 9797 / sales@solimedia.net</t>
        </is>
      </c>
      <c r="K165" t="inlineStr">
        <is>
          <t>★★★</t>
        </is>
      </c>
      <c r="L165" t="inlineStr">
        <is>
          <t>未触达</t>
        </is>
      </c>
      <c r="M165" t="inlineStr">
        <is>
          <t>2026-09-22</t>
        </is>
      </c>
      <c r="N165" t="inlineStr"/>
      <c r="O165" t="inlineStr"/>
      <c r="P165" t="inlineStr"/>
      <c r="Q165" t="inlineStr">
        <is>
          <t>Vancouver</t>
        </is>
      </c>
      <c r="R165" t="inlineStr">
        <is>
          <t>B</t>
        </is>
      </c>
      <c r="S165" t="inlineStr">
        <is>
          <t>通用分销商信号，无差异化切入点，慢慢跟</t>
        </is>
      </c>
      <c r="T165" t="inlineStr">
        <is>
          <t>B-073</t>
        </is>
      </c>
      <c r="U165" t="inlineStr"/>
      <c r="V165" t="inlineStr"/>
    </row>
    <row r="166">
      <c r="A166" t="inlineStr">
        <is>
          <t>Sylvain Caron</t>
        </is>
      </c>
      <c r="B166" t="inlineStr">
        <is>
          <t>加拿大</t>
        </is>
      </c>
      <c r="C166" t="inlineStr">
        <is>
          <t>Lévis, QC</t>
        </is>
      </c>
      <c r="D166" t="inlineStr"/>
      <c r="E166" t="inlineStr">
        <is>
          <t>集成商/顾问（MikroTik 认证）</t>
        </is>
      </c>
      <c r="F166" t="inlineStr">
        <is>
          <t>MikroTik 认证顾问 MTCNA+MTCWE+MTCRE+MTCTCE+MTCINE+MTCSE</t>
        </is>
      </c>
      <c r="G166" t="inlineStr">
        <is>
          <t>否</t>
        </is>
      </c>
      <c r="H166" t="inlineStr">
        <is>
          <t>MikroTik 认证顾问：自己做方案/集成/运维并自行采购设备 → 用 ERPS/IGMP/VLAN/CLI/MIB 这类技术语言切入，不打价格战</t>
        </is>
      </c>
      <c r="I166" t="inlineStr">
        <is>
          <t>LT-S8328XG-4XS24GT-S</t>
        </is>
      </c>
      <c r="J166" t="inlineStr">
        <is>
          <t>581-681-5641 / scaron999@hotmail.com</t>
        </is>
      </c>
      <c r="K166" t="inlineStr">
        <is>
          <t>★★★</t>
        </is>
      </c>
      <c r="L166" t="inlineStr">
        <is>
          <t>未触达</t>
        </is>
      </c>
      <c r="M166" t="inlineStr">
        <is>
          <t>2026-09-22</t>
        </is>
      </c>
      <c r="N166" t="inlineStr"/>
      <c r="O166" t="inlineStr"/>
      <c r="P166" t="inlineStr"/>
      <c r="Q166" t="inlineStr">
        <is>
          <t>6 证含 MTCINE（ISP 互联）</t>
        </is>
      </c>
      <c r="R166" t="inlineStr">
        <is>
          <t>B</t>
        </is>
      </c>
      <c r="S166" t="inlineStr">
        <is>
          <t>有信号（ISP/骨干）但需先验证需求或联系人不具体</t>
        </is>
      </c>
      <c r="T166" t="inlineStr">
        <is>
          <t>B-074</t>
        </is>
      </c>
      <c r="U166" t="inlineStr"/>
      <c r="V166" t="inlineStr"/>
    </row>
    <row r="167">
      <c r="A167" t="inlineStr">
        <is>
          <t>Wilmer Almazan / Arawi</t>
        </is>
      </c>
      <c r="B167" t="inlineStr">
        <is>
          <t>加拿大</t>
        </is>
      </c>
      <c r="C167" t="inlineStr">
        <is>
          <t>Winnipeg</t>
        </is>
      </c>
      <c r="D167" t="inlineStr">
        <is>
          <t>arawi.ca</t>
        </is>
      </c>
      <c r="E167" t="inlineStr">
        <is>
          <t>集成商/顾问（MikroTik 认证）</t>
        </is>
      </c>
      <c r="F167" t="inlineStr">
        <is>
          <t>MikroTik 认证顾问 10 证全拿</t>
        </is>
      </c>
      <c r="G167" t="inlineStr">
        <is>
          <t>否</t>
        </is>
      </c>
      <c r="H167" t="inlineStr">
        <is>
          <t>MikroTik 认证顾问：自己做方案/集成/运维并自行采购设备 → 用 ERPS/IGMP/VLAN/CLI/MIB 这类技术语言切入，不打价格战</t>
        </is>
      </c>
      <c r="I167" t="inlineStr">
        <is>
          <t>LT-S8328GP-4GX24GT-S</t>
        </is>
      </c>
      <c r="J167" t="inlineStr">
        <is>
          <t>1-431-990-6625 / info@arawi.ca</t>
        </is>
      </c>
      <c r="K167" t="inlineStr">
        <is>
          <t>★★★</t>
        </is>
      </c>
      <c r="L167" t="inlineStr">
        <is>
          <t>未触达</t>
        </is>
      </c>
      <c r="M167" t="inlineStr">
        <is>
          <t>2026-09-22</t>
        </is>
      </c>
      <c r="N167" t="inlineStr"/>
      <c r="O167" t="inlineStr"/>
      <c r="P167" t="inlineStr"/>
      <c r="Q167" t="inlineStr">
        <is>
          <t>★★ 10 证全拿 + 全资格 MikroTik 讲师；2008 年起在**加拿大与拉丁美洲**设计/优化/防护 MikroTik 网络；路由 OSPF/BGP/MPLS、无线 CAPsMAN/Mesh、企业安全；英西双语，可线上或现场</t>
        </is>
      </c>
      <c r="R167" t="inlineStr">
        <is>
          <t>B</t>
        </is>
      </c>
      <c r="S167" t="inlineStr">
        <is>
          <t>有信号（ISP/骨干、影响力/渠道）但需先验证需求或联系人不具体</t>
        </is>
      </c>
      <c r="T167" t="inlineStr">
        <is>
          <t>B-075</t>
        </is>
      </c>
      <c r="U167" t="inlineStr"/>
      <c r="V167" t="inlineStr"/>
    </row>
    <row r="168">
      <c r="A168" t="inlineStr">
        <is>
          <t>ATYS Co Controll Engineering</t>
        </is>
      </c>
      <c r="B168" t="inlineStr">
        <is>
          <t>匈牙利</t>
        </is>
      </c>
      <c r="C168" t="inlineStr"/>
      <c r="D168" t="inlineStr">
        <is>
          <t>atysco.hu</t>
        </is>
      </c>
      <c r="E168" t="inlineStr">
        <is>
          <t>分销（Westermo Reseller）</t>
        </is>
      </c>
      <c r="F168" t="inlineStr">
        <is>
          <t>Westermo</t>
        </is>
      </c>
      <c r="G168" t="inlineStr">
        <is>
          <t>否</t>
        </is>
      </c>
      <c r="H168" t="inlineStr">
        <is>
          <t>工业/轨道同规格 1/3 价第二供应源</t>
        </is>
      </c>
      <c r="I168" t="inlineStr">
        <is>
          <t>LT-IS6312XG-4XS8GT</t>
        </is>
      </c>
      <c r="J168" t="inlineStr">
        <is>
          <t>+36 126 325 61</t>
        </is>
      </c>
      <c r="K168" t="inlineStr">
        <is>
          <t>★★</t>
        </is>
      </c>
      <c r="L168" t="inlineStr">
        <is>
          <t>未触达</t>
        </is>
      </c>
      <c r="M168" t="inlineStr">
        <is>
          <t>2026-09-22</t>
        </is>
      </c>
      <c r="N168" t="inlineStr"/>
      <c r="O168" t="inlineStr"/>
      <c r="P168" t="inlineStr"/>
      <c r="Q168" t="inlineStr">
        <is>
          <t>另有罗马尼亚分公司；【2026-09-23】Westermo 官方 where-to-buy 名录确认的分销商。匈牙利 reseller（本地库存）。</t>
        </is>
      </c>
      <c r="R168" t="inlineStr">
        <is>
          <t>C</t>
        </is>
      </c>
      <c r="S1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68" t="inlineStr">
        <is>
          <t>C-167</t>
        </is>
      </c>
      <c r="U168" t="inlineStr">
        <is>
          <t>B下放·无邮箱（群发触达不到）</t>
        </is>
      </c>
      <c r="V168" t="inlineStr"/>
    </row>
    <row r="169">
      <c r="A169" t="inlineStr">
        <is>
          <t>AXTEK line Kft.</t>
        </is>
      </c>
      <c r="B169" t="inlineStr">
        <is>
          <t>匈牙利</t>
        </is>
      </c>
      <c r="C169" t="inlineStr"/>
      <c r="D169" t="inlineStr">
        <is>
          <t>axtek.hu</t>
        </is>
      </c>
      <c r="E169" t="inlineStr">
        <is>
          <t>分销（Antaira 授权）</t>
        </is>
      </c>
      <c r="F169" t="inlineStr">
        <is>
          <t>Antaira</t>
        </is>
      </c>
      <c r="G169" t="inlineStr">
        <is>
          <t>否</t>
        </is>
      </c>
      <c r="H169" t="inlineStr">
        <is>
          <t>工业/轨道同规格 1/3 价第二供应源</t>
        </is>
      </c>
      <c r="I169" t="inlineStr">
        <is>
          <t>LT-IS6312XGP-4XS8GT</t>
        </is>
      </c>
      <c r="J169" t="inlineStr">
        <is>
          <t>+36 1 700 42 70 / info@axtek.hu</t>
        </is>
      </c>
      <c r="K169" t="inlineStr">
        <is>
          <t>★★★</t>
        </is>
      </c>
      <c r="L169" t="inlineStr">
        <is>
          <t>未触达</t>
        </is>
      </c>
      <c r="M169" t="inlineStr">
        <is>
          <t>2026-09-22</t>
        </is>
      </c>
      <c r="N169" t="inlineStr"/>
      <c r="O169" t="inlineStr"/>
      <c r="P169" t="inlineStr"/>
      <c r="Q169" t="inlineStr">
        <is>
          <t>Pécel，中东欧增量市场；【2026-09-23】Antaira 官方 where-to-buy 名录确认的分销商。匈牙利分销商。</t>
        </is>
      </c>
      <c r="R169" t="inlineStr">
        <is>
          <t>B</t>
        </is>
      </c>
      <c r="S169" t="inlineStr">
        <is>
          <t>通用分销商信号，无差异化切入点，慢慢跟</t>
        </is>
      </c>
      <c r="T169" t="inlineStr">
        <is>
          <t>B-077</t>
        </is>
      </c>
      <c r="U169" t="inlineStr"/>
      <c r="V169" t="inlineStr"/>
    </row>
    <row r="170">
      <c r="A170" t="inlineStr">
        <is>
          <t>AbsolCom Kft.</t>
        </is>
      </c>
      <c r="B170" t="inlineStr">
        <is>
          <t>匈牙利</t>
        </is>
      </c>
      <c r="C170" t="inlineStr"/>
      <c r="D170" t="inlineStr">
        <is>
          <t>absolcom.hu</t>
        </is>
      </c>
      <c r="E170" t="inlineStr">
        <is>
          <t>分销（MikroTik 官方）</t>
        </is>
      </c>
      <c r="F170" t="inlineStr">
        <is>
          <t>MikroTik（Reseller）</t>
        </is>
      </c>
      <c r="G170" t="inlineStr">
        <is>
          <t>否</t>
        </is>
      </c>
      <c r="H170" t="inlineStr">
        <is>
          <t>卖 MikroTik 但缺工业/ERPS/PoE++ → 用同价位工业线补他的产品缺口</t>
        </is>
      </c>
      <c r="I170" t="inlineStr">
        <is>
          <t>LT-IS6312XG-4XS8GT</t>
        </is>
      </c>
      <c r="J170" t="inlineStr">
        <is>
          <t>+36 1 431 0116 / info@absolcom.hu</t>
        </is>
      </c>
      <c r="K170" t="inlineStr">
        <is>
          <t>★★</t>
        </is>
      </c>
      <c r="L170" t="inlineStr">
        <is>
          <t>未触达</t>
        </is>
      </c>
      <c r="M170" t="inlineStr">
        <is>
          <t>2026-09-22</t>
        </is>
      </c>
      <c r="N170" t="inlineStr"/>
      <c r="O170" t="inlineStr"/>
      <c r="P170" t="inlineStr"/>
      <c r="Q170" t="inlineStr">
        <is>
          <t>Budapest</t>
        </is>
      </c>
      <c r="R170" t="inlineStr">
        <is>
          <t>B</t>
        </is>
      </c>
      <c r="S170" t="inlineStr">
        <is>
          <t>通用分销商信号，无差异化切入点，慢慢跟</t>
        </is>
      </c>
      <c r="T170" t="inlineStr">
        <is>
          <t>B-078</t>
        </is>
      </c>
      <c r="U170" t="inlineStr"/>
      <c r="V170" t="inlineStr"/>
    </row>
    <row r="171">
      <c r="A171" t="inlineStr">
        <is>
          <t>AccessPoint Kft.</t>
        </is>
      </c>
      <c r="B171" t="inlineStr">
        <is>
          <t>匈牙利</t>
        </is>
      </c>
      <c r="C171" t="inlineStr"/>
      <c r="D171" t="inlineStr">
        <is>
          <t>accesspoint.hu</t>
        </is>
      </c>
      <c r="E171" t="inlineStr">
        <is>
          <t>分销（MikroTik 官方）</t>
        </is>
      </c>
      <c r="F171" t="inlineStr">
        <is>
          <t>MikroTik（Master）</t>
        </is>
      </c>
      <c r="G171" t="inlineStr">
        <is>
          <t>否</t>
        </is>
      </c>
      <c r="H171" t="inlineStr">
        <is>
          <t>卖 MikroTik 但缺工业/ERPS/PoE++ → 用同价位工业线补他的产品缺口</t>
        </is>
      </c>
      <c r="I171" t="inlineStr">
        <is>
          <t>LT-IS6312XG-4XS8GT</t>
        </is>
      </c>
      <c r="J171" t="inlineStr">
        <is>
          <t>+36 1 219 5345 / info@accesspoint.hu</t>
        </is>
      </c>
      <c r="K171" t="inlineStr">
        <is>
          <t>★★★</t>
        </is>
      </c>
      <c r="L171" t="inlineStr">
        <is>
          <t>未触达</t>
        </is>
      </c>
      <c r="M171" t="inlineStr">
        <is>
          <t>2026-09-22</t>
        </is>
      </c>
      <c r="N171" t="inlineStr"/>
      <c r="O171" t="inlineStr"/>
      <c r="P171" t="inlineStr"/>
      <c r="Q171" t="inlineStr">
        <is>
          <t>Budapest</t>
        </is>
      </c>
      <c r="R171" t="inlineStr">
        <is>
          <t>B</t>
        </is>
      </c>
      <c r="S171" t="inlineStr">
        <is>
          <t>通用分销商信号，无差异化切入点，慢慢跟</t>
        </is>
      </c>
      <c r="T171" t="inlineStr">
        <is>
          <t>B-079</t>
        </is>
      </c>
      <c r="U171" t="inlineStr"/>
      <c r="V171" t="inlineStr"/>
    </row>
    <row r="172">
      <c r="A172" t="inlineStr">
        <is>
          <t>András István Németh / LazyBear</t>
        </is>
      </c>
      <c r="B172" t="inlineStr">
        <is>
          <t>匈牙利</t>
        </is>
      </c>
      <c r="C172" t="inlineStr">
        <is>
          <t>Pécs</t>
        </is>
      </c>
      <c r="D172" t="inlineStr">
        <is>
          <t>lazybear.hu</t>
        </is>
      </c>
      <c r="E172" t="inlineStr">
        <is>
          <t>集成商/顾问（MikroTik 认证）</t>
        </is>
      </c>
      <c r="F172" t="inlineStr">
        <is>
          <t>MikroTik 认证顾问 MTCNA+MTCRE+MTCWE+MTCIPv6E</t>
        </is>
      </c>
      <c r="G172" t="inlineStr">
        <is>
          <t>否</t>
        </is>
      </c>
      <c r="H172" t="inlineStr">
        <is>
          <t>MikroTik 认证顾问：自己做方案/集成/运维并自行采购设备 → 用 ERPS/IGMP/VLAN/CLI/MIB 这类技术语言切入，不打价格战</t>
        </is>
      </c>
      <c r="I172" t="inlineStr">
        <is>
          <t>LT-S8328G-4XS24GT-S</t>
        </is>
      </c>
      <c r="J172" t="inlineStr">
        <is>
          <t>+36 70 226 6213 / andras.nemeth@lazybear.hu</t>
        </is>
      </c>
      <c r="K172" t="inlineStr">
        <is>
          <t>★★</t>
        </is>
      </c>
      <c r="L172" t="inlineStr">
        <is>
          <t>未触达</t>
        </is>
      </c>
      <c r="M172" t="inlineStr">
        <is>
          <t>2026-09-22</t>
        </is>
      </c>
      <c r="N172" t="inlineStr"/>
      <c r="O172" t="inlineStr"/>
      <c r="P172" t="inlineStr"/>
      <c r="Q172" t="inlineStr"/>
      <c r="R172" t="inlineStr">
        <is>
          <t>B</t>
        </is>
      </c>
      <c r="S172" t="inlineStr">
        <is>
          <t>通用分销商信号，无差异化切入点，慢慢跟</t>
        </is>
      </c>
      <c r="T172" t="inlineStr">
        <is>
          <t>B-080</t>
        </is>
      </c>
      <c r="U172" t="inlineStr"/>
      <c r="V172" t="inlineStr"/>
    </row>
    <row r="173">
      <c r="A173" t="inlineStr">
        <is>
          <t>Compmarket Hungary Zrt.</t>
        </is>
      </c>
      <c r="B173" t="inlineStr">
        <is>
          <t>匈牙利</t>
        </is>
      </c>
      <c r="C173" t="inlineStr"/>
      <c r="D173" t="inlineStr">
        <is>
          <t>compmarket.hu</t>
        </is>
      </c>
      <c r="E173" t="inlineStr">
        <is>
          <t>分销（MikroTik 官方）</t>
        </is>
      </c>
      <c r="F173" t="inlineStr">
        <is>
          <t>MikroTik（Master+VAD）</t>
        </is>
      </c>
      <c r="G173" t="inlineStr">
        <is>
          <t>否</t>
        </is>
      </c>
      <c r="H173" t="inlineStr">
        <is>
          <t>MikroTik 官方分销，商用线可直接比价，工业线为零 → 新品类增量</t>
        </is>
      </c>
      <c r="I173" t="inlineStr">
        <is>
          <t>LT-S8328XG-4XS8GT-S</t>
        </is>
      </c>
      <c r="J173" t="inlineStr">
        <is>
          <t>+36 1 222 6403 / rakos.zoltan@compmarket.hu</t>
        </is>
      </c>
      <c r="K173" t="inlineStr">
        <is>
          <t>★★★</t>
        </is>
      </c>
      <c r="L173" t="inlineStr">
        <is>
          <t>未触达</t>
        </is>
      </c>
      <c r="M173" t="inlineStr">
        <is>
          <t>2026-09-22</t>
        </is>
      </c>
      <c r="N173" t="inlineStr"/>
      <c r="O173" t="inlineStr"/>
      <c r="P173" t="inlineStr"/>
      <c r="Q173" t="inlineStr">
        <is>
          <t>Budapest</t>
        </is>
      </c>
      <c r="R173" t="inlineStr">
        <is>
          <t>B</t>
        </is>
      </c>
      <c r="S173" t="inlineStr">
        <is>
          <t>通用分销商信号，无差异化切入点，慢慢跟</t>
        </is>
      </c>
      <c r="T173" t="inlineStr">
        <is>
          <t>B-081</t>
        </is>
      </c>
      <c r="U173" t="inlineStr"/>
      <c r="V173" t="inlineStr"/>
    </row>
    <row r="174">
      <c r="A174" t="inlineStr">
        <is>
          <t>Controsys Control Engineering Ltd.</t>
        </is>
      </c>
      <c r="B174" t="inlineStr">
        <is>
          <t>匈牙利</t>
        </is>
      </c>
      <c r="C174" t="inlineStr">
        <is>
          <t>Budapest</t>
        </is>
      </c>
      <c r="D174" t="inlineStr">
        <is>
          <t>controsys.hu</t>
        </is>
      </c>
      <c r="E174" t="inlineStr">
        <is>
          <t>分销（HMS/N-Tron·Red Lion 渠道）</t>
        </is>
      </c>
      <c r="F174" t="inlineStr">
        <is>
          <t>N-Tron + Red Lion</t>
        </is>
      </c>
      <c r="G174" t="inlineStr">
        <is>
          <t>否</t>
        </is>
      </c>
      <c r="H174" t="inlineStr">
        <is>
          <t>卖 N-Tron/Red Lion 工业交换机（8口非网管约 $500+）→ 中性货同规格 LT-IS6310G 约 $91，做第二供应商，价差 5 倍</t>
        </is>
      </c>
      <c r="I174" t="inlineStr">
        <is>
          <t>LT-IS6312XG-4XS8GT</t>
        </is>
      </c>
      <c r="J174" t="inlineStr">
        <is>
          <t>官网联系页（HMS 名录只公开地址与网址）</t>
        </is>
      </c>
      <c r="K174" t="inlineStr">
        <is>
          <t>★★★</t>
        </is>
      </c>
      <c r="L174" t="inlineStr">
        <is>
          <t>未触达</t>
        </is>
      </c>
      <c r="M174" t="inlineStr">
        <is>
          <t>2026-09-22</t>
        </is>
      </c>
      <c r="N174" t="inlineStr"/>
      <c r="O174" t="inlineStr"/>
      <c r="P174" t="inlineStr"/>
      <c r="Q17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174" t="inlineStr">
        <is>
          <t>C</t>
        </is>
      </c>
      <c r="S1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174" t="inlineStr">
        <is>
          <t>C-168</t>
        </is>
      </c>
      <c r="U174" t="inlineStr">
        <is>
          <t>B下放·无邮箱（群发触达不到）</t>
        </is>
      </c>
      <c r="V174" t="inlineStr"/>
    </row>
    <row r="175">
      <c r="A175" t="inlineStr">
        <is>
          <t>David Csongradi</t>
        </is>
      </c>
      <c r="B175" t="inlineStr">
        <is>
          <t>匈牙利</t>
        </is>
      </c>
      <c r="C175" t="inlineStr">
        <is>
          <t>Budapest</t>
        </is>
      </c>
      <c r="D175" t="inlineStr">
        <is>
          <t>csongradidavid.hu</t>
        </is>
      </c>
      <c r="E175" t="inlineStr">
        <is>
          <t>集成商/顾问（MikroTik 认证）</t>
        </is>
      </c>
      <c r="F175" t="inlineStr">
        <is>
          <t>MikroTik 认证顾问 MTCNA+MTCRE+MTCWE+MTCTCE+MTCUME+MTCINE+MTCIPv6E+MTCSE</t>
        </is>
      </c>
      <c r="G175" t="inlineStr">
        <is>
          <t>否</t>
        </is>
      </c>
      <c r="H175" t="inlineStr">
        <is>
          <t>MikroTik 认证顾问：自己做方案/集成/运维并自行采购设备 → 用 ERPS/IGMP/VLAN/CLI/MIB 这类技术语言切入，不打价格战</t>
        </is>
      </c>
      <c r="I175" t="inlineStr">
        <is>
          <t>LT-S8328XGP-4XS24GT-S</t>
        </is>
      </c>
      <c r="J175" t="inlineStr">
        <is>
          <t>+36 30 616 9819 / mikrotik@csongradidavid.hu</t>
        </is>
      </c>
      <c r="K175" t="inlineStr">
        <is>
          <t>★★★</t>
        </is>
      </c>
      <c r="L175" t="inlineStr">
        <is>
          <t>未触达</t>
        </is>
      </c>
      <c r="M175" t="inlineStr">
        <is>
          <t>2026-09-22</t>
        </is>
      </c>
      <c r="N175" t="inlineStr"/>
      <c r="O175" t="inlineStr"/>
      <c r="P175" t="inlineStr"/>
      <c r="Q175" t="inlineStr">
        <is>
          <t>8 证，含 MTCINE（ISP 互联）+ MTCTCE（流量控制）+ MTCUME（用户管理）</t>
        </is>
      </c>
      <c r="R175" t="inlineStr">
        <is>
          <t>B</t>
        </is>
      </c>
      <c r="S175" t="inlineStr">
        <is>
          <t>有信号（ISP/骨干）但需先验证需求或联系人不具体</t>
        </is>
      </c>
      <c r="T175" t="inlineStr">
        <is>
          <t>B-083</t>
        </is>
      </c>
      <c r="U175" t="inlineStr"/>
      <c r="V175" t="inlineStr"/>
    </row>
    <row r="176">
      <c r="A176" t="inlineStr">
        <is>
          <t>Expert Zrt.</t>
        </is>
      </c>
      <c r="B176" t="inlineStr">
        <is>
          <t>匈牙利</t>
        </is>
      </c>
      <c r="C176" t="inlineStr"/>
      <c r="D176" t="inlineStr">
        <is>
          <t>expert.hu</t>
        </is>
      </c>
      <c r="E176" t="inlineStr">
        <is>
          <t>分销（MikroTik 官方）</t>
        </is>
      </c>
      <c r="F176" t="inlineStr">
        <is>
          <t>MikroTik（Master+VAD）</t>
        </is>
      </c>
      <c r="G176" t="inlineStr">
        <is>
          <t>否</t>
        </is>
      </c>
      <c r="H176" t="inlineStr">
        <is>
          <t>MikroTik 官方分销，商用线可直接比价，工业线为零 → 新品类增量</t>
        </is>
      </c>
      <c r="I176" t="inlineStr">
        <is>
          <t>LT-S8328GP-4GX24GT</t>
        </is>
      </c>
      <c r="J176" t="inlineStr">
        <is>
          <t>+36 30 906 3854 / network@expert.hu</t>
        </is>
      </c>
      <c r="K176" t="inlineStr">
        <is>
          <t>★★★</t>
        </is>
      </c>
      <c r="L176" t="inlineStr">
        <is>
          <t>未触达</t>
        </is>
      </c>
      <c r="M176" t="inlineStr">
        <is>
          <t>2026-09-22</t>
        </is>
      </c>
      <c r="N176" t="inlineStr"/>
      <c r="O176" t="inlineStr"/>
      <c r="P176" t="inlineStr"/>
      <c r="Q176" t="inlineStr">
        <is>
          <t>Budapest</t>
        </is>
      </c>
      <c r="R176" t="inlineStr">
        <is>
          <t>B</t>
        </is>
      </c>
      <c r="S176" t="inlineStr">
        <is>
          <t>通用分销商信号，无差异化切入点，慢慢跟</t>
        </is>
      </c>
      <c r="T176" t="inlineStr">
        <is>
          <t>B-084</t>
        </is>
      </c>
      <c r="U176" t="inlineStr"/>
      <c r="V176" t="inlineStr"/>
    </row>
    <row r="177">
      <c r="A177" t="inlineStr">
        <is>
          <t>Richárd Szabolcs Tóth</t>
        </is>
      </c>
      <c r="B177" t="inlineStr">
        <is>
          <t>匈牙利</t>
        </is>
      </c>
      <c r="C177" t="inlineStr">
        <is>
          <t>Pécs</t>
        </is>
      </c>
      <c r="D177" t="inlineStr"/>
      <c r="E177" t="inlineStr">
        <is>
          <t>集成商/顾问（MikroTik 认证）</t>
        </is>
      </c>
      <c r="F177" t="inlineStr">
        <is>
          <t>MikroTik 认证顾问 MTCNA+MTCRE+MTCIPv6E</t>
        </is>
      </c>
      <c r="G177" t="inlineStr">
        <is>
          <t>否</t>
        </is>
      </c>
      <c r="H177" t="inlineStr">
        <is>
          <t>MikroTik 认证顾问：自己做方案/集成/运维并自行采购设备 → 用 ERPS/IGMP/VLAN/CLI/MIB 这类技术语言切入，不打价格战</t>
        </is>
      </c>
      <c r="I177" t="inlineStr">
        <is>
          <t>LT-S8328G-4XS24GT-S</t>
        </is>
      </c>
      <c r="J177" t="inlineStr">
        <is>
          <t>+36 30 930 4158 / toth.richardszabolcs@gmail.com</t>
        </is>
      </c>
      <c r="K177" t="inlineStr">
        <is>
          <t>★★</t>
        </is>
      </c>
      <c r="L177" t="inlineStr">
        <is>
          <t>未触达</t>
        </is>
      </c>
      <c r="M177" t="inlineStr">
        <is>
          <t>2026-09-22</t>
        </is>
      </c>
      <c r="N177" t="inlineStr"/>
      <c r="O177" t="inlineStr"/>
      <c r="P177" t="inlineStr"/>
      <c r="Q177" t="inlineStr">
        <is>
          <t>有线与无线网络，家庭与中小企业</t>
        </is>
      </c>
      <c r="R177" t="inlineStr">
        <is>
          <t>B</t>
        </is>
      </c>
      <c r="S177" t="inlineStr">
        <is>
          <t>通用分销商信号，无差异化切入点，慢慢跟</t>
        </is>
      </c>
      <c r="T177" t="inlineStr">
        <is>
          <t>B-085</t>
        </is>
      </c>
      <c r="U177" t="inlineStr"/>
      <c r="V177" t="inlineStr"/>
    </row>
    <row r="178">
      <c r="A178" t="inlineStr">
        <is>
          <t>Wireless-Bolt</t>
        </is>
      </c>
      <c r="B178" t="inlineStr">
        <is>
          <t>匈牙利</t>
        </is>
      </c>
      <c r="C178" t="inlineStr"/>
      <c r="D178" t="inlineStr">
        <is>
          <t>wireless-bolt.hu</t>
        </is>
      </c>
      <c r="E178" t="inlineStr">
        <is>
          <t>分销（MikroTik 官方）</t>
        </is>
      </c>
      <c r="F178" t="inlineStr">
        <is>
          <t>MikroTik（Reseller）</t>
        </is>
      </c>
      <c r="G178" t="inlineStr">
        <is>
          <t>否</t>
        </is>
      </c>
      <c r="H178" t="inlineStr">
        <is>
          <t>卖 MikroTik 但缺工业/ERPS/PoE++ → 用同价位工业线补他的产品缺口</t>
        </is>
      </c>
      <c r="I178" t="inlineStr">
        <is>
          <t>LT-IS6312XGP-4XS8GT</t>
        </is>
      </c>
      <c r="J178" t="inlineStr">
        <is>
          <t>+36 20 927 2662 / info@wireless-bolt.hu</t>
        </is>
      </c>
      <c r="K178" t="inlineStr">
        <is>
          <t>★★</t>
        </is>
      </c>
      <c r="L178" t="inlineStr">
        <is>
          <t>未触达</t>
        </is>
      </c>
      <c r="M178" t="inlineStr">
        <is>
          <t>2026-09-22</t>
        </is>
      </c>
      <c r="N178" t="inlineStr"/>
      <c r="O178" t="inlineStr"/>
      <c r="P178" t="inlineStr"/>
      <c r="Q178" t="inlineStr">
        <is>
          <t>Albertirsa</t>
        </is>
      </c>
      <c r="R178" t="inlineStr">
        <is>
          <t>B</t>
        </is>
      </c>
      <c r="S178" t="inlineStr">
        <is>
          <t>通用分销商信号，无差异化切入点，慢慢跟</t>
        </is>
      </c>
      <c r="T178" t="inlineStr">
        <is>
          <t>B-086</t>
        </is>
      </c>
      <c r="U178" t="inlineStr"/>
      <c r="V178" t="inlineStr"/>
    </row>
    <row r="179">
      <c r="A179" t="inlineStr">
        <is>
          <t>ALL4NET DOOEL</t>
        </is>
      </c>
      <c r="B179" t="inlineStr">
        <is>
          <t>北马其顿</t>
        </is>
      </c>
      <c r="C179" t="inlineStr"/>
      <c r="D179" t="inlineStr">
        <is>
          <t>toten.com.mk</t>
        </is>
      </c>
      <c r="E179" t="inlineStr">
        <is>
          <t>分销（MikroTik 官方）</t>
        </is>
      </c>
      <c r="F179" t="inlineStr">
        <is>
          <t>MikroTik（Master+VAD）</t>
        </is>
      </c>
      <c r="G179" t="inlineStr">
        <is>
          <t>否</t>
        </is>
      </c>
      <c r="H179" t="inlineStr">
        <is>
          <t>MikroTik 官方分销，商用线可直接比价，工业线为零 → 新品类增量</t>
        </is>
      </c>
      <c r="I179" t="inlineStr">
        <is>
          <t>LT-S8328XG-4XS8GT-S</t>
        </is>
      </c>
      <c r="J179" t="inlineStr">
        <is>
          <t>+389 2 321 77 99 / dejan.dudeski@overnet.com.mk</t>
        </is>
      </c>
      <c r="K179" t="inlineStr">
        <is>
          <t>★★★</t>
        </is>
      </c>
      <c r="L179" t="inlineStr">
        <is>
          <t>未触达</t>
        </is>
      </c>
      <c r="M179" t="inlineStr">
        <is>
          <t>2026-09-22</t>
        </is>
      </c>
      <c r="N179" t="inlineStr"/>
      <c r="O179" t="inlineStr"/>
      <c r="P179" t="inlineStr"/>
      <c r="Q179" t="inlineStr">
        <is>
          <t>Skopje</t>
        </is>
      </c>
      <c r="R179" t="inlineStr">
        <is>
          <t>B</t>
        </is>
      </c>
      <c r="S179" t="inlineStr">
        <is>
          <t>通用分销商信号，无差异化切入点，慢慢跟</t>
        </is>
      </c>
      <c r="T179" t="inlineStr">
        <is>
          <t>B-087</t>
        </is>
      </c>
      <c r="U179" t="inlineStr"/>
      <c r="V179" t="inlineStr"/>
    </row>
    <row r="180">
      <c r="A180" t="inlineStr">
        <is>
          <t>Aspect</t>
        </is>
      </c>
      <c r="B180" t="inlineStr">
        <is>
          <t>北马其顿</t>
        </is>
      </c>
      <c r="C180" t="inlineStr"/>
      <c r="D180" t="inlineStr">
        <is>
          <t>aspect.com.mk</t>
        </is>
      </c>
      <c r="E180" t="inlineStr">
        <is>
          <t>分销（Westermo Reseller）</t>
        </is>
      </c>
      <c r="F180" t="inlineStr">
        <is>
          <t>Westermo</t>
        </is>
      </c>
      <c r="G180" t="inlineStr">
        <is>
          <t>否</t>
        </is>
      </c>
      <c r="H180" t="inlineStr">
        <is>
          <t>工业/轨道同规格 1/3 价第二供应源</t>
        </is>
      </c>
      <c r="I180" t="inlineStr">
        <is>
          <t>LT-IS6312XG-4XS8GT</t>
        </is>
      </c>
      <c r="J180" t="inlineStr">
        <is>
          <t>+389 2 32 33 777</t>
        </is>
      </c>
      <c r="K180" t="inlineStr">
        <is>
          <t>★</t>
        </is>
      </c>
      <c r="L180" t="inlineStr">
        <is>
          <t>未触达</t>
        </is>
      </c>
      <c r="M180" t="inlineStr">
        <is>
          <t>2026-09-22</t>
        </is>
      </c>
      <c r="N180" t="inlineStr"/>
      <c r="O180" t="inlineStr"/>
      <c r="P180" t="inlineStr"/>
      <c r="Q180" t="inlineStr">
        <is>
          <t>【2026-09-23】Westermo 官方 where-to-buy 名录确认的分销商。北马其顿 reseller（本地库存）。</t>
        </is>
      </c>
      <c r="R180" t="inlineStr">
        <is>
          <t>C</t>
        </is>
      </c>
      <c r="S1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0" t="inlineStr">
        <is>
          <t>C-169</t>
        </is>
      </c>
      <c r="U180" t="inlineStr">
        <is>
          <t>B下放·无邮箱（群发触达不到）</t>
        </is>
      </c>
      <c r="V180" t="inlineStr"/>
    </row>
    <row r="181">
      <c r="A181" t="inlineStr">
        <is>
          <t>Treco</t>
        </is>
      </c>
      <c r="B181" t="inlineStr">
        <is>
          <t>北马其顿</t>
        </is>
      </c>
      <c r="C181" t="inlineStr"/>
      <c r="D181" t="inlineStr">
        <is>
          <t>treco.mk</t>
        </is>
      </c>
      <c r="E181" t="inlineStr">
        <is>
          <t>分销（MikroTik 官方）</t>
        </is>
      </c>
      <c r="F181" t="inlineStr">
        <is>
          <t>MikroTik（Master）</t>
        </is>
      </c>
      <c r="G181" t="inlineStr">
        <is>
          <t>否</t>
        </is>
      </c>
      <c r="H181" t="inlineStr">
        <is>
          <t>卖 MikroTik 但缺工业/ERPS/PoE++ → 用同价位工业线补他的产品缺口</t>
        </is>
      </c>
      <c r="I181" t="inlineStr">
        <is>
          <t>LT-IS6312XGP-4XS8GT</t>
        </is>
      </c>
      <c r="J181" t="inlineStr">
        <is>
          <t>+389 70 411 415 / info@treco.mk</t>
        </is>
      </c>
      <c r="K181" t="inlineStr">
        <is>
          <t>★★★</t>
        </is>
      </c>
      <c r="L181" t="inlineStr">
        <is>
          <t>未触达</t>
        </is>
      </c>
      <c r="M181" t="inlineStr">
        <is>
          <t>2026-09-22</t>
        </is>
      </c>
      <c r="N181" t="inlineStr"/>
      <c r="O181" t="inlineStr"/>
      <c r="P181" t="inlineStr"/>
      <c r="Q181" t="inlineStr">
        <is>
          <t>Skopje</t>
        </is>
      </c>
      <c r="R181" t="inlineStr">
        <is>
          <t>B</t>
        </is>
      </c>
      <c r="S181" t="inlineStr">
        <is>
          <t>通用分销商信号，无差异化切入点，慢慢跟</t>
        </is>
      </c>
      <c r="T181" t="inlineStr">
        <is>
          <t>B-089</t>
        </is>
      </c>
      <c r="U181" t="inlineStr"/>
      <c r="V181" t="inlineStr"/>
    </row>
    <row r="182">
      <c r="A182" t="inlineStr">
        <is>
          <t>Areskom İletişim Sistemleri</t>
        </is>
      </c>
      <c r="B182" t="inlineStr">
        <is>
          <t>土耳其</t>
        </is>
      </c>
      <c r="C182" t="inlineStr"/>
      <c r="D182" t="inlineStr">
        <is>
          <t>areskom.com.tr</t>
        </is>
      </c>
      <c r="E182" t="inlineStr">
        <is>
          <t>分销（Westermo）</t>
        </is>
      </c>
      <c r="F182" t="inlineStr">
        <is>
          <t>Westermo</t>
        </is>
      </c>
      <c r="G182" t="inlineStr">
        <is>
          <t>否</t>
        </is>
      </c>
      <c r="H182" t="inlineStr">
        <is>
          <t>工业/轨道同规格 1/3 价第二供应源</t>
        </is>
      </c>
      <c r="I182" t="inlineStr">
        <is>
          <t>LT-IS6312XGP-4XS8GT</t>
        </is>
      </c>
      <c r="J182" t="inlineStr">
        <is>
          <t>+90 216 428 78 78</t>
        </is>
      </c>
      <c r="K182" t="inlineStr">
        <is>
          <t>★★</t>
        </is>
      </c>
      <c r="L182" t="inlineStr">
        <is>
          <t>未触达</t>
        </is>
      </c>
      <c r="M182" t="inlineStr">
        <is>
          <t>2026-09-22</t>
        </is>
      </c>
      <c r="N182" t="inlineStr"/>
      <c r="O182" t="inlineStr"/>
      <c r="P182" t="inlineStr"/>
      <c r="Q182" t="inlineStr">
        <is>
          <t>伊斯坦布尔；【2026-09-23】Westermo 官方 where-to-buy 名录确认的分销商。土耳其分销商（本地库存）。</t>
        </is>
      </c>
      <c r="R182" t="inlineStr">
        <is>
          <t>C</t>
        </is>
      </c>
      <c r="S18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82" t="inlineStr">
        <is>
          <t>C-170</t>
        </is>
      </c>
      <c r="U182" t="inlineStr">
        <is>
          <t>B下放·无邮箱（群发触达不到）</t>
        </is>
      </c>
      <c r="V182" t="inlineStr"/>
    </row>
    <row r="183">
      <c r="A183" t="inlineStr">
        <is>
          <t>C TECH BILISIM（enucuzmikrotik.com）</t>
        </is>
      </c>
      <c r="B183" t="inlineStr">
        <is>
          <t>土耳其</t>
        </is>
      </c>
      <c r="C183" t="inlineStr"/>
      <c r="D183" t="inlineStr">
        <is>
          <t>bilisimyol.com</t>
        </is>
      </c>
      <c r="E183" t="inlineStr">
        <is>
          <t>分销（MikroTik 官方）</t>
        </is>
      </c>
      <c r="F183" t="inlineStr">
        <is>
          <t>MikroTik（Reseller）</t>
        </is>
      </c>
      <c r="G183" t="inlineStr">
        <is>
          <t>否</t>
        </is>
      </c>
      <c r="H183" t="inlineStr">
        <is>
          <t>域名 = "最便宜的 MikroTik" → 价格导向，最看重成本</t>
        </is>
      </c>
      <c r="I183" t="inlineStr">
        <is>
          <t>LT-IS6312XGP-4XS8GT</t>
        </is>
      </c>
      <c r="J183" t="inlineStr">
        <is>
          <t>+90 850 480 44 74 / info@enucuzmikrotik.com</t>
        </is>
      </c>
      <c r="K183" t="inlineStr">
        <is>
          <t>★★★</t>
        </is>
      </c>
      <c r="L183" t="inlineStr">
        <is>
          <t>未触达</t>
        </is>
      </c>
      <c r="M183" t="inlineStr">
        <is>
          <t>2026-09-22</t>
        </is>
      </c>
      <c r="N183" t="inlineStr"/>
      <c r="O183" t="inlineStr"/>
      <c r="P183" t="inlineStr"/>
      <c r="Q183" t="inlineStr">
        <is>
          <t>Fatih；价格敏感型</t>
        </is>
      </c>
      <c r="R183" t="inlineStr">
        <is>
          <t>B</t>
        </is>
      </c>
      <c r="S183" t="inlineStr">
        <is>
          <t>通用分销商信号，无差异化切入点，慢慢跟</t>
        </is>
      </c>
      <c r="T183" t="inlineStr">
        <is>
          <t>B-091</t>
        </is>
      </c>
      <c r="U183" t="inlineStr"/>
      <c r="V183" t="inlineStr"/>
    </row>
    <row r="184">
      <c r="A184" t="inlineStr">
        <is>
          <t>COOLTECH TRADING</t>
        </is>
      </c>
      <c r="B184" t="inlineStr">
        <is>
          <t>土耳其</t>
        </is>
      </c>
      <c r="C184" t="inlineStr"/>
      <c r="D184" t="inlineStr">
        <is>
          <t>cooltechtrading.com</t>
        </is>
      </c>
      <c r="E184" t="inlineStr">
        <is>
          <t>分销（MikroTik 官方）</t>
        </is>
      </c>
      <c r="F184" t="inlineStr">
        <is>
          <t>MikroTik（Master）</t>
        </is>
      </c>
      <c r="G184" t="inlineStr">
        <is>
          <t>否</t>
        </is>
      </c>
      <c r="H184" t="inlineStr">
        <is>
          <t>卖 MikroTik 但缺工业/ERPS/PoE++ → 用同价位工业线补他的产品缺口</t>
        </is>
      </c>
      <c r="I184" t="inlineStr">
        <is>
          <t>LT-IS6312XG-4XS8GT</t>
        </is>
      </c>
      <c r="J184" t="inlineStr">
        <is>
          <t>+90 542 883 1111 / info@cooltechtrading.com</t>
        </is>
      </c>
      <c r="K184" t="inlineStr">
        <is>
          <t>★★</t>
        </is>
      </c>
      <c r="L184" t="inlineStr">
        <is>
          <t>未触达</t>
        </is>
      </c>
      <c r="M184" t="inlineStr">
        <is>
          <t>2026-09-22</t>
        </is>
      </c>
      <c r="N184" t="inlineStr"/>
      <c r="O184" t="inlineStr"/>
      <c r="P184" t="inlineStr"/>
      <c r="Q184" t="inlineStr">
        <is>
          <t>Istanbul</t>
        </is>
      </c>
      <c r="R184" t="inlineStr">
        <is>
          <t>B</t>
        </is>
      </c>
      <c r="S184" t="inlineStr">
        <is>
          <t>通用分销商信号，无差异化切入点，慢慢跟</t>
        </is>
      </c>
      <c r="T184" t="inlineStr">
        <is>
          <t>B-092</t>
        </is>
      </c>
      <c r="U184" t="inlineStr"/>
      <c r="V184" t="inlineStr"/>
    </row>
    <row r="185">
      <c r="A185" t="inlineStr">
        <is>
          <t>Internetten Ltd.（wi.com.tr）</t>
        </is>
      </c>
      <c r="B185" t="inlineStr">
        <is>
          <t>土耳其</t>
        </is>
      </c>
      <c r="C185" t="inlineStr"/>
      <c r="D185" t="inlineStr">
        <is>
          <t>wi.com.tr</t>
        </is>
      </c>
      <c r="E185" t="inlineStr">
        <is>
          <t>分销（MikroTik 官方）</t>
        </is>
      </c>
      <c r="F185" t="inlineStr">
        <is>
          <t>MikroTik（Master）</t>
        </is>
      </c>
      <c r="G185" t="inlineStr">
        <is>
          <t>否</t>
        </is>
      </c>
      <c r="H185" t="inlineStr">
        <is>
          <t>MikroTik 官方分销，商用线可直接比价，工业线为零 → 新品类增量</t>
        </is>
      </c>
      <c r="I185" t="inlineStr">
        <is>
          <t>LT-S8328XG-4XS8GT-S</t>
        </is>
      </c>
      <c r="J185" t="inlineStr">
        <is>
          <t>+90 262 644 66 63 / satis@wi.com.tr</t>
        </is>
      </c>
      <c r="K185" t="inlineStr">
        <is>
          <t>★★★</t>
        </is>
      </c>
      <c r="L185" t="inlineStr">
        <is>
          <t>未触达</t>
        </is>
      </c>
      <c r="M185" t="inlineStr">
        <is>
          <t>2026-09-22</t>
        </is>
      </c>
      <c r="N185" t="inlineStr"/>
      <c r="O185" t="inlineStr"/>
      <c r="P185" t="inlineStr"/>
      <c r="Q185" t="inlineStr">
        <is>
          <t>Gebze / Kocaeli</t>
        </is>
      </c>
      <c r="R185" t="inlineStr">
        <is>
          <t>B</t>
        </is>
      </c>
      <c r="S185" t="inlineStr">
        <is>
          <t>通用分销商信号，无差异化切入点，慢慢跟</t>
        </is>
      </c>
      <c r="T185" t="inlineStr">
        <is>
          <t>B-093</t>
        </is>
      </c>
      <c r="U185" t="inlineStr"/>
      <c r="V185" t="inlineStr"/>
    </row>
    <row r="186">
      <c r="A186" t="inlineStr">
        <is>
          <t>Merpa Bilişim（merpazar.com）</t>
        </is>
      </c>
      <c r="B186" t="inlineStr">
        <is>
          <t>土耳其</t>
        </is>
      </c>
      <c r="C186" t="inlineStr"/>
      <c r="D186" t="inlineStr">
        <is>
          <t>merpazar.com</t>
        </is>
      </c>
      <c r="E186" t="inlineStr">
        <is>
          <t>分销（MikroTik 官方）</t>
        </is>
      </c>
      <c r="F186" t="inlineStr">
        <is>
          <t>MikroTik（Reseller）</t>
        </is>
      </c>
      <c r="G186" t="inlineStr">
        <is>
          <t>否</t>
        </is>
      </c>
      <c r="H186" t="inlineStr">
        <is>
          <t>MikroTik 官方分销，商用线可直接比价，工业线为零 → 新品类增量</t>
        </is>
      </c>
      <c r="I186" t="inlineStr">
        <is>
          <t>LT-S8328XG-4XS8GT-S</t>
        </is>
      </c>
      <c r="J186" t="inlineStr">
        <is>
          <t>+90 212 213 3873 / alinail@merpazar.com</t>
        </is>
      </c>
      <c r="K186" t="inlineStr">
        <is>
          <t>★★</t>
        </is>
      </c>
      <c r="L186" t="inlineStr">
        <is>
          <t>未触达</t>
        </is>
      </c>
      <c r="M186" t="inlineStr">
        <is>
          <t>2026-09-22</t>
        </is>
      </c>
      <c r="N186" t="inlineStr"/>
      <c r="O186" t="inlineStr"/>
      <c r="P186" t="inlineStr"/>
      <c r="Q186" t="inlineStr">
        <is>
          <t>Istanbul</t>
        </is>
      </c>
      <c r="R186" t="inlineStr">
        <is>
          <t>B</t>
        </is>
      </c>
      <c r="S186" t="inlineStr">
        <is>
          <t>通用分销商信号，无差异化切入点，慢慢跟</t>
        </is>
      </c>
      <c r="T186" t="inlineStr">
        <is>
          <t>B-094</t>
        </is>
      </c>
      <c r="U186" t="inlineStr"/>
      <c r="V186" t="inlineStr"/>
    </row>
    <row r="187">
      <c r="A187" t="inlineStr">
        <is>
          <t>NODENET GLOBAL</t>
        </is>
      </c>
      <c r="B187" t="inlineStr">
        <is>
          <t>土耳其</t>
        </is>
      </c>
      <c r="C187" t="inlineStr"/>
      <c r="D187" t="inlineStr">
        <is>
          <t>nodenetglobal.com</t>
        </is>
      </c>
      <c r="E187" t="inlineStr">
        <is>
          <t>分销（MikroTik 官方）</t>
        </is>
      </c>
      <c r="F187" t="inlineStr">
        <is>
          <t>MikroTik（Master+VAD）</t>
        </is>
      </c>
      <c r="G187" t="inlineStr">
        <is>
          <t>否</t>
        </is>
      </c>
      <c r="H187" t="inlineStr">
        <is>
          <t>MikroTik 官方分销，商用线可直接比价，工业线为零 → 新品类增量</t>
        </is>
      </c>
      <c r="I187" t="inlineStr">
        <is>
          <t>LT-S8328XG-4XS8GT-S</t>
        </is>
      </c>
      <c r="J187" t="inlineStr">
        <is>
          <t>+90 533 391 2232 / sales@nodenetglobal.com</t>
        </is>
      </c>
      <c r="K187" t="inlineStr">
        <is>
          <t>★★★</t>
        </is>
      </c>
      <c r="L187" t="inlineStr">
        <is>
          <t>未触达</t>
        </is>
      </c>
      <c r="M187" t="inlineStr">
        <is>
          <t>2026-09-22</t>
        </is>
      </c>
      <c r="N187" t="inlineStr"/>
      <c r="O187" t="inlineStr"/>
      <c r="P187" t="inlineStr"/>
      <c r="Q187" t="inlineStr">
        <is>
          <t>Istanbul</t>
        </is>
      </c>
      <c r="R187" t="inlineStr">
        <is>
          <t>B</t>
        </is>
      </c>
      <c r="S187" t="inlineStr">
        <is>
          <t>通用分销商信号，无差异化切入点，慢慢跟</t>
        </is>
      </c>
      <c r="T187" t="inlineStr">
        <is>
          <t>B-095</t>
        </is>
      </c>
      <c r="U187" t="inlineStr"/>
      <c r="V187" t="inlineStr"/>
    </row>
    <row r="188">
      <c r="A188" t="inlineStr">
        <is>
          <t>Net Vizyon（4mimo.com）</t>
        </is>
      </c>
      <c r="B188" t="inlineStr">
        <is>
          <t>土耳其</t>
        </is>
      </c>
      <c r="C188" t="inlineStr"/>
      <c r="D188" t="inlineStr">
        <is>
          <t>4mimo.com</t>
        </is>
      </c>
      <c r="E188" t="inlineStr">
        <is>
          <t>分销（MikroTik 官方）</t>
        </is>
      </c>
      <c r="F188" t="inlineStr">
        <is>
          <t>MikroTik（Reseller）</t>
        </is>
      </c>
      <c r="G188" t="inlineStr">
        <is>
          <t>否</t>
        </is>
      </c>
      <c r="H188" t="inlineStr">
        <is>
          <t>卖 MikroTik 但缺工业/ERPS/PoE++ → 用同价位工业线补他的产品缺口</t>
        </is>
      </c>
      <c r="I188" t="inlineStr">
        <is>
          <t>LT-IS6312XG-4XS8GT</t>
        </is>
      </c>
      <c r="J188" t="inlineStr">
        <is>
          <t>+90 212 354 90 00 / satis@netvizyon.net</t>
        </is>
      </c>
      <c r="K188" t="inlineStr">
        <is>
          <t>★★</t>
        </is>
      </c>
      <c r="L188" t="inlineStr">
        <is>
          <t>未触达</t>
        </is>
      </c>
      <c r="M188" t="inlineStr">
        <is>
          <t>2026-09-22</t>
        </is>
      </c>
      <c r="N188" t="inlineStr"/>
      <c r="O188" t="inlineStr"/>
      <c r="P188" t="inlineStr"/>
      <c r="Q188" t="inlineStr">
        <is>
          <t>Istanbul</t>
        </is>
      </c>
      <c r="R188" t="inlineStr">
        <is>
          <t>B</t>
        </is>
      </c>
      <c r="S188" t="inlineStr">
        <is>
          <t>通用分销商信号，无差异化切入点，慢慢跟</t>
        </is>
      </c>
      <c r="T188" t="inlineStr">
        <is>
          <t>B-096</t>
        </is>
      </c>
      <c r="U188" t="inlineStr"/>
      <c r="V188" t="inlineStr"/>
    </row>
    <row r="189">
      <c r="A189" t="inlineStr">
        <is>
          <t>Nokta Elektronik</t>
        </is>
      </c>
      <c r="B189" t="inlineStr">
        <is>
          <t>土耳其</t>
        </is>
      </c>
      <c r="C189" t="inlineStr"/>
      <c r="D189" t="inlineStr">
        <is>
          <t>noktaelektronik.net</t>
        </is>
      </c>
      <c r="E189" t="inlineStr">
        <is>
          <t>分销（ORing 授权）</t>
        </is>
      </c>
      <c r="F189" t="inlineStr">
        <is>
          <t>ORing</t>
        </is>
      </c>
      <c r="G189" t="inlineStr">
        <is>
          <t>否</t>
        </is>
      </c>
      <c r="H189" t="inlineStr">
        <is>
          <t>工业/轨道同规格 1/3 价第二供应源</t>
        </is>
      </c>
      <c r="I189" t="inlineStr">
        <is>
          <t>LT-IS6312XG-4XS8GT</t>
        </is>
      </c>
      <c r="J189" t="inlineStr">
        <is>
          <t>+90 212 222 87 80 / nokta@noktaelektronik.net</t>
        </is>
      </c>
      <c r="K189" t="inlineStr">
        <is>
          <t>★★</t>
        </is>
      </c>
      <c r="L189" t="inlineStr">
        <is>
          <t>未触达</t>
        </is>
      </c>
      <c r="M189" t="inlineStr">
        <is>
          <t>2026-09-22</t>
        </is>
      </c>
      <c r="N189" t="inlineStr"/>
      <c r="O189" t="inlineStr"/>
      <c r="P189" t="inlineStr"/>
      <c r="Q189" t="inlineStr">
        <is>
          <t>伊斯坦布尔</t>
        </is>
      </c>
      <c r="R189" t="inlineStr">
        <is>
          <t>B</t>
        </is>
      </c>
      <c r="S189" t="inlineStr">
        <is>
          <t>通用分销商信号，无差异化切入点，慢慢跟</t>
        </is>
      </c>
      <c r="T189" t="inlineStr">
        <is>
          <t>B-097</t>
        </is>
      </c>
      <c r="U189" t="inlineStr"/>
      <c r="V189" t="inlineStr"/>
    </row>
    <row r="190">
      <c r="A190" t="inlineStr">
        <is>
          <t>Poyraz Network</t>
        </is>
      </c>
      <c r="B190" t="inlineStr">
        <is>
          <t>土耳其</t>
        </is>
      </c>
      <c r="C190" t="inlineStr"/>
      <c r="D190" t="inlineStr">
        <is>
          <t>poyraznetwork.com</t>
        </is>
      </c>
      <c r="E190" t="inlineStr">
        <is>
          <t>分销（MikroTik 官方）</t>
        </is>
      </c>
      <c r="F190" t="inlineStr">
        <is>
          <t>MikroTik（Master+VAD）</t>
        </is>
      </c>
      <c r="G190" t="inlineStr">
        <is>
          <t>否</t>
        </is>
      </c>
      <c r="H190" t="inlineStr">
        <is>
          <t>卖 MikroTik 但缺工业/ERPS/PoE++ → 用同价位工业线补他的产品缺口</t>
        </is>
      </c>
      <c r="I190" t="inlineStr">
        <is>
          <t>LT-IS6312XGP-4XS8GT</t>
        </is>
      </c>
      <c r="J190" t="inlineStr">
        <is>
          <t>+90 850 346 93 63 / sales@poyraznetwork.com</t>
        </is>
      </c>
      <c r="K190" t="inlineStr">
        <is>
          <t>★★★</t>
        </is>
      </c>
      <c r="L190" t="inlineStr">
        <is>
          <t>未触达</t>
        </is>
      </c>
      <c r="M190" t="inlineStr">
        <is>
          <t>2026-09-22</t>
        </is>
      </c>
      <c r="N190" t="inlineStr"/>
      <c r="O190" t="inlineStr"/>
      <c r="P190" t="inlineStr"/>
      <c r="Q190" t="inlineStr">
        <is>
          <t>Kocaeli</t>
        </is>
      </c>
      <c r="R190" t="inlineStr">
        <is>
          <t>B</t>
        </is>
      </c>
      <c r="S190" t="inlineStr">
        <is>
          <t>通用分销商信号，无差异化切入点，慢慢跟</t>
        </is>
      </c>
      <c r="T190" t="inlineStr">
        <is>
          <t>B-098</t>
        </is>
      </c>
      <c r="U190" t="inlineStr"/>
      <c r="V190" t="inlineStr"/>
    </row>
    <row r="191">
      <c r="A191" t="inlineStr">
        <is>
          <t>Sekuritim Bilisim</t>
        </is>
      </c>
      <c r="B191" t="inlineStr">
        <is>
          <t>土耳其</t>
        </is>
      </c>
      <c r="C191" t="inlineStr"/>
      <c r="D191" t="inlineStr">
        <is>
          <t>sekuritim.com</t>
        </is>
      </c>
      <c r="E191" t="inlineStr">
        <is>
          <t>分销（MikroTik 官方）</t>
        </is>
      </c>
      <c r="F191" t="inlineStr">
        <is>
          <t>MikroTik（Reseller）</t>
        </is>
      </c>
      <c r="G191" t="inlineStr">
        <is>
          <t>否</t>
        </is>
      </c>
      <c r="H191" t="inlineStr">
        <is>
          <t>卖 MikroTik 但缺工业/ERPS/PoE++ → 用同价位工业线补他的产品缺口</t>
        </is>
      </c>
      <c r="I191" t="inlineStr">
        <is>
          <t>LT-IS6312XGP-4XS8GT</t>
        </is>
      </c>
      <c r="J191" t="inlineStr">
        <is>
          <t>+90 216 302 22 21 / info@sekuritim.com</t>
        </is>
      </c>
      <c r="K191" t="inlineStr">
        <is>
          <t>★★</t>
        </is>
      </c>
      <c r="L191" t="inlineStr">
        <is>
          <t>未触达</t>
        </is>
      </c>
      <c r="M191" t="inlineStr">
        <is>
          <t>2026-09-22</t>
        </is>
      </c>
      <c r="N191" t="inlineStr"/>
      <c r="O191" t="inlineStr"/>
      <c r="P191" t="inlineStr"/>
      <c r="Q191" t="inlineStr">
        <is>
          <t>Istanbul；安全/监控方向</t>
        </is>
      </c>
      <c r="R191" t="inlineStr">
        <is>
          <t>B</t>
        </is>
      </c>
      <c r="S191" t="inlineStr">
        <is>
          <t>通用分销商信号，无差异化切入点，慢慢跟</t>
        </is>
      </c>
      <c r="T191" t="inlineStr">
        <is>
          <t>B-099</t>
        </is>
      </c>
      <c r="U191" t="inlineStr"/>
      <c r="V191" t="inlineStr"/>
    </row>
    <row r="192">
      <c r="A192" t="inlineStr">
        <is>
          <t>Sis Bil tek（wifianten.com）</t>
        </is>
      </c>
      <c r="B192" t="inlineStr">
        <is>
          <t>土耳其</t>
        </is>
      </c>
      <c r="C192" t="inlineStr"/>
      <c r="D192" t="inlineStr">
        <is>
          <t>wifianten.com</t>
        </is>
      </c>
      <c r="E192" t="inlineStr">
        <is>
          <t>分销（MikroTik 官方）</t>
        </is>
      </c>
      <c r="F192" t="inlineStr">
        <is>
          <t>MikroTik（Master+VAD）</t>
        </is>
      </c>
      <c r="G192" t="inlineStr">
        <is>
          <t>否</t>
        </is>
      </c>
      <c r="H192" t="inlineStr">
        <is>
          <t>卖 MikroTik 但缺工业/ERPS/PoE++ → 用同价位工业线补他的产品缺口</t>
        </is>
      </c>
      <c r="I192" t="inlineStr">
        <is>
          <t>LT-IS6312XG-4XS8GT</t>
        </is>
      </c>
      <c r="J192" t="inlineStr">
        <is>
          <t>+90 850 277 5959 / bilgi@wifianten.com</t>
        </is>
      </c>
      <c r="K192" t="inlineStr">
        <is>
          <t>★★★</t>
        </is>
      </c>
      <c r="L192" t="inlineStr">
        <is>
          <t>未触达</t>
        </is>
      </c>
      <c r="M192" t="inlineStr">
        <is>
          <t>2026-09-22</t>
        </is>
      </c>
      <c r="N192" t="inlineStr"/>
      <c r="O192" t="inlineStr"/>
      <c r="P192" t="inlineStr"/>
      <c r="Q192" t="inlineStr">
        <is>
          <t>Corlu / Tekirdağ</t>
        </is>
      </c>
      <c r="R192" t="inlineStr">
        <is>
          <t>B</t>
        </is>
      </c>
      <c r="S192" t="inlineStr">
        <is>
          <t>通用分销商信号，无差异化切入点，慢慢跟</t>
        </is>
      </c>
      <c r="T192" t="inlineStr">
        <is>
          <t>B-100</t>
        </is>
      </c>
      <c r="U192" t="inlineStr"/>
      <c r="V192" t="inlineStr"/>
    </row>
    <row r="193">
      <c r="A193" t="inlineStr">
        <is>
          <t>3NET</t>
        </is>
      </c>
      <c r="B193" t="inlineStr">
        <is>
          <t>塞尔维亚</t>
        </is>
      </c>
      <c r="C193" t="inlineStr"/>
      <c r="D193" t="inlineStr">
        <is>
          <t>3net.rs</t>
        </is>
      </c>
      <c r="E193" t="inlineStr">
        <is>
          <t>分销（MikroTik 官方）</t>
        </is>
      </c>
      <c r="F193" t="inlineStr">
        <is>
          <t>MikroTik（Reseller）</t>
        </is>
      </c>
      <c r="G193" t="inlineStr">
        <is>
          <t>否</t>
        </is>
      </c>
      <c r="H193" t="inlineStr">
        <is>
          <t>卖 MikroTik 但缺工业/ERPS/PoE++ → 用同价位工业线补他的产品缺口</t>
        </is>
      </c>
      <c r="I193" t="inlineStr">
        <is>
          <t>LT-IS6312XGP-4XS8GT</t>
        </is>
      </c>
      <c r="J193" t="inlineStr">
        <is>
          <t>+381 65 678 2201 / contact@3net.rs</t>
        </is>
      </c>
      <c r="K193" t="inlineStr">
        <is>
          <t>★★</t>
        </is>
      </c>
      <c r="L193" t="inlineStr">
        <is>
          <t>未触达</t>
        </is>
      </c>
      <c r="M193" t="inlineStr">
        <is>
          <t>2026-09-22</t>
        </is>
      </c>
      <c r="N193" t="inlineStr"/>
      <c r="O193" t="inlineStr"/>
      <c r="P193" t="inlineStr"/>
      <c r="Q193" t="inlineStr">
        <is>
          <t>Vranje</t>
        </is>
      </c>
      <c r="R193" t="inlineStr">
        <is>
          <t>B</t>
        </is>
      </c>
      <c r="S193" t="inlineStr">
        <is>
          <t>通用分销商信号，无差异化切入点，慢慢跟</t>
        </is>
      </c>
      <c r="T193" t="inlineStr">
        <is>
          <t>B-101</t>
        </is>
      </c>
      <c r="U193" t="inlineStr"/>
      <c r="V193" t="inlineStr"/>
    </row>
    <row r="194">
      <c r="A194" t="inlineStr">
        <is>
          <t>Nenad Marinkovic / Routerboard.rs</t>
        </is>
      </c>
      <c r="B194" t="inlineStr">
        <is>
          <t>塞尔维亚</t>
        </is>
      </c>
      <c r="C194" t="inlineStr">
        <is>
          <t>Kragujevac</t>
        </is>
      </c>
      <c r="D194" t="inlineStr">
        <is>
          <t>routerboard.rs</t>
        </is>
      </c>
      <c r="E194" t="inlineStr">
        <is>
          <t>集成商/顾问（MikroTik 认证）</t>
        </is>
      </c>
      <c r="F194" t="inlineStr">
        <is>
          <t>MikroTik 认证顾问 MTCNA+MTCSE</t>
        </is>
      </c>
      <c r="G194" t="inlineStr">
        <is>
          <t>否</t>
        </is>
      </c>
      <c r="H194" t="inlineStr">
        <is>
          <t>MikroTik 认证顾问：自己做方案/集成/运维并自行采购设备 → 用 ERPS/IGMP/VLAN/CLI/MIB 这类技术语言切入，不打价格战</t>
        </is>
      </c>
      <c r="I194" t="inlineStr">
        <is>
          <t>LT-S8328GP-4GX24GT-S</t>
        </is>
      </c>
      <c r="J194" t="inlineStr">
        <is>
          <t>+381 66 341 442 / tech@routerboard.rs</t>
        </is>
      </c>
      <c r="K194" t="inlineStr">
        <is>
          <t>★★★</t>
        </is>
      </c>
      <c r="L194" t="inlineStr">
        <is>
          <t>未触达</t>
        </is>
      </c>
      <c r="M194" t="inlineStr">
        <is>
          <t>2026-09-22</t>
        </is>
      </c>
      <c r="N194" t="inlineStr"/>
      <c r="O194" t="inlineStr"/>
      <c r="P194" t="inlineStr"/>
      <c r="Q194" t="inlineStr">
        <is>
          <t>★ 域名直接叫 **routerboard.rs** → 塞尔维亚本地以 MikroTik 为主业的专营店/服务商，品牌绑定极深</t>
        </is>
      </c>
      <c r="R194" t="inlineStr">
        <is>
          <t>B</t>
        </is>
      </c>
      <c r="S194" t="inlineStr">
        <is>
          <t>通用分销商信号，无差异化切入点，慢慢跟</t>
        </is>
      </c>
      <c r="T194" t="inlineStr">
        <is>
          <t>B-102</t>
        </is>
      </c>
      <c r="U194" t="inlineStr"/>
      <c r="V194" t="inlineStr"/>
    </row>
    <row r="195">
      <c r="A195" t="inlineStr">
        <is>
          <t>NovaTel</t>
        </is>
      </c>
      <c r="B195" t="inlineStr">
        <is>
          <t>塞尔维亚</t>
        </is>
      </c>
      <c r="C195" t="inlineStr"/>
      <c r="D195" t="inlineStr">
        <is>
          <t>novatel.rs</t>
        </is>
      </c>
      <c r="E195" t="inlineStr">
        <is>
          <t>分销（Westermo Reseller）</t>
        </is>
      </c>
      <c r="F195" t="inlineStr">
        <is>
          <t>Westermo</t>
        </is>
      </c>
      <c r="G195" t="inlineStr">
        <is>
          <t>否</t>
        </is>
      </c>
      <c r="H195" t="inlineStr">
        <is>
          <t>工业/轨道同规格 1/3 价第二供应源</t>
        </is>
      </c>
      <c r="I195" t="inlineStr">
        <is>
          <t>LT-IS6312XG-4XS8GT</t>
        </is>
      </c>
      <c r="J195" t="inlineStr">
        <is>
          <t>+381 11 4252012</t>
        </is>
      </c>
      <c r="K195" t="inlineStr">
        <is>
          <t>★★</t>
        </is>
      </c>
      <c r="L195" t="inlineStr">
        <is>
          <t>未触达</t>
        </is>
      </c>
      <c r="M195" t="inlineStr">
        <is>
          <t>2026-09-22</t>
        </is>
      </c>
      <c r="N195" t="inlineStr"/>
      <c r="O195" t="inlineStr"/>
      <c r="P195" t="inlineStr"/>
      <c r="Q195" t="inlineStr">
        <is>
          <t>贝尔格莱德；【2026-09-23】Westermo 官方 where-to-buy 名录确认的分销商。塞尔维亚 reseller（本地库存）。</t>
        </is>
      </c>
      <c r="R195" t="inlineStr">
        <is>
          <t>C</t>
        </is>
      </c>
      <c r="S1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5" t="inlineStr">
        <is>
          <t>C-171</t>
        </is>
      </c>
      <c r="U195" t="inlineStr">
        <is>
          <t>B下放·无邮箱（群发触达不到）</t>
        </is>
      </c>
      <c r="V195" t="inlineStr"/>
    </row>
    <row r="196">
      <c r="A196" t="inlineStr">
        <is>
          <t>Pixel Network LLC</t>
        </is>
      </c>
      <c r="B196" t="inlineStr">
        <is>
          <t>塞尔维亚</t>
        </is>
      </c>
      <c r="C196" t="inlineStr"/>
      <c r="D196" t="inlineStr">
        <is>
          <t>pixelnetwork.rs</t>
        </is>
      </c>
      <c r="E196" t="inlineStr">
        <is>
          <t>分销（MikroTik 官方）</t>
        </is>
      </c>
      <c r="F196" t="inlineStr">
        <is>
          <t>MikroTik（Reseller）</t>
        </is>
      </c>
      <c r="G196" t="inlineStr">
        <is>
          <t>否</t>
        </is>
      </c>
      <c r="H196" t="inlineStr">
        <is>
          <t>卖 MikroTik 但缺工业/ERPS/PoE++ → 用同价位工业线补他的产品缺口</t>
        </is>
      </c>
      <c r="I196" t="inlineStr">
        <is>
          <t>LT-IS6312XG-4XS8GT</t>
        </is>
      </c>
      <c r="J196" t="inlineStr">
        <is>
          <t>+381 21 271 85 04 / office@pixelnetwork.rs</t>
        </is>
      </c>
      <c r="K196" t="inlineStr">
        <is>
          <t>★★</t>
        </is>
      </c>
      <c r="L196" t="inlineStr">
        <is>
          <t>未触达</t>
        </is>
      </c>
      <c r="M196" t="inlineStr">
        <is>
          <t>2026-09-22</t>
        </is>
      </c>
      <c r="N196" t="inlineStr"/>
      <c r="O196" t="inlineStr"/>
      <c r="P196" t="inlineStr"/>
      <c r="Q196" t="inlineStr">
        <is>
          <t>Novi Sad</t>
        </is>
      </c>
      <c r="R196" t="inlineStr">
        <is>
          <t>B</t>
        </is>
      </c>
      <c r="S196" t="inlineStr">
        <is>
          <t>通用分销商信号，无差异化切入点，慢慢跟</t>
        </is>
      </c>
      <c r="T196" t="inlineStr">
        <is>
          <t>B-104</t>
        </is>
      </c>
      <c r="U196" t="inlineStr"/>
      <c r="V196" t="inlineStr"/>
    </row>
    <row r="197">
      <c r="A197" t="inlineStr">
        <is>
          <t>Cy-Wireless（art2soft）</t>
        </is>
      </c>
      <c r="B197" t="inlineStr">
        <is>
          <t>塞浦路斯</t>
        </is>
      </c>
      <c r="C197" t="inlineStr"/>
      <c r="D197" t="inlineStr">
        <is>
          <t>prod.cy-wireless.com</t>
        </is>
      </c>
      <c r="E197" t="inlineStr">
        <is>
          <t>分销（MikroTik 官方）</t>
        </is>
      </c>
      <c r="F197" t="inlineStr">
        <is>
          <t>MikroTik（Reseller）</t>
        </is>
      </c>
      <c r="G197" t="inlineStr">
        <is>
          <t>否</t>
        </is>
      </c>
      <c r="H197" t="inlineStr">
        <is>
          <t>卖 MikroTik 但缺工业/ERPS/PoE++ → 用同价位工业线补他的产品缺口</t>
        </is>
      </c>
      <c r="I197" t="inlineStr">
        <is>
          <t>LT-IS6312XGP-4XS8GT</t>
        </is>
      </c>
      <c r="J197" t="inlineStr">
        <is>
          <t>+357 22 814 244 / thomas.thoma@art2soft.com</t>
        </is>
      </c>
      <c r="K197" t="inlineStr">
        <is>
          <t>★★</t>
        </is>
      </c>
      <c r="L197" t="inlineStr">
        <is>
          <t>未触达</t>
        </is>
      </c>
      <c r="M197" t="inlineStr">
        <is>
          <t>2026-09-22</t>
        </is>
      </c>
      <c r="N197" t="inlineStr"/>
      <c r="O197" t="inlineStr"/>
      <c r="P197" t="inlineStr"/>
      <c r="Q197" t="inlineStr"/>
      <c r="R197" t="inlineStr">
        <is>
          <t>B</t>
        </is>
      </c>
      <c r="S197" t="inlineStr">
        <is>
          <t>通用分销商信号，无差异化切入点，慢慢跟</t>
        </is>
      </c>
      <c r="T197" t="inlineStr">
        <is>
          <t>B-105</t>
        </is>
      </c>
      <c r="U197" t="inlineStr"/>
      <c r="V197" t="inlineStr"/>
    </row>
    <row r="198">
      <c r="A198" t="inlineStr">
        <is>
          <t>MS Electronics LTD</t>
        </is>
      </c>
      <c r="B198" t="inlineStr">
        <is>
          <t>塞浦路斯</t>
        </is>
      </c>
      <c r="C198" t="inlineStr"/>
      <c r="D198" t="inlineStr">
        <is>
          <t>mstronics.com</t>
        </is>
      </c>
      <c r="E198" t="inlineStr">
        <is>
          <t>分销（MikroTik 官方）</t>
        </is>
      </c>
      <c r="F198" t="inlineStr">
        <is>
          <t>MikroTik（Reseller）</t>
        </is>
      </c>
      <c r="G198" t="inlineStr">
        <is>
          <t>否</t>
        </is>
      </c>
      <c r="H198" t="inlineStr">
        <is>
          <t>卖 MikroTik 但缺工业/ERPS/PoE++ → 用同价位工业线补他的产品缺口</t>
        </is>
      </c>
      <c r="I198" t="inlineStr">
        <is>
          <t>LT-IS6312XG-4XS8GT</t>
        </is>
      </c>
      <c r="J198" t="inlineStr">
        <is>
          <t>+357 25 580 611 / pieris@mstronics.com</t>
        </is>
      </c>
      <c r="K198" t="inlineStr">
        <is>
          <t>★★</t>
        </is>
      </c>
      <c r="L198" t="inlineStr">
        <is>
          <t>未触达</t>
        </is>
      </c>
      <c r="M198" t="inlineStr">
        <is>
          <t>2026-09-22</t>
        </is>
      </c>
      <c r="N198" t="inlineStr"/>
      <c r="O198" t="inlineStr"/>
      <c r="P198" t="inlineStr"/>
      <c r="Q198" t="inlineStr">
        <is>
          <t>Limassol</t>
        </is>
      </c>
      <c r="R198" t="inlineStr">
        <is>
          <t>B</t>
        </is>
      </c>
      <c r="S198" t="inlineStr">
        <is>
          <t>通用分销商信号，无差异化切入点，慢慢跟</t>
        </is>
      </c>
      <c r="T198" t="inlineStr">
        <is>
          <t>B-106</t>
        </is>
      </c>
      <c r="U198" t="inlineStr"/>
      <c r="V198" t="inlineStr"/>
    </row>
    <row r="199">
      <c r="A199" t="inlineStr">
        <is>
          <t>AIONA Automation GmbH</t>
        </is>
      </c>
      <c r="B199" t="inlineStr">
        <is>
          <t>奥地利</t>
        </is>
      </c>
      <c r="C199" t="inlineStr"/>
      <c r="D199" t="inlineStr">
        <is>
          <t>bestofautomation.at</t>
        </is>
      </c>
      <c r="E199" t="inlineStr">
        <is>
          <t>分销（HMS：Red Lion / N-Tron）</t>
        </is>
      </c>
      <c r="F199" t="inlineStr">
        <is>
          <t>Red Lion, N-Tron</t>
        </is>
      </c>
      <c r="G199" t="inlineStr">
        <is>
          <t>否</t>
        </is>
      </c>
      <c r="H199" t="inlineStr">
        <is>
          <t>N-Tron 就是工业交换机品牌 → 直接同类替换</t>
        </is>
      </c>
      <c r="I199" t="inlineStr">
        <is>
          <t>LT-IS6312XG-4XS8GT</t>
        </is>
      </c>
      <c r="J199" t="inlineStr">
        <is>
          <t>bestofautomation.at</t>
        </is>
      </c>
      <c r="K199" t="inlineStr">
        <is>
          <t>★★★</t>
        </is>
      </c>
      <c r="L199" t="inlineStr">
        <is>
          <t>未触达</t>
        </is>
      </c>
      <c r="M199" t="inlineStr">
        <is>
          <t>2026-09-22</t>
        </is>
      </c>
      <c r="N199" t="inlineStr"/>
      <c r="O199" t="inlineStr"/>
      <c r="P199" t="inlineStr"/>
      <c r="Q199" t="inlineStr">
        <is>
          <t>维也纳</t>
        </is>
      </c>
      <c r="R199" t="inlineStr">
        <is>
          <t>C</t>
        </is>
      </c>
      <c r="S1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199" t="inlineStr">
        <is>
          <t>C-172</t>
        </is>
      </c>
      <c r="U199" t="inlineStr">
        <is>
          <t>B下放·无邮箱（群发触达不到）</t>
        </is>
      </c>
      <c r="V199" t="inlineStr"/>
    </row>
    <row r="200">
      <c r="A200" t="inlineStr">
        <is>
          <t>AlpenEDV</t>
        </is>
      </c>
      <c r="B200" t="inlineStr">
        <is>
          <t>奥地利</t>
        </is>
      </c>
      <c r="C200" t="inlineStr"/>
      <c r="D200" t="inlineStr">
        <is>
          <t>alpenedv.at</t>
        </is>
      </c>
      <c r="E200" t="inlineStr">
        <is>
          <t>分销（MikroTik 官方）</t>
        </is>
      </c>
      <c r="F200" t="inlineStr">
        <is>
          <t>MikroTik（Reseller）</t>
        </is>
      </c>
      <c r="G200" t="inlineStr">
        <is>
          <t>否</t>
        </is>
      </c>
      <c r="H200" t="inlineStr">
        <is>
          <t>卖 MikroTik 但缺工业/ERPS/PoE++ → 用同价位工业线补他的产品缺口</t>
        </is>
      </c>
      <c r="I200" t="inlineStr">
        <is>
          <t>LT-IS6312XGP-4XS8GT</t>
        </is>
      </c>
      <c r="J200" t="inlineStr">
        <is>
          <t>0660 255 255 1 / office@alpenedv.at</t>
        </is>
      </c>
      <c r="K200" t="inlineStr">
        <is>
          <t>★★</t>
        </is>
      </c>
      <c r="L200" t="inlineStr">
        <is>
          <t>未触达</t>
        </is>
      </c>
      <c r="M200" t="inlineStr">
        <is>
          <t>2026-09-22</t>
        </is>
      </c>
      <c r="N200" t="inlineStr"/>
      <c r="O200" t="inlineStr"/>
      <c r="P200" t="inlineStr"/>
      <c r="Q200" t="inlineStr">
        <is>
          <t>Hall in Tirol</t>
        </is>
      </c>
      <c r="R200" t="inlineStr">
        <is>
          <t>B</t>
        </is>
      </c>
      <c r="S200" t="inlineStr">
        <is>
          <t>通用分销商信号，无差异化切入点，慢慢跟</t>
        </is>
      </c>
      <c r="T200" t="inlineStr">
        <is>
          <t>B-108</t>
        </is>
      </c>
      <c r="U200" t="inlineStr"/>
      <c r="V200" t="inlineStr"/>
    </row>
    <row r="201">
      <c r="A201" t="inlineStr">
        <is>
          <t>Florian Valentin / Formatik</t>
        </is>
      </c>
      <c r="B201" t="inlineStr">
        <is>
          <t>奥地利</t>
        </is>
      </c>
      <c r="C201" t="inlineStr">
        <is>
          <t>Ehrwald</t>
        </is>
      </c>
      <c r="D201" t="inlineStr">
        <is>
          <t>formatik.at</t>
        </is>
      </c>
      <c r="E201" t="inlineStr">
        <is>
          <t>集成商/顾问（MikroTik 认证）</t>
        </is>
      </c>
      <c r="F201" t="inlineStr">
        <is>
          <t>MikroTik 认证顾问 MTCNA+MTCRE+MTCTCE</t>
        </is>
      </c>
      <c r="G201" t="inlineStr">
        <is>
          <t>否</t>
        </is>
      </c>
      <c r="H201" t="inlineStr">
        <is>
          <t>MikroTik 认证顾问：自己做方案/集成/运维并自行采购设备 → 用 ERPS/IGMP/VLAN/CLI/MIB 这类技术语言切入，不打价格战</t>
        </is>
      </c>
      <c r="I201" t="inlineStr">
        <is>
          <t>LT-S8328G-4XS24GT-S</t>
        </is>
      </c>
      <c r="J201" t="inlineStr">
        <is>
          <t>+43 5673 21939 / florian@formatik.at</t>
        </is>
      </c>
      <c r="K201" t="inlineStr">
        <is>
          <t>★★★</t>
        </is>
      </c>
      <c r="L201" t="inlineStr">
        <is>
          <t>未触达</t>
        </is>
      </c>
      <c r="M201" t="inlineStr">
        <is>
          <t>2026-09-22</t>
        </is>
      </c>
      <c r="N201" t="inlineStr"/>
      <c r="O201" t="inlineStr"/>
      <c r="P201" t="inlineStr"/>
      <c r="Q201" t="inlineStr">
        <is>
          <t>小型系统集成商（system house），**主要就用 MikroTik 设备** → 品牌忠诚度高的小 ISV，替换决策链短</t>
        </is>
      </c>
      <c r="R201" t="inlineStr">
        <is>
          <t>B</t>
        </is>
      </c>
      <c r="S201" t="inlineStr">
        <is>
          <t>通用分销商信号，无差异化切入点，慢慢跟</t>
        </is>
      </c>
      <c r="T201" t="inlineStr">
        <is>
          <t>B-109</t>
        </is>
      </c>
      <c r="U201" t="inlineStr"/>
      <c r="V201" t="inlineStr"/>
    </row>
    <row r="202">
      <c r="A202" t="inlineStr">
        <is>
          <t>Gunther Engetsberger</t>
        </is>
      </c>
      <c r="B202" t="inlineStr">
        <is>
          <t>奥地利</t>
        </is>
      </c>
      <c r="C202" t="inlineStr">
        <is>
          <t>Oberndorf</t>
        </is>
      </c>
      <c r="D202" t="inlineStr">
        <is>
          <t>sei-ned.org</t>
        </is>
      </c>
      <c r="E202" t="inlineStr">
        <is>
          <t>集成商/顾问（MikroTik 认证）</t>
        </is>
      </c>
      <c r="F202" t="inlineStr">
        <is>
          <t>MikroTik 认证顾问 MTCNA+MTCWE+MTCTCE</t>
        </is>
      </c>
      <c r="G202" t="inlineStr">
        <is>
          <t>否</t>
        </is>
      </c>
      <c r="H202" t="inlineStr">
        <is>
          <t>MikroTik 认证顾问：自己做方案/集成/运维并自行采购设备 → 用 ERPS/IGMP/VLAN/CLI/MIB 这类技术语言切入，不打价格战</t>
        </is>
      </c>
      <c r="I202" t="inlineStr">
        <is>
          <t>LT-S8328G-4XS24GT-S</t>
        </is>
      </c>
      <c r="J202" t="inlineStr">
        <is>
          <t>+43 664 2772011 / office@sei-ned.org</t>
        </is>
      </c>
      <c r="K202" t="inlineStr">
        <is>
          <t>★★</t>
        </is>
      </c>
      <c r="L202" t="inlineStr">
        <is>
          <t>未触达</t>
        </is>
      </c>
      <c r="M202" t="inlineStr">
        <is>
          <t>2026-09-22</t>
        </is>
      </c>
      <c r="N202" t="inlineStr"/>
      <c r="O202" t="inlineStr"/>
      <c r="P202" t="inlineStr"/>
      <c r="Q202" t="inlineStr"/>
      <c r="R202" t="inlineStr">
        <is>
          <t>B</t>
        </is>
      </c>
      <c r="S202" t="inlineStr">
        <is>
          <t>通用分销商信号，无差异化切入点，慢慢跟</t>
        </is>
      </c>
      <c r="T202" t="inlineStr">
        <is>
          <t>B-110</t>
        </is>
      </c>
      <c r="U202" t="inlineStr"/>
      <c r="V202" t="inlineStr"/>
    </row>
    <row r="203">
      <c r="A203" t="inlineStr">
        <is>
          <t>NETZWARE</t>
        </is>
      </c>
      <c r="B203" t="inlineStr">
        <is>
          <t>奥地利</t>
        </is>
      </c>
      <c r="C203" t="inlineStr"/>
      <c r="D203" t="inlineStr">
        <is>
          <t>netzware.at</t>
        </is>
      </c>
      <c r="E203" t="inlineStr">
        <is>
          <t>分销（MikroTik 官方）</t>
        </is>
      </c>
      <c r="F203" t="inlineStr">
        <is>
          <t>MikroTik（Master+VAD）</t>
        </is>
      </c>
      <c r="G203" t="inlineStr">
        <is>
          <t>否</t>
        </is>
      </c>
      <c r="H203" t="inlineStr">
        <is>
          <t>MikroTik 官方分销，商用线可直接比价，工业线为零 → 新品类增量</t>
        </is>
      </c>
      <c r="I203" t="inlineStr">
        <is>
          <t>LT-S8328XG-4XS8GT-S</t>
        </is>
      </c>
      <c r="J203" t="inlineStr">
        <is>
          <t>+43 1 3577777 / office@netzware.at</t>
        </is>
      </c>
      <c r="K203" t="inlineStr">
        <is>
          <t>★★★</t>
        </is>
      </c>
      <c r="L203" t="inlineStr">
        <is>
          <t>未触达</t>
        </is>
      </c>
      <c r="M203" t="inlineStr">
        <is>
          <t>2026-09-22</t>
        </is>
      </c>
      <c r="N203" t="inlineStr"/>
      <c r="O203" t="inlineStr"/>
      <c r="P203" t="inlineStr"/>
      <c r="Q203" t="inlineStr">
        <is>
          <t>Wien</t>
        </is>
      </c>
      <c r="R203" t="inlineStr">
        <is>
          <t>B</t>
        </is>
      </c>
      <c r="S203" t="inlineStr">
        <is>
          <t>通用分销商信号，无差异化切入点，慢慢跟</t>
        </is>
      </c>
      <c r="T203" t="inlineStr">
        <is>
          <t>B-111</t>
        </is>
      </c>
      <c r="U203" t="inlineStr"/>
      <c r="V203" t="inlineStr"/>
    </row>
    <row r="204">
      <c r="A204" t="inlineStr">
        <is>
          <t>QEDV IT-Lösungen（Raum4 GmbH）</t>
        </is>
      </c>
      <c r="B204" t="inlineStr">
        <is>
          <t>奥地利</t>
        </is>
      </c>
      <c r="C204" t="inlineStr"/>
      <c r="D204" t="inlineStr">
        <is>
          <t>shop.qedv.at</t>
        </is>
      </c>
      <c r="E204" t="inlineStr">
        <is>
          <t>分销（MikroTik 官方）</t>
        </is>
      </c>
      <c r="F204" t="inlineStr">
        <is>
          <t>MikroTik（Reseller）</t>
        </is>
      </c>
      <c r="G204" t="inlineStr">
        <is>
          <t>否</t>
        </is>
      </c>
      <c r="H204" t="inlineStr">
        <is>
          <t>MikroTik 官方分销，商用线可直接比价，工业线为零 → 新品类增量</t>
        </is>
      </c>
      <c r="I204" t="inlineStr">
        <is>
          <t>LT-S8328XG-4XS8GT-S</t>
        </is>
      </c>
      <c r="J204" t="inlineStr">
        <is>
          <t>+43 676 852 996 701 / office@qedv.at</t>
        </is>
      </c>
      <c r="K204" t="inlineStr">
        <is>
          <t>★★</t>
        </is>
      </c>
      <c r="L204" t="inlineStr">
        <is>
          <t>未触达</t>
        </is>
      </c>
      <c r="M204" t="inlineStr">
        <is>
          <t>2026-09-22</t>
        </is>
      </c>
      <c r="N204" t="inlineStr"/>
      <c r="O204" t="inlineStr"/>
      <c r="P204" t="inlineStr"/>
      <c r="Q204" t="inlineStr">
        <is>
          <t>Hall in Tirol</t>
        </is>
      </c>
      <c r="R204" t="inlineStr">
        <is>
          <t>B</t>
        </is>
      </c>
      <c r="S204" t="inlineStr">
        <is>
          <t>通用分销商信号，无差异化切入点，慢慢跟</t>
        </is>
      </c>
      <c r="T204" t="inlineStr">
        <is>
          <t>B-112</t>
        </is>
      </c>
      <c r="U204" t="inlineStr"/>
      <c r="V204" t="inlineStr"/>
    </row>
    <row r="205">
      <c r="A205" t="inlineStr">
        <is>
          <t>TRIOTRONIK</t>
        </is>
      </c>
      <c r="B205" t="inlineStr">
        <is>
          <t>奥地利</t>
        </is>
      </c>
      <c r="C205" t="inlineStr"/>
      <c r="D205" t="inlineStr">
        <is>
          <t>triotronik.com</t>
        </is>
      </c>
      <c r="E205" t="inlineStr">
        <is>
          <t>分销（MikroTik 官方）</t>
        </is>
      </c>
      <c r="F205" t="inlineStr">
        <is>
          <t>MikroTik（Master）</t>
        </is>
      </c>
      <c r="G205" t="inlineStr">
        <is>
          <t>否</t>
        </is>
      </c>
      <c r="H205" t="inlineStr">
        <is>
          <t>专属邮箱 mikrotik@triotronik.com + 站内 MikroTik 专页 → 单品牌依赖</t>
        </is>
      </c>
      <c r="I205" t="inlineStr">
        <is>
          <t>LT-IS6312XGP-4XS8GT</t>
        </is>
      </c>
      <c r="J205" t="inlineStr">
        <is>
          <t>+43 3172 42299 0 / mikrotik@triotronik.com</t>
        </is>
      </c>
      <c r="K205" t="inlineStr">
        <is>
          <t>★★★</t>
        </is>
      </c>
      <c r="L205" t="inlineStr">
        <is>
          <t>未触达</t>
        </is>
      </c>
      <c r="M205" t="inlineStr">
        <is>
          <t>2026-09-22</t>
        </is>
      </c>
      <c r="N205" t="inlineStr"/>
      <c r="O205" t="inlineStr"/>
      <c r="P205" t="inlineStr"/>
      <c r="Q205" t="inlineStr">
        <is>
          <t>Weiz</t>
        </is>
      </c>
      <c r="R205" t="inlineStr">
        <is>
          <t>B</t>
        </is>
      </c>
      <c r="S205" t="inlineStr">
        <is>
          <t>通用分销商信号，无差异化切入点，慢慢跟</t>
        </is>
      </c>
      <c r="T205" t="inlineStr">
        <is>
          <t>B-113</t>
        </is>
      </c>
      <c r="U205" t="inlineStr"/>
      <c r="V205" t="inlineStr"/>
    </row>
    <row r="206">
      <c r="A206" t="inlineStr">
        <is>
          <t>evoNET</t>
        </is>
      </c>
      <c r="B206" t="inlineStr">
        <is>
          <t>奥地利</t>
        </is>
      </c>
      <c r="C206" t="inlineStr"/>
      <c r="D206" t="inlineStr">
        <is>
          <t>evonet.at</t>
        </is>
      </c>
      <c r="E206" t="inlineStr">
        <is>
          <t>分销（MikroTik 官方）</t>
        </is>
      </c>
      <c r="F206" t="inlineStr">
        <is>
          <t>MikroTik（Reseller）</t>
        </is>
      </c>
      <c r="G206" t="inlineStr">
        <is>
          <t>否</t>
        </is>
      </c>
      <c r="H206" t="inlineStr">
        <is>
          <t>卖 MikroTik 但缺工业/ERPS/PoE++ → 用同价位工业线补他的产品缺口</t>
        </is>
      </c>
      <c r="I206" t="inlineStr">
        <is>
          <t>LT-IS6312XG-4XS8GT</t>
        </is>
      </c>
      <c r="J206" t="inlineStr">
        <is>
          <t>+43 5442 64381 / info@evonet.at</t>
        </is>
      </c>
      <c r="K206" t="inlineStr">
        <is>
          <t>★★</t>
        </is>
      </c>
      <c r="L206" t="inlineStr">
        <is>
          <t>未触达</t>
        </is>
      </c>
      <c r="M206" t="inlineStr">
        <is>
          <t>2026-09-22</t>
        </is>
      </c>
      <c r="N206" t="inlineStr"/>
      <c r="O206" t="inlineStr"/>
      <c r="P206" t="inlineStr"/>
      <c r="Q206" t="inlineStr">
        <is>
          <t>Landeck</t>
        </is>
      </c>
      <c r="R206" t="inlineStr">
        <is>
          <t>B</t>
        </is>
      </c>
      <c r="S206" t="inlineStr">
        <is>
          <t>通用分销商信号，无差异化切入点，慢慢跟</t>
        </is>
      </c>
      <c r="T206" t="inlineStr">
        <is>
          <t>B-114</t>
        </is>
      </c>
      <c r="U206" t="inlineStr"/>
      <c r="V206" t="inlineStr"/>
    </row>
    <row r="207">
      <c r="A207" t="inlineStr">
        <is>
          <t>Allnet.Greece</t>
        </is>
      </c>
      <c r="B207" t="inlineStr">
        <is>
          <t>希腊</t>
        </is>
      </c>
      <c r="C207" t="inlineStr"/>
      <c r="D207" t="inlineStr">
        <is>
          <t>allnet-italia.it</t>
        </is>
      </c>
      <c r="E207" t="inlineStr">
        <is>
          <t>分销（MikroTik 官方）</t>
        </is>
      </c>
      <c r="F207" t="inlineStr">
        <is>
          <t>MikroTik（Master）</t>
        </is>
      </c>
      <c r="G207" t="inlineStr">
        <is>
          <t>否</t>
        </is>
      </c>
      <c r="H207" t="inlineStr">
        <is>
          <t>ALLNET 集团希腊站（德/法/意/丹/希 = 5 国）</t>
        </is>
      </c>
      <c r="I207" t="inlineStr">
        <is>
          <t>LT-S8328GP-4GX24GT</t>
        </is>
      </c>
      <c r="J207" t="inlineStr">
        <is>
          <t>+30 697 552 0100 / ioanna@allnet-italia.it</t>
        </is>
      </c>
      <c r="K207" t="inlineStr">
        <is>
          <t>★★★</t>
        </is>
      </c>
      <c r="L207" t="inlineStr">
        <is>
          <t>未触达</t>
        </is>
      </c>
      <c r="M207" t="inlineStr">
        <is>
          <t>2026-09-22</t>
        </is>
      </c>
      <c r="N207" t="inlineStr"/>
      <c r="O207" t="inlineStr"/>
      <c r="P207" t="inlineStr"/>
      <c r="Q207" t="inlineStr">
        <is>
          <t>Argyroupoli</t>
        </is>
      </c>
      <c r="R207" t="inlineStr">
        <is>
          <t>B</t>
        </is>
      </c>
      <c r="S207" t="inlineStr">
        <is>
          <t>通用分销商信号，无差异化切入点，慢慢跟</t>
        </is>
      </c>
      <c r="T207" t="inlineStr">
        <is>
          <t>B-115</t>
        </is>
      </c>
      <c r="U207" t="inlineStr"/>
      <c r="V207" t="inlineStr"/>
    </row>
    <row r="208">
      <c r="A208" t="inlineStr">
        <is>
          <t>Alpha Motion S.A.</t>
        </is>
      </c>
      <c r="B208" t="inlineStr">
        <is>
          <t>希腊</t>
        </is>
      </c>
      <c r="C208" t="inlineStr">
        <is>
          <t>Pikermi (Attica)</t>
        </is>
      </c>
      <c r="D208" t="inlineStr">
        <is>
          <t>alpha-motion.gr</t>
        </is>
      </c>
      <c r="E208" t="inlineStr">
        <is>
          <t>分销（HMS/N-Tron·Red Lion 渠道）</t>
        </is>
      </c>
      <c r="F208" t="inlineStr">
        <is>
          <t>N-Tron + Red Lion</t>
        </is>
      </c>
      <c r="G208" t="inlineStr">
        <is>
          <t>否</t>
        </is>
      </c>
      <c r="H208" t="inlineStr">
        <is>
          <t>卖 N-Tron/Red Lion 工业交换机（8口非网管约 $500+）→ 中性货同规格 LT-IS6310G 约 $91，做第二供应商，价差 5 倍</t>
        </is>
      </c>
      <c r="I208" t="inlineStr">
        <is>
          <t>LT-IS6310G</t>
        </is>
      </c>
      <c r="J208" t="inlineStr">
        <is>
          <t>官网联系页（HMS 名录只公开地址与网址）</t>
        </is>
      </c>
      <c r="K208" t="inlineStr">
        <is>
          <t>★★★</t>
        </is>
      </c>
      <c r="L208" t="inlineStr">
        <is>
          <t>未触达</t>
        </is>
      </c>
      <c r="M208" t="inlineStr">
        <is>
          <t>2026-09-22</t>
        </is>
      </c>
      <c r="N208" t="inlineStr"/>
      <c r="O208" t="inlineStr"/>
      <c r="P208" t="inlineStr"/>
      <c r="Q208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208" t="inlineStr">
        <is>
          <t>C</t>
        </is>
      </c>
      <c r="S2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08" t="inlineStr">
        <is>
          <t>C-173</t>
        </is>
      </c>
      <c r="U208" t="inlineStr">
        <is>
          <t>B下放·无邮箱（群发触达不到）</t>
        </is>
      </c>
      <c r="V208" t="inlineStr"/>
    </row>
    <row r="209">
      <c r="A209" t="inlineStr">
        <is>
          <t>Automation Experts</t>
        </is>
      </c>
      <c r="B209" t="inlineStr">
        <is>
          <t>希腊</t>
        </is>
      </c>
      <c r="C209" t="inlineStr"/>
      <c r="D209" t="inlineStr">
        <is>
          <t>automationexperts.gr</t>
        </is>
      </c>
      <c r="E209" t="inlineStr">
        <is>
          <t>分销（Antaira 授权）</t>
        </is>
      </c>
      <c r="F209" t="inlineStr">
        <is>
          <t>Antaira</t>
        </is>
      </c>
      <c r="G209" t="inlineStr">
        <is>
          <t>否</t>
        </is>
      </c>
      <c r="H209" t="inlineStr">
        <is>
          <t>工业/轨道同规格 1/3 价第二供应源</t>
        </is>
      </c>
      <c r="I209" t="inlineStr">
        <is>
          <t>LT-IS6312XG-4XS8GT</t>
        </is>
      </c>
      <c r="J209" t="inlineStr">
        <is>
          <t>+30 210 28 15 988 / info@automationexperts.gr</t>
        </is>
      </c>
      <c r="K209" t="inlineStr">
        <is>
          <t>★★</t>
        </is>
      </c>
      <c r="L209" t="inlineStr">
        <is>
          <t>未触达</t>
        </is>
      </c>
      <c r="M209" t="inlineStr">
        <is>
          <t>2026-09-22</t>
        </is>
      </c>
      <c r="N209" t="inlineStr"/>
      <c r="O209" t="inlineStr"/>
      <c r="P209" t="inlineStr"/>
      <c r="Q209" t="inlineStr">
        <is>
          <t>雅典</t>
        </is>
      </c>
      <c r="R209" t="inlineStr">
        <is>
          <t>B</t>
        </is>
      </c>
      <c r="S209" t="inlineStr">
        <is>
          <t>通用分销商信号，无差异化切入点，慢慢跟</t>
        </is>
      </c>
      <c r="T209" t="inlineStr">
        <is>
          <t>B-117</t>
        </is>
      </c>
      <c r="U209" t="inlineStr"/>
      <c r="V209" t="inlineStr"/>
    </row>
    <row r="210">
      <c r="A210" t="inlineStr">
        <is>
          <t>CABLEWORKS</t>
        </is>
      </c>
      <c r="B210" t="inlineStr">
        <is>
          <t>希腊</t>
        </is>
      </c>
      <c r="C210" t="inlineStr"/>
      <c r="D210" t="inlineStr">
        <is>
          <t>cableworks.gr</t>
        </is>
      </c>
      <c r="E210" t="inlineStr">
        <is>
          <t>分销（MikroTik 官方）</t>
        </is>
      </c>
      <c r="F210" t="inlineStr">
        <is>
          <t>MikroTik（Reseller）</t>
        </is>
      </c>
      <c r="G210" t="inlineStr">
        <is>
          <t>否</t>
        </is>
      </c>
      <c r="H210" t="inlineStr">
        <is>
          <t>MikroTik 官方分销，商用线可直接比价，工业线为零 → 新品类增量</t>
        </is>
      </c>
      <c r="I210" t="inlineStr">
        <is>
          <t>LT-S8328XG-4XS8GT-S</t>
        </is>
      </c>
      <c r="J210" t="inlineStr">
        <is>
          <t>+30 211 850 2484 / info@cableworks.gr</t>
        </is>
      </c>
      <c r="K210" t="inlineStr">
        <is>
          <t>★★</t>
        </is>
      </c>
      <c r="L210" t="inlineStr">
        <is>
          <t>未触达</t>
        </is>
      </c>
      <c r="M210" t="inlineStr">
        <is>
          <t>2026-09-22</t>
        </is>
      </c>
      <c r="N210" t="inlineStr"/>
      <c r="O210" t="inlineStr"/>
      <c r="P210" t="inlineStr"/>
      <c r="Q210" t="inlineStr">
        <is>
          <t>Argyroupoli</t>
        </is>
      </c>
      <c r="R210" t="inlineStr">
        <is>
          <t>B</t>
        </is>
      </c>
      <c r="S210" t="inlineStr">
        <is>
          <t>通用分销商信号，无差异化切入点，慢慢跟</t>
        </is>
      </c>
      <c r="T210" t="inlineStr">
        <is>
          <t>B-118</t>
        </is>
      </c>
      <c r="U210" t="inlineStr"/>
      <c r="V210" t="inlineStr"/>
    </row>
    <row r="211">
      <c r="A211" t="inlineStr">
        <is>
          <t>Christos Kotoufos</t>
        </is>
      </c>
      <c r="B211" t="inlineStr">
        <is>
          <t>希腊</t>
        </is>
      </c>
      <c r="C211" t="inlineStr">
        <is>
          <t>Nea Makri</t>
        </is>
      </c>
      <c r="D211" t="inlineStr"/>
      <c r="E211" t="inlineStr">
        <is>
          <t>集成商/顾问（MikroTik 认证）</t>
        </is>
      </c>
      <c r="F211" t="inlineStr">
        <is>
          <t>MikroTik 认证顾问 MTCNA+MTCSE</t>
        </is>
      </c>
      <c r="G211" t="inlineStr">
        <is>
          <t>否</t>
        </is>
      </c>
      <c r="H211" t="inlineStr">
        <is>
          <t>MikroTik 认证顾问：自己做方案/集成/运维并自行采购设备 → 用 ERPS/IGMP/VLAN/CLI/MIB 这类技术语言切入，不打价格战</t>
        </is>
      </c>
      <c r="I211" t="inlineStr">
        <is>
          <t>LT-S8328G-4XS24GT-S</t>
        </is>
      </c>
      <c r="J211" t="inlineStr">
        <is>
          <t>+30 211 800 0313 / chriskotoufos@gmail.com</t>
        </is>
      </c>
      <c r="K211" t="inlineStr">
        <is>
          <t>★★</t>
        </is>
      </c>
      <c r="L211" t="inlineStr">
        <is>
          <t>未触达</t>
        </is>
      </c>
      <c r="M211" t="inlineStr">
        <is>
          <t>2026-09-22</t>
        </is>
      </c>
      <c r="N211" t="inlineStr"/>
      <c r="O211" t="inlineStr"/>
      <c r="P211" t="inlineStr"/>
      <c r="Q211" t="inlineStr"/>
      <c r="R211" t="inlineStr">
        <is>
          <t>B</t>
        </is>
      </c>
      <c r="S211" t="inlineStr">
        <is>
          <t>通用分销商信号，无差异化切入点，慢慢跟</t>
        </is>
      </c>
      <c r="T211" t="inlineStr">
        <is>
          <t>B-119</t>
        </is>
      </c>
      <c r="U211" t="inlineStr"/>
      <c r="V211" t="inlineStr"/>
    </row>
    <row r="212">
      <c r="A212" t="inlineStr">
        <is>
          <t>E-WIRELESS</t>
        </is>
      </c>
      <c r="B212" t="inlineStr">
        <is>
          <t>希腊</t>
        </is>
      </c>
      <c r="C212" t="inlineStr"/>
      <c r="D212" t="inlineStr">
        <is>
          <t>e-wireless.gr</t>
        </is>
      </c>
      <c r="E212" t="inlineStr">
        <is>
          <t>分销（MikroTik 官方）</t>
        </is>
      </c>
      <c r="F212" t="inlineStr">
        <is>
          <t>MikroTik（Master）</t>
        </is>
      </c>
      <c r="G212" t="inlineStr">
        <is>
          <t>否</t>
        </is>
      </c>
      <c r="H212" t="inlineStr">
        <is>
          <t>卖 MikroTik 但缺工业/ERPS/PoE++ → 用同价位工业线补他的产品缺口</t>
        </is>
      </c>
      <c r="I212" t="inlineStr">
        <is>
          <t>LT-IS6312XG-4XS8GT</t>
        </is>
      </c>
      <c r="J212" t="inlineStr">
        <is>
          <t>+30 211 850 2484 / info@e-wireless.gr</t>
        </is>
      </c>
      <c r="K212" t="inlineStr">
        <is>
          <t>★★★</t>
        </is>
      </c>
      <c r="L212" t="inlineStr">
        <is>
          <t>未触达</t>
        </is>
      </c>
      <c r="M212" t="inlineStr">
        <is>
          <t>2026-09-22</t>
        </is>
      </c>
      <c r="N212" t="inlineStr"/>
      <c r="O212" t="inlineStr"/>
      <c r="P212" t="inlineStr"/>
      <c r="Q212" t="inlineStr">
        <is>
          <t>Argyroupoli</t>
        </is>
      </c>
      <c r="R212" t="inlineStr">
        <is>
          <t>B</t>
        </is>
      </c>
      <c r="S212" t="inlineStr">
        <is>
          <t>通用分销商信号，无差异化切入点，慢慢跟</t>
        </is>
      </c>
      <c r="T212" t="inlineStr">
        <is>
          <t>B-120</t>
        </is>
      </c>
      <c r="U212" t="inlineStr"/>
      <c r="V212" t="inlineStr"/>
    </row>
    <row r="213">
      <c r="A213" t="inlineStr">
        <is>
          <t>George Alexander Kontaxakis / EXA Solutions</t>
        </is>
      </c>
      <c r="B213" t="inlineStr">
        <is>
          <t>希腊</t>
        </is>
      </c>
      <c r="C213" t="inlineStr">
        <is>
          <t>Heraklion（克里特）</t>
        </is>
      </c>
      <c r="D213" t="inlineStr">
        <is>
          <t>exasolutions.gr</t>
        </is>
      </c>
      <c r="E213" t="inlineStr">
        <is>
          <t>集成商/顾问（MikroTik 认证）</t>
        </is>
      </c>
      <c r="F213" t="inlineStr">
        <is>
          <t>MikroTik 认证顾问 MTCNA+MTCRE</t>
        </is>
      </c>
      <c r="G213" t="inlineStr">
        <is>
          <t>否</t>
        </is>
      </c>
      <c r="H213" t="inlineStr">
        <is>
          <t>MikroTik 认证顾问：自己做方案/集成/运维并自行采购设备 → 用 ERPS/IGMP/VLAN/CLI/MIB 这类技术语言切入，不打价格战</t>
        </is>
      </c>
      <c r="I213" t="inlineStr">
        <is>
          <t>LT-S8328G-4XS24GT-S</t>
        </is>
      </c>
      <c r="J213" t="inlineStr">
        <is>
          <t>+30 694 610 4339 / geokodax@exasolutions.gr</t>
        </is>
      </c>
      <c r="K213" t="inlineStr">
        <is>
          <t>★★</t>
        </is>
      </c>
      <c r="L213" t="inlineStr">
        <is>
          <t>未触达</t>
        </is>
      </c>
      <c r="M213" t="inlineStr">
        <is>
          <t>2026-09-22</t>
        </is>
      </c>
      <c r="N213" t="inlineStr"/>
      <c r="O213" t="inlineStr"/>
      <c r="P213" t="inlineStr"/>
      <c r="Q213" t="inlineStr">
        <is>
          <t>IT 服务与**企业级规模网络**</t>
        </is>
      </c>
      <c r="R213" t="inlineStr">
        <is>
          <t>B</t>
        </is>
      </c>
      <c r="S213" t="inlineStr">
        <is>
          <t>通用分销商信号，无差异化切入点，慢慢跟</t>
        </is>
      </c>
      <c r="T213" t="inlineStr">
        <is>
          <t>B-121</t>
        </is>
      </c>
      <c r="U213" t="inlineStr"/>
      <c r="V213" t="inlineStr"/>
    </row>
    <row r="214">
      <c r="A214" t="inlineStr">
        <is>
          <t>George Karoubalis</t>
        </is>
      </c>
      <c r="B214" t="inlineStr">
        <is>
          <t>希腊</t>
        </is>
      </c>
      <c r="C214" t="inlineStr">
        <is>
          <t>Athens</t>
        </is>
      </c>
      <c r="D214" t="inlineStr"/>
      <c r="E214" t="inlineStr">
        <is>
          <t>集成商/顾问（MikroTik 认证）</t>
        </is>
      </c>
      <c r="F214" t="inlineStr">
        <is>
          <t>MikroTik 认证顾问 MTCNA+MTCRE+MTCWE+MTCTCE+MTCUME+MTCIPv6E+MTCSE</t>
        </is>
      </c>
      <c r="G214" t="inlineStr">
        <is>
          <t>否</t>
        </is>
      </c>
      <c r="H214" t="inlineStr">
        <is>
          <t>MikroTik 认证顾问：自己做方案/集成/运维并自行采购设备 → 用 ERPS/IGMP/VLAN/CLI/MIB 这类技术语言切入，不打价格战</t>
        </is>
      </c>
      <c r="I214" t="inlineStr">
        <is>
          <t>LT-S8328G-4XS24GT-S</t>
        </is>
      </c>
      <c r="J214" t="inlineStr">
        <is>
          <t>+30 210 440 0091 / g.karoub@gmail.com</t>
        </is>
      </c>
      <c r="K214" t="inlineStr">
        <is>
          <t>★★★</t>
        </is>
      </c>
      <c r="L214" t="inlineStr">
        <is>
          <t>未触达</t>
        </is>
      </c>
      <c r="M214" t="inlineStr">
        <is>
          <t>2026-09-22</t>
        </is>
      </c>
      <c r="N214" t="inlineStr"/>
      <c r="O214" t="inlineStr"/>
      <c r="P214" t="inlineStr"/>
      <c r="Q214" t="inlineStr">
        <is>
          <t>7 证含 MTCUME（用户管理）+ MTCTCE（流量控制）</t>
        </is>
      </c>
      <c r="R214" t="inlineStr">
        <is>
          <t>B</t>
        </is>
      </c>
      <c r="S214" t="inlineStr">
        <is>
          <t>通用分销商信号，无差异化切入点，慢慢跟</t>
        </is>
      </c>
      <c r="T214" t="inlineStr">
        <is>
          <t>B-122</t>
        </is>
      </c>
      <c r="U214" t="inlineStr"/>
      <c r="V214" t="inlineStr"/>
    </row>
    <row r="215">
      <c r="A215" t="inlineStr">
        <is>
          <t>Georgios Floros</t>
        </is>
      </c>
      <c r="B215" t="inlineStr">
        <is>
          <t>希腊</t>
        </is>
      </c>
      <c r="C215" t="inlineStr">
        <is>
          <t>Pallini</t>
        </is>
      </c>
      <c r="D215" t="inlineStr"/>
      <c r="E215" t="inlineStr">
        <is>
          <t>集成商/顾问（MikroTik 认证）</t>
        </is>
      </c>
      <c r="F215" t="inlineStr">
        <is>
          <t>MikroTik 认证顾问 MTCNA+MTCSE</t>
        </is>
      </c>
      <c r="G215" t="inlineStr">
        <is>
          <t>否</t>
        </is>
      </c>
      <c r="H215" t="inlineStr">
        <is>
          <t>MikroTik 认证顾问：自己做方案/集成/运维并自行采购设备 → 用 ERPS/IGMP/VLAN/CLI/MIB 这类技术语言切入，不打价格战</t>
        </is>
      </c>
      <c r="I215" t="inlineStr">
        <is>
          <t>LT-S8328G-4XS24GT-S</t>
        </is>
      </c>
      <c r="J215" t="inlineStr">
        <is>
          <t>+30 215 555 2222 / giorgosfloros@yahoo.co.uk</t>
        </is>
      </c>
      <c r="K215" t="inlineStr">
        <is>
          <t>★★</t>
        </is>
      </c>
      <c r="L215" t="inlineStr">
        <is>
          <t>未触达</t>
        </is>
      </c>
      <c r="M215" t="inlineStr">
        <is>
          <t>2026-09-22</t>
        </is>
      </c>
      <c r="N215" t="inlineStr"/>
      <c r="O215" t="inlineStr"/>
      <c r="P215" t="inlineStr"/>
      <c r="Q215" t="inlineStr"/>
      <c r="R215" t="inlineStr">
        <is>
          <t>B</t>
        </is>
      </c>
      <c r="S215" t="inlineStr">
        <is>
          <t>通用分销商信号，无差异化切入点，慢慢跟</t>
        </is>
      </c>
      <c r="T215" t="inlineStr">
        <is>
          <t>B-123</t>
        </is>
      </c>
      <c r="U215" t="inlineStr"/>
      <c r="V215" t="inlineStr"/>
    </row>
    <row r="216">
      <c r="A216" t="inlineStr">
        <is>
          <t>Georgios Papageorgiou / DSlab</t>
        </is>
      </c>
      <c r="B216" t="inlineStr">
        <is>
          <t>希腊</t>
        </is>
      </c>
      <c r="C216" t="inlineStr">
        <is>
          <t>Chania</t>
        </is>
      </c>
      <c r="D216" t="inlineStr">
        <is>
          <t>dslab.gr</t>
        </is>
      </c>
      <c r="E216" t="inlineStr">
        <is>
          <t>集成商/顾问（MikroTik 认证）</t>
        </is>
      </c>
      <c r="F216" t="inlineStr">
        <is>
          <t>MikroTik 认证顾问 MTCNA+MTCWE+MTCIPv6E+MTCSE+MTCEWE</t>
        </is>
      </c>
      <c r="G216" t="inlineStr">
        <is>
          <t>否</t>
        </is>
      </c>
      <c r="H216" t="inlineStr">
        <is>
          <t>MikroTik 认证顾问：自己做方案/集成/运维并自行采购设备 → 用 ERPS/IGMP/VLAN/CLI/MIB 这类技术语言切入，不打价格战</t>
        </is>
      </c>
      <c r="I216" t="inlineStr">
        <is>
          <t>LT-S8328G-4XS24GT-S</t>
        </is>
      </c>
      <c r="J216" t="inlineStr">
        <is>
          <t>+30 694 240 0212 / info@dslab.gr</t>
        </is>
      </c>
      <c r="K216" t="inlineStr">
        <is>
          <t>★★</t>
        </is>
      </c>
      <c r="L216" t="inlineStr">
        <is>
          <t>未触达</t>
        </is>
      </c>
      <c r="M216" t="inlineStr">
        <is>
          <t>2026-09-22</t>
        </is>
      </c>
      <c r="N216" t="inlineStr"/>
      <c r="O216" t="inlineStr"/>
      <c r="P216" t="inlineStr"/>
      <c r="Q216" t="inlineStr">
        <is>
          <t>负载均衡与故障切换、队列树 QoS、Hotspot、无线、隧道 VPN、CAPsMAN、防火墙、The Dude 监控</t>
        </is>
      </c>
      <c r="R216" t="inlineStr">
        <is>
          <t>B</t>
        </is>
      </c>
      <c r="S216" t="inlineStr">
        <is>
          <t>通用分销商信号，无差异化切入点，慢慢跟</t>
        </is>
      </c>
      <c r="T216" t="inlineStr">
        <is>
          <t>B-124</t>
        </is>
      </c>
      <c r="U216" t="inlineStr"/>
      <c r="V216" t="inlineStr"/>
    </row>
    <row r="217">
      <c r="A217" t="inlineStr">
        <is>
          <t>Hellas Digital</t>
        </is>
      </c>
      <c r="B217" t="inlineStr">
        <is>
          <t>希腊</t>
        </is>
      </c>
      <c r="C217" t="inlineStr"/>
      <c r="D217" t="inlineStr">
        <is>
          <t>hellasdigital.gr</t>
        </is>
      </c>
      <c r="E217" t="inlineStr">
        <is>
          <t>分销（MikroTik 官方）</t>
        </is>
      </c>
      <c r="F217" t="inlineStr">
        <is>
          <t>MikroTik（Master）</t>
        </is>
      </c>
      <c r="G217" t="inlineStr">
        <is>
          <t>否</t>
        </is>
      </c>
      <c r="H217" t="inlineStr">
        <is>
          <t>MikroTik 官方分销，商用线可直接比价，工业线为零 → 新品类增量</t>
        </is>
      </c>
      <c r="I217" t="inlineStr">
        <is>
          <t>LT-S8328XG-4XS8GT-S</t>
        </is>
      </c>
      <c r="J217" t="inlineStr">
        <is>
          <t>+30 210 96 111 69 / info@hellasdigital.gr</t>
        </is>
      </c>
      <c r="K217" t="inlineStr">
        <is>
          <t>★★★</t>
        </is>
      </c>
      <c r="L217" t="inlineStr">
        <is>
          <t>未触达</t>
        </is>
      </c>
      <c r="M217" t="inlineStr">
        <is>
          <t>2026-09-22</t>
        </is>
      </c>
      <c r="N217" t="inlineStr"/>
      <c r="O217" t="inlineStr"/>
      <c r="P217" t="inlineStr"/>
      <c r="Q217" t="inlineStr">
        <is>
          <t>Athens</t>
        </is>
      </c>
      <c r="R217" t="inlineStr">
        <is>
          <t>B</t>
        </is>
      </c>
      <c r="S217" t="inlineStr">
        <is>
          <t>通用分销商信号，无差异化切入点，慢慢跟</t>
        </is>
      </c>
      <c r="T217" t="inlineStr">
        <is>
          <t>B-125</t>
        </is>
      </c>
      <c r="U217" t="inlineStr"/>
      <c r="V217" t="inlineStr"/>
    </row>
    <row r="218">
      <c r="A218" t="inlineStr">
        <is>
          <t>Ioannis Orfanos</t>
        </is>
      </c>
      <c r="B218" t="inlineStr">
        <is>
          <t>希腊</t>
        </is>
      </c>
      <c r="C218" t="inlineStr">
        <is>
          <t>Asini Nafpliou</t>
        </is>
      </c>
      <c r="D218" t="inlineStr"/>
      <c r="E218" t="inlineStr">
        <is>
          <t>集成商/顾问（MikroTik 认证）</t>
        </is>
      </c>
      <c r="F218" t="inlineStr">
        <is>
          <t>MikroTik 认证顾问 MTCNA+MTCRE+MTCINE</t>
        </is>
      </c>
      <c r="G218" t="inlineStr">
        <is>
          <t>否</t>
        </is>
      </c>
      <c r="H218" t="inlineStr">
        <is>
          <t>MikroTik 认证顾问：自己做方案/集成/运维并自行采购设备 → 用 ERPS/IGMP/VLAN/CLI/MIB 这类技术语言切入，不打价格战</t>
        </is>
      </c>
      <c r="I218" t="inlineStr">
        <is>
          <t>LT-S8328G-4XS24GT-S</t>
        </is>
      </c>
      <c r="J218" t="inlineStr">
        <is>
          <t>+30 694 747 4659 / fearasini@gmail.com</t>
        </is>
      </c>
      <c r="K218" t="inlineStr">
        <is>
          <t>★★</t>
        </is>
      </c>
      <c r="L218" t="inlineStr">
        <is>
          <t>未触达</t>
        </is>
      </c>
      <c r="M218" t="inlineStr">
        <is>
          <t>2026-09-22</t>
        </is>
      </c>
      <c r="N218" t="inlineStr"/>
      <c r="O218" t="inlineStr"/>
      <c r="P218" t="inlineStr"/>
      <c r="Q218" t="inlineStr">
        <is>
          <t>含 MTCINE（ISP 互联）</t>
        </is>
      </c>
      <c r="R218" t="inlineStr">
        <is>
          <t>B</t>
        </is>
      </c>
      <c r="S218" t="inlineStr">
        <is>
          <t>通用分销商信号，无差异化切入点，慢慢跟</t>
        </is>
      </c>
      <c r="T218" t="inlineStr">
        <is>
          <t>B-126</t>
        </is>
      </c>
      <c r="U218" t="inlineStr"/>
      <c r="V218" t="inlineStr"/>
    </row>
    <row r="219">
      <c r="A219" t="inlineStr">
        <is>
          <t>Konstantinos Analytis / Alfa-Tech</t>
        </is>
      </c>
      <c r="B219" t="inlineStr">
        <is>
          <t>希腊</t>
        </is>
      </c>
      <c r="C219" t="inlineStr">
        <is>
          <t>Argostoli</t>
        </is>
      </c>
      <c r="D219" t="inlineStr">
        <is>
          <t>alfa-tech.gr</t>
        </is>
      </c>
      <c r="E219" t="inlineStr">
        <is>
          <t>集成商/顾问（MikroTik 认证）</t>
        </is>
      </c>
      <c r="F219" t="inlineStr">
        <is>
          <t>MikroTik 认证顾问 MTCNA+MTCSE</t>
        </is>
      </c>
      <c r="G219" t="inlineStr">
        <is>
          <t>否</t>
        </is>
      </c>
      <c r="H219" t="inlineStr">
        <is>
          <t>MikroTik 认证顾问：自己做方案/集成/运维并自行采购设备 → 用 ERPS/IGMP/VLAN/CLI/MIB 这类技术语言切入，不打价格战</t>
        </is>
      </c>
      <c r="I219" t="inlineStr">
        <is>
          <t>LT-S8328G-4XS24GT-S</t>
        </is>
      </c>
      <c r="J219" t="inlineStr">
        <is>
          <t>+30 26710 23655 / ka@alfa-tech.gr</t>
        </is>
      </c>
      <c r="K219" t="inlineStr">
        <is>
          <t>★★</t>
        </is>
      </c>
      <c r="L219" t="inlineStr">
        <is>
          <t>未触达</t>
        </is>
      </c>
      <c r="M219" t="inlineStr">
        <is>
          <t>2026-09-22</t>
        </is>
      </c>
      <c r="N219" t="inlineStr"/>
      <c r="O219" t="inlineStr"/>
      <c r="P219" t="inlineStr"/>
      <c r="Q219" t="inlineStr"/>
      <c r="R219" t="inlineStr">
        <is>
          <t>B</t>
        </is>
      </c>
      <c r="S219" t="inlineStr">
        <is>
          <t>通用分销商信号，无差异化切入点，慢慢跟</t>
        </is>
      </c>
      <c r="T219" t="inlineStr">
        <is>
          <t>B-127</t>
        </is>
      </c>
      <c r="U219" t="inlineStr"/>
      <c r="V219" t="inlineStr"/>
    </row>
    <row r="220">
      <c r="A220" t="inlineStr">
        <is>
          <t>Lechouritis Ioannis</t>
        </is>
      </c>
      <c r="B220" t="inlineStr">
        <is>
          <t>希腊</t>
        </is>
      </c>
      <c r="C220" t="inlineStr">
        <is>
          <t>Neo Herakleio</t>
        </is>
      </c>
      <c r="D220" t="inlineStr"/>
      <c r="E220" t="inlineStr">
        <is>
          <t>集成商/顾问（MikroTik 认证）</t>
        </is>
      </c>
      <c r="F220" t="inlineStr">
        <is>
          <t>MikroTik 认证顾问 MTCNA+MTCRE+MTCSE</t>
        </is>
      </c>
      <c r="G220" t="inlineStr">
        <is>
          <t>否</t>
        </is>
      </c>
      <c r="H220" t="inlineStr">
        <is>
          <t>MikroTik 认证顾问：自己做方案/集成/运维并自行采购设备 → 用 ERPS/IGMP/VLAN/CLI/MIB 这类技术语言切入，不打价格战</t>
        </is>
      </c>
      <c r="I220" t="inlineStr">
        <is>
          <t>LT-S8328G-4XS24GT-S</t>
        </is>
      </c>
      <c r="J220" t="inlineStr">
        <is>
          <t>+30 697 734 2230 / lechjohnny@gmail.com</t>
        </is>
      </c>
      <c r="K220" t="inlineStr">
        <is>
          <t>★★</t>
        </is>
      </c>
      <c r="L220" t="inlineStr">
        <is>
          <t>未触达</t>
        </is>
      </c>
      <c r="M220" t="inlineStr">
        <is>
          <t>2026-09-22</t>
        </is>
      </c>
      <c r="N220" t="inlineStr"/>
      <c r="O220" t="inlineStr"/>
      <c r="P220" t="inlineStr"/>
      <c r="Q220" t="inlineStr"/>
      <c r="R220" t="inlineStr">
        <is>
          <t>B</t>
        </is>
      </c>
      <c r="S220" t="inlineStr">
        <is>
          <t>通用分销商信号，无差异化切入点，慢慢跟</t>
        </is>
      </c>
      <c r="T220" t="inlineStr">
        <is>
          <t>B-128</t>
        </is>
      </c>
      <c r="U220" t="inlineStr"/>
      <c r="V220" t="inlineStr"/>
    </row>
    <row r="221">
      <c r="A221" t="inlineStr">
        <is>
          <t>MARAC Electronics S.A.</t>
        </is>
      </c>
      <c r="B221" t="inlineStr">
        <is>
          <t>希腊</t>
        </is>
      </c>
      <c r="C221" t="inlineStr"/>
      <c r="D221" t="inlineStr">
        <is>
          <t>marac.gr</t>
        </is>
      </c>
      <c r="E221" t="inlineStr">
        <is>
          <t>分销（MikroTik 官方）</t>
        </is>
      </c>
      <c r="F221" t="inlineStr">
        <is>
          <t>MikroTik（Reseller）</t>
        </is>
      </c>
      <c r="G221" t="inlineStr">
        <is>
          <t>否</t>
        </is>
      </c>
      <c r="H221" t="inlineStr">
        <is>
          <t>卖 MikroTik 但缺工业/ERPS/PoE++ → 用同价位工业线补他的产品缺口</t>
        </is>
      </c>
      <c r="I221" t="inlineStr">
        <is>
          <t>LT-IS6312XGP-4XS8GT</t>
        </is>
      </c>
      <c r="J221" t="inlineStr">
        <is>
          <t>+30 210 431 4361 / pipitsoulis.c@marac.gr</t>
        </is>
      </c>
      <c r="K221" t="inlineStr">
        <is>
          <t>★★</t>
        </is>
      </c>
      <c r="L221" t="inlineStr">
        <is>
          <t>未触达</t>
        </is>
      </c>
      <c r="M221" t="inlineStr">
        <is>
          <t>2026-09-22</t>
        </is>
      </c>
      <c r="N221" t="inlineStr"/>
      <c r="O221" t="inlineStr"/>
      <c r="P221" t="inlineStr"/>
      <c r="Q221" t="inlineStr">
        <is>
          <t>Perama</t>
        </is>
      </c>
      <c r="R221" t="inlineStr">
        <is>
          <t>B</t>
        </is>
      </c>
      <c r="S221" t="inlineStr">
        <is>
          <t>通用分销商信号，无差异化切入点，慢慢跟</t>
        </is>
      </c>
      <c r="T221" t="inlineStr">
        <is>
          <t>B-129</t>
        </is>
      </c>
      <c r="U221" t="inlineStr"/>
      <c r="V221" t="inlineStr"/>
    </row>
    <row r="222">
      <c r="A222" t="inlineStr">
        <is>
          <t>NETAP</t>
        </is>
      </c>
      <c r="B222" t="inlineStr">
        <is>
          <t>希腊</t>
        </is>
      </c>
      <c r="C222" t="inlineStr"/>
      <c r="D222" t="inlineStr">
        <is>
          <t>netap.gr</t>
        </is>
      </c>
      <c r="E222" t="inlineStr">
        <is>
          <t>分销（Westermo Reseller）</t>
        </is>
      </c>
      <c r="F222" t="inlineStr">
        <is>
          <t>Westermo</t>
        </is>
      </c>
      <c r="G222" t="inlineStr">
        <is>
          <t>否</t>
        </is>
      </c>
      <c r="H222" t="inlineStr">
        <is>
          <t>工业/轨道同规格 1/3 价第二供应源</t>
        </is>
      </c>
      <c r="I222" t="inlineStr">
        <is>
          <t>LT-IS6312XGP-4XS8GT</t>
        </is>
      </c>
      <c r="J222" t="inlineStr">
        <is>
          <t>+30 210 243 33 83</t>
        </is>
      </c>
      <c r="K222" t="inlineStr">
        <is>
          <t>★★</t>
        </is>
      </c>
      <c r="L222" t="inlineStr">
        <is>
          <t>未触达</t>
        </is>
      </c>
      <c r="M222" t="inlineStr">
        <is>
          <t>2026-09-22</t>
        </is>
      </c>
      <c r="N222" t="inlineStr"/>
      <c r="O222" t="inlineStr"/>
      <c r="P222" t="inlineStr"/>
      <c r="Q222" t="inlineStr"/>
      <c r="R222" t="inlineStr">
        <is>
          <t>C</t>
        </is>
      </c>
      <c r="S22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22" t="inlineStr">
        <is>
          <t>C-174</t>
        </is>
      </c>
      <c r="U222" t="inlineStr">
        <is>
          <t>B下放·无邮箱（群发触达不到）</t>
        </is>
      </c>
      <c r="V222" t="inlineStr"/>
    </row>
    <row r="223">
      <c r="A223" t="inlineStr">
        <is>
          <t>Nikolaos Giovanopoulos</t>
        </is>
      </c>
      <c r="B223" t="inlineStr">
        <is>
          <t>希腊</t>
        </is>
      </c>
      <c r="C223" t="inlineStr">
        <is>
          <t>Athens</t>
        </is>
      </c>
      <c r="D223" t="inlineStr">
        <is>
          <t>ien.gr</t>
        </is>
      </c>
      <c r="E223" t="inlineStr">
        <is>
          <t>集成商/顾问（MikroTik 认证）</t>
        </is>
      </c>
      <c r="F223" t="inlineStr">
        <is>
          <t>MikroTik 认证顾问 MTCNA+MTCSE</t>
        </is>
      </c>
      <c r="G223" t="inlineStr">
        <is>
          <t>否</t>
        </is>
      </c>
      <c r="H223" t="inlineStr">
        <is>
          <t>MikroTik 认证顾问：自己做方案/集成/运维并自行采购设备 → 用 ERPS/IGMP/VLAN/CLI/MIB 这类技术语言切入，不打价格战</t>
        </is>
      </c>
      <c r="I223" t="inlineStr">
        <is>
          <t>LT-S8328G-4XS24GT-S</t>
        </is>
      </c>
      <c r="J223" t="inlineStr">
        <is>
          <t>+30 694 347 5654 / ngiovanopoulos@ien.gr</t>
        </is>
      </c>
      <c r="K223" t="inlineStr">
        <is>
          <t>★★</t>
        </is>
      </c>
      <c r="L223" t="inlineStr">
        <is>
          <t>未触达</t>
        </is>
      </c>
      <c r="M223" t="inlineStr">
        <is>
          <t>2026-09-22</t>
        </is>
      </c>
      <c r="N223" t="inlineStr"/>
      <c r="O223" t="inlineStr"/>
      <c r="P223" t="inlineStr"/>
      <c r="Q223" t="inlineStr"/>
      <c r="R223" t="inlineStr">
        <is>
          <t>B</t>
        </is>
      </c>
      <c r="S223" t="inlineStr">
        <is>
          <t>通用分销商信号，无差异化切入点，慢慢跟</t>
        </is>
      </c>
      <c r="T223" t="inlineStr">
        <is>
          <t>B-131</t>
        </is>
      </c>
      <c r="U223" t="inlineStr"/>
      <c r="V223" t="inlineStr"/>
    </row>
    <row r="224">
      <c r="A224" t="inlineStr">
        <is>
          <t>Panagiotis Taxiarchis Chatzinikolaou</t>
        </is>
      </c>
      <c r="B224" t="inlineStr">
        <is>
          <t>希腊</t>
        </is>
      </c>
      <c r="C224" t="inlineStr">
        <is>
          <t>Mytilene</t>
        </is>
      </c>
      <c r="D224" t="inlineStr"/>
      <c r="E224" t="inlineStr">
        <is>
          <t>集成商/顾问（MikroTik 认证）</t>
        </is>
      </c>
      <c r="F224" t="inlineStr">
        <is>
          <t>MikroTik 认证顾问 MTCNA+MTCRE+MTCSE</t>
        </is>
      </c>
      <c r="G224" t="inlineStr">
        <is>
          <t>否</t>
        </is>
      </c>
      <c r="H224" t="inlineStr">
        <is>
          <t>MikroTik 认证顾问：自己做方案/集成/运维并自行采购设备 → 用 ERPS/IGMP/VLAN/CLI/MIB 这类技术语言切入，不打价格战</t>
        </is>
      </c>
      <c r="I224" t="inlineStr">
        <is>
          <t>LT-S8328G-4XS24GT-S</t>
        </is>
      </c>
      <c r="J224" t="inlineStr">
        <is>
          <t>+30 698 290 3349 / controlfieldgr@gmail.com</t>
        </is>
      </c>
      <c r="K224" t="inlineStr">
        <is>
          <t>★★</t>
        </is>
      </c>
      <c r="L224" t="inlineStr">
        <is>
          <t>未触达</t>
        </is>
      </c>
      <c r="M224" t="inlineStr">
        <is>
          <t>2026-09-22</t>
        </is>
      </c>
      <c r="N224" t="inlineStr"/>
      <c r="O224" t="inlineStr"/>
      <c r="P224" t="inlineStr"/>
      <c r="Q224" t="inlineStr"/>
      <c r="R224" t="inlineStr">
        <is>
          <t>B</t>
        </is>
      </c>
      <c r="S224" t="inlineStr">
        <is>
          <t>通用分销商信号，无差异化切入点，慢慢跟</t>
        </is>
      </c>
      <c r="T224" t="inlineStr">
        <is>
          <t>B-132</t>
        </is>
      </c>
      <c r="U224" t="inlineStr"/>
      <c r="V224" t="inlineStr"/>
    </row>
    <row r="225">
      <c r="A225" t="inlineStr">
        <is>
          <t>Planet Shop</t>
        </is>
      </c>
      <c r="B225" t="inlineStr">
        <is>
          <t>希腊</t>
        </is>
      </c>
      <c r="C225" t="inlineStr"/>
      <c r="D225" t="inlineStr">
        <is>
          <t>planet-shop.gr</t>
        </is>
      </c>
      <c r="E225" t="inlineStr">
        <is>
          <t>分销（PLANET 授权）</t>
        </is>
      </c>
      <c r="F225" t="inlineStr">
        <is>
          <t>PLANET（台厂工业/商用交换机）</t>
        </is>
      </c>
      <c r="G225" t="inlineStr">
        <is>
          <t>否</t>
        </is>
      </c>
      <c r="H225" t="inlineStr">
        <is>
          <t>希腊区域授权经销商，专营 PLANET 全系（含工业 L2+/L3 与 48 口 PoE）；希腊是我们 A 级最密集市场之一</t>
        </is>
      </c>
      <c r="I225" t="inlineStr">
        <is>
          <t>LT-IS6312XGP-4XS8GT</t>
        </is>
      </c>
      <c r="J225" t="inlineStr">
        <is>
          <t>官网 Contact 页</t>
        </is>
      </c>
      <c r="K225" t="inlineStr">
        <is>
          <t>★★</t>
        </is>
      </c>
      <c r="L225" t="inlineStr">
        <is>
          <t>未触达</t>
        </is>
      </c>
      <c r="M225" t="inlineStr">
        <is>
          <t>PLANET 经销商名录/2026-09</t>
        </is>
      </c>
      <c r="N225" t="inlineStr"/>
      <c r="O225" t="inlineStr"/>
      <c r="P225" t="inlineStr"/>
      <c r="Q225" t="inlineStr">
        <is>
          <t>【2026-09-22 新增】planet-shop.gr 自称 Region Authorized Reseller，在售 PLANET ITS-6326（M12/铁路）、SGS-6310-48T6X、IGS-10020HPT 等工业与商用型号。</t>
        </is>
      </c>
      <c r="R225" t="inlineStr">
        <is>
          <t>C</t>
        </is>
      </c>
      <c r="S2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25" t="inlineStr">
        <is>
          <t>C-175</t>
        </is>
      </c>
      <c r="U225" t="inlineStr">
        <is>
          <t>B下放·无邮箱（群发触达不到）</t>
        </is>
      </c>
      <c r="V225" t="inlineStr"/>
    </row>
    <row r="226">
      <c r="A226" t="inlineStr">
        <is>
          <t>Spiros Potsikas / Tele-Net</t>
        </is>
      </c>
      <c r="B226" t="inlineStr">
        <is>
          <t>希腊</t>
        </is>
      </c>
      <c r="C226" t="inlineStr">
        <is>
          <t>Rethimno（克里特）</t>
        </is>
      </c>
      <c r="D226" t="inlineStr">
        <is>
          <t>tele-net.gr</t>
        </is>
      </c>
      <c r="E226" t="inlineStr">
        <is>
          <t>集成商/顾问（MikroTik 认证）</t>
        </is>
      </c>
      <c r="F226" t="inlineStr">
        <is>
          <t>MikroTik 认证顾问 MTCNA+MTCRE</t>
        </is>
      </c>
      <c r="G226" t="inlineStr">
        <is>
          <t>否</t>
        </is>
      </c>
      <c r="H226" t="inlineStr">
        <is>
          <t>MikroTik 认证顾问：自己做方案/集成/运维并自行采购设备 → 用 ERPS/IGMP/VLAN/CLI/MIB 这类技术语言切入，不打价格战</t>
        </is>
      </c>
      <c r="I226" t="inlineStr">
        <is>
          <t>LT-S8328G-4XS24GT-S</t>
        </is>
      </c>
      <c r="J226" t="inlineStr">
        <is>
          <t>+30 690 766 9554 / spyros.potsikas@gmail.com</t>
        </is>
      </c>
      <c r="K226" t="inlineStr">
        <is>
          <t>★★</t>
        </is>
      </c>
      <c r="L226" t="inlineStr">
        <is>
          <t>未触达</t>
        </is>
      </c>
      <c r="M226" t="inlineStr">
        <is>
          <t>2026-09-22</t>
        </is>
      </c>
      <c r="N226" t="inlineStr"/>
      <c r="O226" t="inlineStr"/>
      <c r="P226" t="inlineStr"/>
      <c r="Q226" t="inlineStr"/>
      <c r="R226" t="inlineStr">
        <is>
          <t>B</t>
        </is>
      </c>
      <c r="S226" t="inlineStr">
        <is>
          <t>通用分销商信号，无差异化切入点，慢慢跟</t>
        </is>
      </c>
      <c r="T226" t="inlineStr">
        <is>
          <t>B-134</t>
        </is>
      </c>
      <c r="U226" t="inlineStr"/>
      <c r="V226" t="inlineStr"/>
    </row>
    <row r="227">
      <c r="A227" t="inlineStr">
        <is>
          <t>XPATIT S.A.</t>
        </is>
      </c>
      <c r="B227" t="inlineStr">
        <is>
          <t>希腊</t>
        </is>
      </c>
      <c r="C227" t="inlineStr"/>
      <c r="D227" t="inlineStr">
        <is>
          <t>xpatit.gr</t>
        </is>
      </c>
      <c r="E227" t="inlineStr">
        <is>
          <t>分销（MikroTik 官方）</t>
        </is>
      </c>
      <c r="F227" t="inlineStr">
        <is>
          <t>MikroTik（Master+VAD）</t>
        </is>
      </c>
      <c r="G227" t="inlineStr">
        <is>
          <t>否</t>
        </is>
      </c>
      <c r="H227" t="inlineStr">
        <is>
          <t>MikroTik 官方分销，商用线可直接比价，工业线为零 → 新品类增量</t>
        </is>
      </c>
      <c r="I227" t="inlineStr">
        <is>
          <t>LT-S8328XG-4XS8GT-S</t>
        </is>
      </c>
      <c r="J227" t="inlineStr">
        <is>
          <t>+30 211 800 0313 / info@xpatit.gr</t>
        </is>
      </c>
      <c r="K227" t="inlineStr">
        <is>
          <t>★★★</t>
        </is>
      </c>
      <c r="L227" t="inlineStr">
        <is>
          <t>未触达</t>
        </is>
      </c>
      <c r="M227" t="inlineStr">
        <is>
          <t>2026-09-22</t>
        </is>
      </c>
      <c r="N227" t="inlineStr"/>
      <c r="O227" t="inlineStr"/>
      <c r="P227" t="inlineStr"/>
      <c r="Q227" t="inlineStr">
        <is>
          <t>Attika</t>
        </is>
      </c>
      <c r="R227" t="inlineStr">
        <is>
          <t>B</t>
        </is>
      </c>
      <c r="S227" t="inlineStr">
        <is>
          <t>通用分销商信号，无差异化切入点，慢慢跟</t>
        </is>
      </c>
      <c r="T227" t="inlineStr">
        <is>
          <t>B-135</t>
        </is>
      </c>
      <c r="U227" t="inlineStr"/>
      <c r="V227" t="inlineStr"/>
    </row>
    <row r="228">
      <c r="A228" t="inlineStr">
        <is>
          <t>wirelesslan.gr - Teledata e.e.</t>
        </is>
      </c>
      <c r="B228" t="inlineStr">
        <is>
          <t>希腊</t>
        </is>
      </c>
      <c r="C228" t="inlineStr"/>
      <c r="D228" t="inlineStr">
        <is>
          <t>wirelesslan.gr</t>
        </is>
      </c>
      <c r="E228" t="inlineStr">
        <is>
          <t>分销（MikroTik 官方）</t>
        </is>
      </c>
      <c r="F228" t="inlineStr">
        <is>
          <t>MikroTik（Reseller）</t>
        </is>
      </c>
      <c r="G228" t="inlineStr">
        <is>
          <t>否</t>
        </is>
      </c>
      <c r="H228" t="inlineStr">
        <is>
          <t>卖 MikroTik 但缺工业/ERPS/PoE++ → 用同价位工业线补他的产品缺口</t>
        </is>
      </c>
      <c r="I228" t="inlineStr">
        <is>
          <t>LT-IS6312XG-4XS8GT</t>
        </is>
      </c>
      <c r="J228" t="inlineStr">
        <is>
          <t>+30 2310 510030 / info@wirelesslan.gr</t>
        </is>
      </c>
      <c r="K228" t="inlineStr">
        <is>
          <t>★★</t>
        </is>
      </c>
      <c r="L228" t="inlineStr">
        <is>
          <t>未触达</t>
        </is>
      </c>
      <c r="M228" t="inlineStr">
        <is>
          <t>2026-09-22</t>
        </is>
      </c>
      <c r="N228" t="inlineStr"/>
      <c r="O228" t="inlineStr"/>
      <c r="P228" t="inlineStr"/>
      <c r="Q228" t="inlineStr">
        <is>
          <t>Thessaloniki</t>
        </is>
      </c>
      <c r="R228" t="inlineStr">
        <is>
          <t>B</t>
        </is>
      </c>
      <c r="S228" t="inlineStr">
        <is>
          <t>通用分销商信号，无差异化切入点，慢慢跟</t>
        </is>
      </c>
      <c r="T228" t="inlineStr">
        <is>
          <t>B-136</t>
        </is>
      </c>
      <c r="U228" t="inlineStr"/>
      <c r="V228" t="inlineStr"/>
    </row>
    <row r="229">
      <c r="A229" t="inlineStr">
        <is>
          <t>4Networks IT-Distribution（OMG.de）</t>
        </is>
      </c>
      <c r="B229" t="inlineStr">
        <is>
          <t>德国</t>
        </is>
      </c>
      <c r="C229" t="inlineStr"/>
      <c r="D229" t="inlineStr">
        <is>
          <t>omg.de</t>
        </is>
      </c>
      <c r="E229" t="inlineStr">
        <is>
          <t>分销（MikroTik 官方）</t>
        </is>
      </c>
      <c r="F229" t="inlineStr">
        <is>
          <t>MikroTik（Master+VAD）</t>
        </is>
      </c>
      <c r="G229" t="inlineStr">
        <is>
          <t>否</t>
        </is>
      </c>
      <c r="H229" t="inlineStr">
        <is>
          <t>MikroTik 官方分销，商用线可直接比价，工业线为零 → 新品类增量</t>
        </is>
      </c>
      <c r="I229" t="inlineStr">
        <is>
          <t>LT-IS6312XGP-4XS8GT</t>
        </is>
      </c>
      <c r="J229" t="inlineStr">
        <is>
          <t>+49 421 2440190 / info@4networks.de</t>
        </is>
      </c>
      <c r="K229" t="inlineStr">
        <is>
          <t>★★★</t>
        </is>
      </c>
      <c r="L229" t="inlineStr">
        <is>
          <t>未触达</t>
        </is>
      </c>
      <c r="M229" t="inlineStr">
        <is>
          <t>2026-09-22</t>
        </is>
      </c>
      <c r="N229" t="inlineStr"/>
      <c r="O229" t="inlineStr"/>
      <c r="P229" t="inlineStr"/>
      <c r="Q229" t="inlineStr">
        <is>
          <t>Aurich</t>
        </is>
      </c>
      <c r="R229" t="inlineStr">
        <is>
          <t>B</t>
        </is>
      </c>
      <c r="S229" t="inlineStr">
        <is>
          <t>通用分销商信号，无差异化切入点，慢慢跟</t>
        </is>
      </c>
      <c r="T229" t="inlineStr">
        <is>
          <t>B-137</t>
        </is>
      </c>
      <c r="U229" t="inlineStr"/>
      <c r="V229" t="inlineStr"/>
    </row>
    <row r="230">
      <c r="A230" t="inlineStr">
        <is>
          <t>ALLNET GmbH Computersysteme</t>
        </is>
      </c>
      <c r="B230" t="inlineStr">
        <is>
          <t>德国</t>
        </is>
      </c>
      <c r="C230" t="inlineStr"/>
      <c r="D230" t="inlineStr">
        <is>
          <t>shop.allnet.de</t>
        </is>
      </c>
      <c r="E230" t="inlineStr">
        <is>
          <t>分销（MikroTik 官方）</t>
        </is>
      </c>
      <c r="F230" t="inlineStr">
        <is>
          <t>MikroTik（Master+VAD）</t>
        </is>
      </c>
      <c r="G230" t="inlineStr">
        <is>
          <t>否</t>
        </is>
      </c>
      <c r="H230" t="inlineStr">
        <is>
          <t>ALLNET 集团德国总部（法/意为同一集团）→ 一次谈三国</t>
        </is>
      </c>
      <c r="I230" t="inlineStr">
        <is>
          <t>LT-S8328XG-4XS8GT-S</t>
        </is>
      </c>
      <c r="J230" t="inlineStr">
        <is>
          <t>+49 89 89422222 / sales@allnet.de</t>
        </is>
      </c>
      <c r="K230" t="inlineStr">
        <is>
          <t>★★★</t>
        </is>
      </c>
      <c r="L230" t="inlineStr">
        <is>
          <t>未触达</t>
        </is>
      </c>
      <c r="M230" t="inlineStr">
        <is>
          <t>2026-09-22</t>
        </is>
      </c>
      <c r="N230" t="inlineStr"/>
      <c r="O230" t="inlineStr"/>
      <c r="P230" t="inlineStr"/>
      <c r="Q230" t="inlineStr">
        <is>
          <t>Germering；自有品牌，做 OEM 有基础</t>
        </is>
      </c>
      <c r="R230" t="inlineStr">
        <is>
          <t>B</t>
        </is>
      </c>
      <c r="S230" t="inlineStr">
        <is>
          <t>通用分销商信号，无差异化切入点，慢慢跟</t>
        </is>
      </c>
      <c r="T230" t="inlineStr">
        <is>
          <t>B-138</t>
        </is>
      </c>
      <c r="U230" t="inlineStr"/>
      <c r="V230" t="inlineStr"/>
    </row>
    <row r="231">
      <c r="A231" t="inlineStr">
        <is>
          <t>ATEG Automation GmbH</t>
        </is>
      </c>
      <c r="B231" t="inlineStr">
        <is>
          <t>德国</t>
        </is>
      </c>
      <c r="C231" t="inlineStr">
        <is>
          <t>Remscheid</t>
        </is>
      </c>
      <c r="D231" t="inlineStr">
        <is>
          <t>ateg.de</t>
        </is>
      </c>
      <c r="E231" t="inlineStr">
        <is>
          <t>分销（HMS/N-Tron·Red Lion 渠道）</t>
        </is>
      </c>
      <c r="F231" t="inlineStr">
        <is>
          <t>N-Tron + Red Lion + Anybus + Ewon</t>
        </is>
      </c>
      <c r="G231" t="inlineStr">
        <is>
          <t>否</t>
        </is>
      </c>
      <c r="H231" t="inlineStr">
        <is>
          <t>卖 N-Tron/Red Lion 工业交换机（8口非网管约 $500+）→ 中性货同规格 LT-IS6310G 约 $91，做第二供应商/替换，价差 5 倍</t>
        </is>
      </c>
      <c r="I231" t="inlineStr">
        <is>
          <t>LT-IS6312XGP-4XS8GT</t>
        </is>
      </c>
      <c r="J231" t="inlineStr">
        <is>
          <t>官网联系页（HMS 名录只公开地址与网址）</t>
        </is>
      </c>
      <c r="K231" t="inlineStr">
        <is>
          <t>★★★</t>
        </is>
      </c>
      <c r="L231" t="inlineStr">
        <is>
          <t>未触达</t>
        </is>
      </c>
      <c r="M231" t="inlineStr">
        <is>
          <t>2026-09-22</t>
        </is>
      </c>
      <c r="N231" t="inlineStr"/>
      <c r="O231" t="inlineStr"/>
      <c r="P231" t="inlineStr"/>
      <c r="Q23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231" t="inlineStr">
        <is>
          <t>C</t>
        </is>
      </c>
      <c r="S2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1" t="inlineStr">
        <is>
          <t>C-176</t>
        </is>
      </c>
      <c r="U231" t="inlineStr">
        <is>
          <t>B下放·无邮箱（群发触达不到）</t>
        </is>
      </c>
      <c r="V231" t="inlineStr"/>
    </row>
    <row r="232">
      <c r="A232" t="inlineStr">
        <is>
          <t>Acceed GmbH</t>
        </is>
      </c>
      <c r="B232" t="inlineStr">
        <is>
          <t>德国</t>
        </is>
      </c>
      <c r="C232" t="inlineStr"/>
      <c r="D232" t="inlineStr">
        <is>
          <t>acceed.de</t>
        </is>
      </c>
      <c r="E232" t="inlineStr">
        <is>
          <t>分销（ORing 授权）</t>
        </is>
      </c>
      <c r="F232" t="inlineStr">
        <is>
          <t>ORing</t>
        </is>
      </c>
      <c r="G232" t="inlineStr">
        <is>
          <t>否</t>
        </is>
      </c>
      <c r="H232" t="inlineStr">
        <is>
          <t>德国工业物联网/网络分销</t>
        </is>
      </c>
      <c r="I232" t="inlineStr">
        <is>
          <t>LT-IS6312XG-4XS8GT</t>
        </is>
      </c>
      <c r="J232" t="inlineStr">
        <is>
          <t>+49 211 938898-0</t>
        </is>
      </c>
      <c r="K232" t="inlineStr">
        <is>
          <t>★★★</t>
        </is>
      </c>
      <c r="L232" t="inlineStr">
        <is>
          <t>未触达</t>
        </is>
      </c>
      <c r="M232" t="inlineStr">
        <is>
          <t>ORing经销商名录/2026-09</t>
        </is>
      </c>
      <c r="N232" t="inlineStr"/>
      <c r="O232" t="inlineStr"/>
      <c r="P232" t="inlineStr"/>
      <c r="Q232" t="inlineStr">
        <is>
          <t>德国不冷邮件，走表单/电话</t>
        </is>
      </c>
      <c r="R232" t="inlineStr">
        <is>
          <t>C</t>
        </is>
      </c>
      <c r="S2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32" t="inlineStr">
        <is>
          <t>C-177</t>
        </is>
      </c>
      <c r="U232" t="inlineStr">
        <is>
          <t>B下放·无邮箱（群发触达不到）</t>
        </is>
      </c>
      <c r="V232" t="inlineStr"/>
    </row>
    <row r="233">
      <c r="A233" t="inlineStr">
        <is>
          <t>FMS Internetservice（mikrotik-shop.de）</t>
        </is>
      </c>
      <c r="B233" t="inlineStr">
        <is>
          <t>德国</t>
        </is>
      </c>
      <c r="C233" t="inlineStr"/>
      <c r="D233" t="inlineStr">
        <is>
          <t>mikrotik-shop.de</t>
        </is>
      </c>
      <c r="E233" t="inlineStr">
        <is>
          <t>分销（MikroTik 官方）</t>
        </is>
      </c>
      <c r="F233" t="inlineStr">
        <is>
          <t>MikroTik（Master+VAD）</t>
        </is>
      </c>
      <c r="G233" t="inlineStr">
        <is>
          <t>否</t>
        </is>
      </c>
      <c r="H233" t="inlineStr">
        <is>
          <t>域名就是 mikrotik-shop → 单品牌依赖度极高</t>
        </is>
      </c>
      <c r="I233" t="inlineStr">
        <is>
          <t>LT-IS6312XGP-4XS8GT</t>
        </is>
      </c>
      <c r="J233" t="inlineStr">
        <is>
          <t>+49 761 2926500 / sales@fmsweb.de</t>
        </is>
      </c>
      <c r="K233" t="inlineStr">
        <is>
          <t>★★★</t>
        </is>
      </c>
      <c r="L233" t="inlineStr">
        <is>
          <t>未触达</t>
        </is>
      </c>
      <c r="M233" t="inlineStr">
        <is>
          <t>2026-09-22</t>
        </is>
      </c>
      <c r="N233" t="inlineStr"/>
      <c r="O233" t="inlineStr"/>
      <c r="P233" t="inlineStr"/>
      <c r="Q233" t="inlineStr">
        <is>
          <t>Freiburg</t>
        </is>
      </c>
      <c r="R233" t="inlineStr">
        <is>
          <t>B</t>
        </is>
      </c>
      <c r="S233" t="inlineStr">
        <is>
          <t>通用分销商信号，无差异化切入点，慢慢跟</t>
        </is>
      </c>
      <c r="T233" t="inlineStr">
        <is>
          <t>B-141</t>
        </is>
      </c>
      <c r="U233" t="inlineStr"/>
      <c r="V233" t="inlineStr"/>
    </row>
    <row r="234">
      <c r="A234" t="inlineStr">
        <is>
          <t>Fiber24</t>
        </is>
      </c>
      <c r="B234" t="inlineStr">
        <is>
          <t>德国</t>
        </is>
      </c>
      <c r="C234" t="inlineStr"/>
      <c r="D234" t="inlineStr">
        <is>
          <t>shop.fiber24.net</t>
        </is>
      </c>
      <c r="E234" t="inlineStr">
        <is>
          <t>光通信/网络网店</t>
        </is>
      </c>
      <c r="F234" t="inlineStr">
        <is>
          <t>PLANET IGS-5225 全系</t>
        </is>
      </c>
      <c r="G234" t="inlineStr">
        <is>
          <t>否</t>
        </is>
      </c>
      <c r="H234" t="inlineStr">
        <is>
          <t>同做网店，中性货接受度最高</t>
        </is>
      </c>
      <c r="I234" t="inlineStr">
        <is>
          <t>LT-IS6312XG-4XS8GT</t>
        </is>
      </c>
      <c r="J234" t="inlineStr">
        <is>
          <t>官网表单+LinkedIn</t>
        </is>
      </c>
      <c r="K234" t="inlineStr">
        <is>
          <t>★★★</t>
        </is>
      </c>
      <c r="L234" t="inlineStr">
        <is>
          <t>未触达</t>
        </is>
      </c>
      <c r="M234" t="inlineStr">
        <is>
          <t>反向信号/2026-09</t>
        </is>
      </c>
      <c r="N234" t="inlineStr"/>
      <c r="O234" t="inlineStr"/>
      <c r="P234" t="inlineStr"/>
      <c r="Q234" t="inlineStr">
        <is>
          <t>【待补】本行由分销商名录批量导入，三星依据仅为渠道等级（光通信/网络网店）与「PLANET IGS-5225 全系」，尚无人工核实。建议先查证其是否已有工业交换机 / PoE++ 产品线，再定切入型号</t>
        </is>
      </c>
      <c r="R234" t="inlineStr">
        <is>
          <t>C</t>
        </is>
      </c>
      <c r="S2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34" t="inlineStr">
        <is>
          <t>C-178</t>
        </is>
      </c>
      <c r="U234" t="inlineStr">
        <is>
          <t>B下放·无邮箱（群发触达不到）</t>
        </is>
      </c>
      <c r="V234" t="inlineStr"/>
    </row>
    <row r="235">
      <c r="A235" t="inlineStr">
        <is>
          <t>I-NetPartner GmbH（mikrotik-store.eu）</t>
        </is>
      </c>
      <c r="B235" t="inlineStr">
        <is>
          <t>德国</t>
        </is>
      </c>
      <c r="C235" t="inlineStr"/>
      <c r="D235" t="inlineStr">
        <is>
          <t>mikrotik-store.eu</t>
        </is>
      </c>
      <c r="E235" t="inlineStr">
        <is>
          <t>分销（MikroTik 官方）</t>
        </is>
      </c>
      <c r="F235" t="inlineStr">
        <is>
          <t>MikroTik（Master+VAD）</t>
        </is>
      </c>
      <c r="G235" t="inlineStr">
        <is>
          <t>否</t>
        </is>
      </c>
      <c r="H235" t="inlineStr">
        <is>
          <t>域名就是 mikrotik-store → 单品牌依赖度极高，最需要第二品牌</t>
        </is>
      </c>
      <c r="I235" t="inlineStr">
        <is>
          <t>LT-S8328XG-4XS8GT-S</t>
        </is>
      </c>
      <c r="J235" t="inlineStr">
        <is>
          <t>+49 7161 98499-55 / sales@mikrotik-store.eu</t>
        </is>
      </c>
      <c r="K235" t="inlineStr">
        <is>
          <t>★★★</t>
        </is>
      </c>
      <c r="L235" t="inlineStr">
        <is>
          <t>未触达</t>
        </is>
      </c>
      <c r="M235" t="inlineStr">
        <is>
          <t>2026-09-22</t>
        </is>
      </c>
      <c r="N235" t="inlineStr"/>
      <c r="O235" t="inlineStr"/>
      <c r="P235" t="inlineStr"/>
      <c r="Q235" t="inlineStr">
        <is>
          <t>Göppingen</t>
        </is>
      </c>
      <c r="R235" t="inlineStr">
        <is>
          <t>B</t>
        </is>
      </c>
      <c r="S235" t="inlineStr">
        <is>
          <t>通用分销商信号，无差异化切入点，慢慢跟</t>
        </is>
      </c>
      <c r="T235" t="inlineStr">
        <is>
          <t>B-143</t>
        </is>
      </c>
      <c r="U235" t="inlineStr"/>
      <c r="V235" t="inlineStr"/>
    </row>
    <row r="236">
      <c r="A236" t="inlineStr">
        <is>
          <t>Industrial Personal Computer 2U GmbH (IPC2U)</t>
        </is>
      </c>
      <c r="B236" t="inlineStr">
        <is>
          <t>德国</t>
        </is>
      </c>
      <c r="C236" t="inlineStr"/>
      <c r="D236" t="inlineStr">
        <is>
          <t>ipc2u.com</t>
        </is>
      </c>
      <c r="E236" t="inlineStr">
        <is>
          <t>分销（Antaira + Korenix 授权）</t>
        </is>
      </c>
      <c r="F236" t="inlineStr">
        <is>
          <t>Antaira, Korenix</t>
        </is>
      </c>
      <c r="G236" t="inlineStr">
        <is>
          <t>否</t>
        </is>
      </c>
      <c r="H236" t="inlineStr">
        <is>
          <t>同一家代理两个台湾品牌 → 典型多品牌分销</t>
        </is>
      </c>
      <c r="I236" t="inlineStr">
        <is>
          <t>LT-IS6312XGP-4XS8GT</t>
        </is>
      </c>
      <c r="J236" t="inlineStr">
        <is>
          <t>+49 511 807 259-0 / sales@ipc2u.de</t>
        </is>
      </c>
      <c r="K236" t="inlineStr">
        <is>
          <t>★★★</t>
        </is>
      </c>
      <c r="L236" t="inlineStr">
        <is>
          <t>未触达</t>
        </is>
      </c>
      <c r="M236" t="inlineStr">
        <is>
          <t>2026-09-22</t>
        </is>
      </c>
      <c r="N236" t="inlineStr"/>
      <c r="O236" t="inlineStr"/>
      <c r="P236" t="inlineStr"/>
      <c r="Q236" t="inlineStr">
        <is>
          <t>德/法/波/捷四国办公室，兼做系统集成</t>
        </is>
      </c>
      <c r="R236" t="inlineStr">
        <is>
          <t>B</t>
        </is>
      </c>
      <c r="S236" t="inlineStr">
        <is>
          <t>通用分销商信号，无差异化切入点，慢慢跟</t>
        </is>
      </c>
      <c r="T236" t="inlineStr">
        <is>
          <t>B-144</t>
        </is>
      </c>
      <c r="U236" t="inlineStr"/>
      <c r="V236" t="inlineStr"/>
    </row>
    <row r="237">
      <c r="A237" t="inlineStr">
        <is>
          <t>Manuel Kuhn / EBC Marburg</t>
        </is>
      </c>
      <c r="B237" t="inlineStr">
        <is>
          <t>德国</t>
        </is>
      </c>
      <c r="C237" t="inlineStr">
        <is>
          <t>Marburg</t>
        </is>
      </c>
      <c r="D237" t="inlineStr">
        <is>
          <t>ebc-marburg.de</t>
        </is>
      </c>
      <c r="E237" t="inlineStr">
        <is>
          <t>集成商/顾问（MikroTik 认证）</t>
        </is>
      </c>
      <c r="F237" t="inlineStr">
        <is>
          <t>MikroTik 认证顾问 MTCNA+MTCRE+MTCSE</t>
        </is>
      </c>
      <c r="G237" t="inlineStr">
        <is>
          <t>否</t>
        </is>
      </c>
      <c r="H237" t="inlineStr">
        <is>
          <t>MikroTik 认证顾问：自己做方案/集成/运维并自行采购设备 → 用 ERPS/IGMP/VLAN/CLI/MIB 这类技术语言切入，不打价格战</t>
        </is>
      </c>
      <c r="I237" t="inlineStr">
        <is>
          <t>LT-S8328XG-4XS24GT-S</t>
        </is>
      </c>
      <c r="J237" t="inlineStr">
        <is>
          <t>+49 6421 9792437 / manuel.kuhn@ebc-marburg.de</t>
        </is>
      </c>
      <c r="K237" t="inlineStr">
        <is>
          <t>★★★</t>
        </is>
      </c>
      <c r="L237" t="inlineStr">
        <is>
          <t>未触达</t>
        </is>
      </c>
      <c r="M237" t="inlineStr">
        <is>
          <t>2026-09-22</t>
        </is>
      </c>
      <c r="N237" t="inlineStr"/>
      <c r="O237" t="inlineStr"/>
      <c r="P237" t="inlineStr"/>
      <c r="Q237" t="inlineStr">
        <is>
          <t>含 MTCSE（安全）</t>
        </is>
      </c>
      <c r="R237" t="inlineStr">
        <is>
          <t>B</t>
        </is>
      </c>
      <c r="S237" t="inlineStr">
        <is>
          <t>通用分销商信号，无差异化切入点，慢慢跟</t>
        </is>
      </c>
      <c r="T237" t="inlineStr">
        <is>
          <t>B-145</t>
        </is>
      </c>
      <c r="U237" t="inlineStr"/>
      <c r="V237" t="inlineStr"/>
    </row>
    <row r="238">
      <c r="A238" t="inlineStr">
        <is>
          <t>NSR One GmbH（nsr-tik.com）</t>
        </is>
      </c>
      <c r="B238" t="inlineStr">
        <is>
          <t>德国</t>
        </is>
      </c>
      <c r="C238" t="inlineStr"/>
      <c r="D238" t="inlineStr">
        <is>
          <t>nsr-tik.com</t>
        </is>
      </c>
      <c r="E238" t="inlineStr">
        <is>
          <t>分销（MikroTik 官方）</t>
        </is>
      </c>
      <c r="F238" t="inlineStr">
        <is>
          <t>MikroTik（Master）</t>
        </is>
      </c>
      <c r="G238" t="inlineStr">
        <is>
          <t>否</t>
        </is>
      </c>
      <c r="H238" t="inlineStr">
        <is>
          <t>域名带 tik → 单品牌依赖</t>
        </is>
      </c>
      <c r="I238" t="inlineStr">
        <is>
          <t>LT-IS6312XGP-4XS8GT</t>
        </is>
      </c>
      <c r="J238" t="inlineStr">
        <is>
          <t>+49 157 33975258 / info@nsr-sy.com</t>
        </is>
      </c>
      <c r="K238" t="inlineStr">
        <is>
          <t>★★</t>
        </is>
      </c>
      <c r="L238" t="inlineStr">
        <is>
          <t>未触达</t>
        </is>
      </c>
      <c r="M238" t="inlineStr">
        <is>
          <t>2026-09-22</t>
        </is>
      </c>
      <c r="N238" t="inlineStr"/>
      <c r="O238" t="inlineStr"/>
      <c r="P238" t="inlineStr"/>
      <c r="Q238" t="inlineStr">
        <is>
          <t>Hilden</t>
        </is>
      </c>
      <c r="R238" t="inlineStr">
        <is>
          <t>B</t>
        </is>
      </c>
      <c r="S238" t="inlineStr">
        <is>
          <t>通用分销商信号，无差异化切入点，慢慢跟</t>
        </is>
      </c>
      <c r="T238" t="inlineStr">
        <is>
          <t>B-146</t>
        </is>
      </c>
      <c r="U238" t="inlineStr"/>
      <c r="V238" t="inlineStr"/>
    </row>
    <row r="239">
      <c r="A239" t="inlineStr">
        <is>
          <t>Neunetia GmbH</t>
        </is>
      </c>
      <c r="B239" t="inlineStr">
        <is>
          <t>德国</t>
        </is>
      </c>
      <c r="C239" t="inlineStr"/>
      <c r="D239" t="inlineStr">
        <is>
          <t>neunetia.de</t>
        </is>
      </c>
      <c r="E239" t="inlineStr">
        <is>
          <t>分销（MikroTik 官方）</t>
        </is>
      </c>
      <c r="F239" t="inlineStr">
        <is>
          <t>MikroTik（Master）</t>
        </is>
      </c>
      <c r="G239" t="inlineStr">
        <is>
          <t>否</t>
        </is>
      </c>
      <c r="H239" t="inlineStr">
        <is>
          <t>MikroTik 官方分销，商用线可直接比价，工业线为零 → 新品类增量</t>
        </is>
      </c>
      <c r="I239" t="inlineStr">
        <is>
          <t>LT-S8328XG-4XS8GT-S</t>
        </is>
      </c>
      <c r="J239" t="inlineStr">
        <is>
          <t>+49 221 66961118 / sales@neunetia.de</t>
        </is>
      </c>
      <c r="K239" t="inlineStr">
        <is>
          <t>★★</t>
        </is>
      </c>
      <c r="L239" t="inlineStr">
        <is>
          <t>未触达</t>
        </is>
      </c>
      <c r="M239" t="inlineStr">
        <is>
          <t>2026-09-22</t>
        </is>
      </c>
      <c r="N239" t="inlineStr"/>
      <c r="O239" t="inlineStr"/>
      <c r="P239" t="inlineStr"/>
      <c r="Q239" t="inlineStr">
        <is>
          <t>Cologne</t>
        </is>
      </c>
      <c r="R239" t="inlineStr">
        <is>
          <t>B</t>
        </is>
      </c>
      <c r="S239" t="inlineStr">
        <is>
          <t>通用分销商信号，无差异化切入点，慢慢跟</t>
        </is>
      </c>
      <c r="T239" t="inlineStr">
        <is>
          <t>B-147</t>
        </is>
      </c>
      <c r="U239" t="inlineStr"/>
      <c r="V239" t="inlineStr"/>
    </row>
    <row r="240">
      <c r="A240" t="inlineStr">
        <is>
          <t>PRIMATION Systemtechnik GmbH &amp; Co. KG</t>
        </is>
      </c>
      <c r="B240" t="inlineStr">
        <is>
          <t>德国</t>
        </is>
      </c>
      <c r="C240" t="inlineStr">
        <is>
          <t>Grasbrunn (München)</t>
        </is>
      </c>
      <c r="D240" t="inlineStr">
        <is>
          <t>primation.de</t>
        </is>
      </c>
      <c r="E240" t="inlineStr">
        <is>
          <t>分销（HMS/N-Tron·Red Lion 渠道）</t>
        </is>
      </c>
      <c r="F240" t="inlineStr">
        <is>
          <t>N-Tron + Red Lion + Anybus + Ewon + Ixxat</t>
        </is>
      </c>
      <c r="G240" t="inlineStr">
        <is>
          <t>否</t>
        </is>
      </c>
      <c r="H240" t="inlineStr">
        <is>
          <t>卖 N-Tron/Red Lion 工业交换机（8口非网管约 $500+）→ 中性货同规格 LT-IS6310G 约 $91，做第二供应商/替换，价差 5 倍</t>
        </is>
      </c>
      <c r="I240" t="inlineStr">
        <is>
          <t>LT-IS6312XG-4XS8GT</t>
        </is>
      </c>
      <c r="J240" t="inlineStr">
        <is>
          <t>官网联系页（HMS 名录只公开地址与网址）</t>
        </is>
      </c>
      <c r="K240" t="inlineStr">
        <is>
          <t>★★★</t>
        </is>
      </c>
      <c r="L240" t="inlineStr">
        <is>
          <t>未触达</t>
        </is>
      </c>
      <c r="M240" t="inlineStr">
        <is>
          <t>2026-09-22</t>
        </is>
      </c>
      <c r="N240" t="inlineStr"/>
      <c r="O240" t="inlineStr"/>
      <c r="P240" t="inlineStr"/>
      <c r="Q240" t="inlineStr">
        <is>
          <t>HMS 全品牌 → 技术能力强</t>
        </is>
      </c>
      <c r="R240" t="inlineStr">
        <is>
          <t>C</t>
        </is>
      </c>
      <c r="S2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0" t="inlineStr">
        <is>
          <t>C-179</t>
        </is>
      </c>
      <c r="U240" t="inlineStr">
        <is>
          <t>B下放·无邮箱（群发触达不到）</t>
        </is>
      </c>
      <c r="V240" t="inlineStr"/>
    </row>
    <row r="241">
      <c r="A241" t="inlineStr">
        <is>
          <t>Sebastian Inacker / FMS Web（fmsweb.de）</t>
        </is>
      </c>
      <c r="B241" t="inlineStr">
        <is>
          <t>德国</t>
        </is>
      </c>
      <c r="C241" t="inlineStr">
        <is>
          <t>Umkirch (Freiburg)</t>
        </is>
      </c>
      <c r="D241" t="inlineStr">
        <is>
          <t>fmsweb.de</t>
        </is>
      </c>
      <c r="E241" t="inlineStr">
        <is>
          <t>集成商/顾问（MikroTik 认证）</t>
        </is>
      </c>
      <c r="F241" t="inlineStr">
        <is>
          <t>MikroTik 认证顾问 MTCNA+MTCRE+MTCWE+MTCTCE+MTCIPv6E</t>
        </is>
      </c>
      <c r="G241" t="inlineStr">
        <is>
          <t>否</t>
        </is>
      </c>
      <c r="H241" t="inlineStr">
        <is>
          <t>MikroTik 认证顾问：自己做方案/集成/运维，会自己采购设备 → 用 ERPS/IGMP/VLAN/CLI 这类技术语言切入，不打价格战</t>
        </is>
      </c>
      <c r="I241" t="inlineStr">
        <is>
          <t>LT-IS6312XGP-4XS8GT</t>
        </is>
      </c>
      <c r="J241" t="inlineStr">
        <is>
          <t>+49 761 2926500 / inacker@fmsweb.de</t>
        </is>
      </c>
      <c r="K241" t="inlineStr">
        <is>
          <t>★★★</t>
        </is>
      </c>
      <c r="L241" t="inlineStr">
        <is>
          <t>未触达</t>
        </is>
      </c>
      <c r="M241" t="inlineStr">
        <is>
          <t>2026-09-22</t>
        </is>
      </c>
      <c r="N241" t="inlineStr"/>
      <c r="O241" t="inlineStr"/>
      <c r="P241" t="inlineStr"/>
      <c r="Q241" t="inlineStr">
        <is>
          <t>同公司共 3 位 MikroTik 认证顾问（同一电话 +49 761 2926500）：Henrik Brinkmann（brinkmann@fmsweb.de，企业/ISP/运营商、MPLS-VPLS、公共 WiFi、3G-LTE M2M 与监控）；Patrik Schaub（schaub@fmsweb.de，无线/PtP·PtMP/MESH）。谈一次覆盖三人项目</t>
        </is>
      </c>
      <c r="R241" t="inlineStr">
        <is>
          <t>B</t>
        </is>
      </c>
      <c r="S241" t="inlineStr">
        <is>
          <t>有信号（ISP/骨干）但需先验证需求或联系人不具体</t>
        </is>
      </c>
      <c r="T241" t="inlineStr">
        <is>
          <t>B-149</t>
        </is>
      </c>
      <c r="U241" t="inlineStr"/>
      <c r="V241" t="inlineStr"/>
    </row>
    <row r="242">
      <c r="A242" t="inlineStr">
        <is>
          <t>Spectra (oring.spectra.de)</t>
        </is>
      </c>
      <c r="B242" t="inlineStr">
        <is>
          <t>德国</t>
        </is>
      </c>
      <c r="C242" t="inlineStr"/>
      <c r="D242" t="inlineStr">
        <is>
          <t>oring.spectra.de</t>
        </is>
      </c>
      <c r="E242" t="inlineStr">
        <is>
          <t>分销+网店</t>
        </is>
      </c>
      <c r="F242" t="inlineStr">
        <is>
          <t>ORing（全系，公开欧元价）</t>
        </is>
      </c>
      <c r="G242" t="inlineStr">
        <is>
          <t>否</t>
        </is>
      </c>
      <c r="H242" t="inlineStr">
        <is>
          <t>ORing价格高→1/3价做第二供应源</t>
        </is>
      </c>
      <c r="I242" t="inlineStr">
        <is>
          <t>LT-IS6312XGP-4XS8GT</t>
        </is>
      </c>
      <c r="J242" t="inlineStr">
        <is>
          <t>官网表单（德：不冷邮件）+LinkedIn</t>
        </is>
      </c>
      <c r="K242" t="inlineStr">
        <is>
          <t>★★★</t>
        </is>
      </c>
      <c r="L242" t="inlineStr">
        <is>
          <t>未触达</t>
        </is>
      </c>
      <c r="M242" t="inlineStr">
        <is>
          <t>反向信号/2026-09</t>
        </is>
      </c>
      <c r="N242" t="inlineStr"/>
      <c r="O242" t="inlineStr"/>
      <c r="P242" t="inlineStr"/>
      <c r="Q242" t="inlineStr">
        <is>
          <t>价格锚点最有用</t>
        </is>
      </c>
      <c r="R242" t="inlineStr">
        <is>
          <t>C</t>
        </is>
      </c>
      <c r="S2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2" t="inlineStr">
        <is>
          <t>C-180</t>
        </is>
      </c>
      <c r="U242" t="inlineStr">
        <is>
          <t>B下放·无邮箱（群发触达不到）</t>
        </is>
      </c>
      <c r="V242" t="inlineStr"/>
    </row>
    <row r="243">
      <c r="A243" t="inlineStr">
        <is>
          <t>Videor</t>
        </is>
      </c>
      <c r="B243" t="inlineStr">
        <is>
          <t>德国</t>
        </is>
      </c>
      <c r="C243" t="inlineStr"/>
      <c r="D243" t="inlineStr">
        <is>
          <t>videor.com</t>
        </is>
      </c>
      <c r="E243" t="inlineStr">
        <is>
          <t>分销（ComNet 授权）</t>
        </is>
      </c>
      <c r="F243" t="inlineStr">
        <is>
          <t>ComNet</t>
        </is>
      </c>
      <c r="G243" t="inlineStr">
        <is>
          <t>否</t>
        </is>
      </c>
      <c r="H243" t="inlineStr">
        <is>
          <t>德国专业视频/安防分销，PoE 是刚需</t>
        </is>
      </c>
      <c r="I243" t="inlineStr">
        <is>
          <t>LT-IS6320G-4GX16GT-D</t>
        </is>
      </c>
      <c r="J243" t="inlineStr">
        <is>
          <t>videor.com</t>
        </is>
      </c>
      <c r="K243" t="inlineStr">
        <is>
          <t>★★★</t>
        </is>
      </c>
      <c r="L243" t="inlineStr">
        <is>
          <t>未触达</t>
        </is>
      </c>
      <c r="M243" t="inlineStr">
        <is>
          <t>2026-09-22</t>
        </is>
      </c>
      <c r="N243" t="inlineStr"/>
      <c r="O243" t="inlineStr"/>
      <c r="P243" t="inlineStr"/>
      <c r="Q243" t="inlineStr">
        <is>
          <t>德国安防分销主力之一</t>
        </is>
      </c>
      <c r="R243" t="inlineStr">
        <is>
          <t>C</t>
        </is>
      </c>
      <c r="S24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3" t="inlineStr">
        <is>
          <t>C-181</t>
        </is>
      </c>
      <c r="U243" t="inlineStr">
        <is>
          <t>B下放·无邮箱（群发触达不到）</t>
        </is>
      </c>
      <c r="V243" t="inlineStr"/>
    </row>
    <row r="244">
      <c r="A244" t="inlineStr">
        <is>
          <t>etree GmbH</t>
        </is>
      </c>
      <c r="B244" t="inlineStr">
        <is>
          <t>德国</t>
        </is>
      </c>
      <c r="C244" t="inlineStr"/>
      <c r="D244" t="inlineStr">
        <is>
          <t>shop.etree.de</t>
        </is>
      </c>
      <c r="E244" t="inlineStr">
        <is>
          <t>分销（MikroTik 官方）</t>
        </is>
      </c>
      <c r="F244" t="inlineStr">
        <is>
          <t>MikroTik（Reseller）</t>
        </is>
      </c>
      <c r="G244" t="inlineStr">
        <is>
          <t>否</t>
        </is>
      </c>
      <c r="H244" t="inlineStr">
        <is>
          <t>卖 MikroTik 但缺工业/ERPS/PoE++ → 用同价位工业线补他的产品缺口</t>
        </is>
      </c>
      <c r="I244" t="inlineStr">
        <is>
          <t>LT-IS6312XG-4XS8GT</t>
        </is>
      </c>
      <c r="J244" t="inlineStr">
        <is>
          <t>+49 221 2924170 / sales@etree.de</t>
        </is>
      </c>
      <c r="K244" t="inlineStr">
        <is>
          <t>★★</t>
        </is>
      </c>
      <c r="L244" t="inlineStr">
        <is>
          <t>未触达</t>
        </is>
      </c>
      <c r="M244" t="inlineStr">
        <is>
          <t>2026-09-22</t>
        </is>
      </c>
      <c r="N244" t="inlineStr"/>
      <c r="O244" t="inlineStr"/>
      <c r="P244" t="inlineStr"/>
      <c r="Q244" t="inlineStr">
        <is>
          <t>Cologne</t>
        </is>
      </c>
      <c r="R244" t="inlineStr">
        <is>
          <t>B</t>
        </is>
      </c>
      <c r="S244" t="inlineStr">
        <is>
          <t>通用分销商信号，无差异化切入点，慢慢跟</t>
        </is>
      </c>
      <c r="T244" t="inlineStr">
        <is>
          <t>B-152</t>
        </is>
      </c>
      <c r="U244" t="inlineStr"/>
      <c r="V244" t="inlineStr"/>
    </row>
    <row r="245">
      <c r="A245" t="inlineStr">
        <is>
          <t>hsc solutions</t>
        </is>
      </c>
      <c r="B245" t="inlineStr">
        <is>
          <t>德国</t>
        </is>
      </c>
      <c r="C245" t="inlineStr"/>
      <c r="D245" t="inlineStr">
        <is>
          <t>hsc-solutions.de</t>
        </is>
      </c>
      <c r="E245" t="inlineStr">
        <is>
          <t>分销（MikroTik 官方）</t>
        </is>
      </c>
      <c r="F245" t="inlineStr">
        <is>
          <t>MikroTik（Reseller）</t>
        </is>
      </c>
      <c r="G245" t="inlineStr">
        <is>
          <t>否</t>
        </is>
      </c>
      <c r="H245" t="inlineStr">
        <is>
          <t>卖 MikroTik 但缺工业/ERPS/PoE++ → 用同价位工业线补他的产品缺口</t>
        </is>
      </c>
      <c r="I245" t="inlineStr">
        <is>
          <t>LT-IS6312XGP-4XS8GT</t>
        </is>
      </c>
      <c r="J245" t="inlineStr">
        <is>
          <t>+49 371 243592-321 / office@hsc-solutions.de</t>
        </is>
      </c>
      <c r="K245" t="inlineStr">
        <is>
          <t>★★</t>
        </is>
      </c>
      <c r="L245" t="inlineStr">
        <is>
          <t>未触达</t>
        </is>
      </c>
      <c r="M245" t="inlineStr">
        <is>
          <t>2026-09-22</t>
        </is>
      </c>
      <c r="N245" t="inlineStr"/>
      <c r="O245" t="inlineStr"/>
      <c r="P245" t="inlineStr"/>
      <c r="Q245" t="inlineStr">
        <is>
          <t>Chemnitz；系统集成商属性</t>
        </is>
      </c>
      <c r="R245" t="inlineStr">
        <is>
          <t>B</t>
        </is>
      </c>
      <c r="S245" t="inlineStr">
        <is>
          <t>通用分销商信号，无差异化切入点，慢慢跟</t>
        </is>
      </c>
      <c r="T245" t="inlineStr">
        <is>
          <t>B-153</t>
        </is>
      </c>
      <c r="U245" t="inlineStr"/>
      <c r="V245" t="inlineStr"/>
    </row>
    <row r="246">
      <c r="A246" t="inlineStr">
        <is>
          <t>Allnet.Italia S.p.A.</t>
        </is>
      </c>
      <c r="B246" t="inlineStr">
        <is>
          <t>意大利</t>
        </is>
      </c>
      <c r="C246" t="inlineStr"/>
      <c r="D246" t="inlineStr">
        <is>
          <t>shop.allnet-italia.it</t>
        </is>
      </c>
      <c r="E246" t="inlineStr">
        <is>
          <t>分销（MikroTik 官方）</t>
        </is>
      </c>
      <c r="F246" t="inlineStr">
        <is>
          <t>MikroTik（Master+VAD）</t>
        </is>
      </c>
      <c r="G246" t="inlineStr">
        <is>
          <t>否</t>
        </is>
      </c>
      <c r="H246" t="inlineStr">
        <is>
          <t>ALLNET 集团意大利站（德/法同集团）</t>
        </is>
      </c>
      <c r="I246" t="inlineStr">
        <is>
          <t>LT-S8328GP-4GX24GT</t>
        </is>
      </c>
      <c r="J246" t="inlineStr">
        <is>
          <t>+39 051 0547710 / networking@allnet-italia.it</t>
        </is>
      </c>
      <c r="K246" t="inlineStr">
        <is>
          <t>★★★</t>
        </is>
      </c>
      <c r="L246" t="inlineStr">
        <is>
          <t>未触达</t>
        </is>
      </c>
      <c r="M246" t="inlineStr">
        <is>
          <t>2026-09-22</t>
        </is>
      </c>
      <c r="N246" t="inlineStr"/>
      <c r="O246" t="inlineStr"/>
      <c r="P246" t="inlineStr"/>
      <c r="Q246" t="inlineStr">
        <is>
          <t>Bologna</t>
        </is>
      </c>
      <c r="R246" t="inlineStr">
        <is>
          <t>B</t>
        </is>
      </c>
      <c r="S246" t="inlineStr">
        <is>
          <t>通用分销商信号，无差异化切入点，慢慢跟</t>
        </is>
      </c>
      <c r="T246" t="inlineStr">
        <is>
          <t>B-154</t>
        </is>
      </c>
      <c r="U246" t="inlineStr"/>
      <c r="V246" t="inlineStr"/>
    </row>
    <row r="247">
      <c r="A247" t="inlineStr">
        <is>
          <t>Andrea Somma / Matrix Computers</t>
        </is>
      </c>
      <c r="B247" t="inlineStr">
        <is>
          <t>意大利</t>
        </is>
      </c>
      <c r="C247" t="inlineStr">
        <is>
          <t>Varedo</t>
        </is>
      </c>
      <c r="D247" t="inlineStr">
        <is>
          <t>matrixcomputers.it</t>
        </is>
      </c>
      <c r="E247" t="inlineStr">
        <is>
          <t>集成商/顾问（MikroTik 认证）</t>
        </is>
      </c>
      <c r="F247" t="inlineStr">
        <is>
          <t>MikroTik 认证顾问 MTCNA+MTCRE</t>
        </is>
      </c>
      <c r="G247" t="inlineStr">
        <is>
          <t>否</t>
        </is>
      </c>
      <c r="H247" t="inlineStr">
        <is>
          <t>MikroTik 认证顾问：自己做方案/集成/运维并自行采购设备 → 用 ERPS/IGMP/VLAN/CLI/MIB 这类技术语言切入，不打价格战</t>
        </is>
      </c>
      <c r="I247" t="inlineStr">
        <is>
          <t>LT-S8328G-4XS24GT-S</t>
        </is>
      </c>
      <c r="J247" t="inlineStr">
        <is>
          <t>+39 339 447 6819 / a.somma@matrixcomputers.it</t>
        </is>
      </c>
      <c r="K247" t="inlineStr">
        <is>
          <t>★★</t>
        </is>
      </c>
      <c r="L247" t="inlineStr">
        <is>
          <t>未触达</t>
        </is>
      </c>
      <c r="M247" t="inlineStr">
        <is>
          <t>2026-09-22</t>
        </is>
      </c>
      <c r="N247" t="inlineStr"/>
      <c r="O247" t="inlineStr"/>
      <c r="P247" t="inlineStr"/>
      <c r="Q247" t="inlineStr"/>
      <c r="R247" t="inlineStr">
        <is>
          <t>B</t>
        </is>
      </c>
      <c r="S247" t="inlineStr">
        <is>
          <t>通用分销商信号，无差异化切入点，慢慢跟</t>
        </is>
      </c>
      <c r="T247" t="inlineStr">
        <is>
          <t>B-155</t>
        </is>
      </c>
      <c r="U247" t="inlineStr"/>
      <c r="V247" t="inlineStr"/>
    </row>
    <row r="248">
      <c r="A248" t="inlineStr">
        <is>
          <t>C1V Hosting</t>
        </is>
      </c>
      <c r="B248" t="inlineStr">
        <is>
          <t>意大利</t>
        </is>
      </c>
      <c r="C248" t="inlineStr"/>
      <c r="D248" t="inlineStr">
        <is>
          <t>c1vhosting.it</t>
        </is>
      </c>
      <c r="E248" t="inlineStr">
        <is>
          <t>分销（MikroTik 官方）</t>
        </is>
      </c>
      <c r="F248" t="inlineStr">
        <is>
          <t>MikroTik（Reseller）</t>
        </is>
      </c>
      <c r="G248" t="inlineStr">
        <is>
          <t>否</t>
        </is>
      </c>
      <c r="H248" t="inlineStr">
        <is>
          <t>卖 MikroTik 但缺工业/ERPS/PoE++ → 用同价位工业线补他的产品缺口</t>
        </is>
      </c>
      <c r="I248" t="inlineStr">
        <is>
          <t>LT-IS6312XG-4XS8GT</t>
        </is>
      </c>
      <c r="J248" t="inlineStr">
        <is>
          <t>+39 324 6939 048 / mikrotik@c1vhosting.it</t>
        </is>
      </c>
      <c r="K248" t="inlineStr">
        <is>
          <t>★★</t>
        </is>
      </c>
      <c r="L248" t="inlineStr">
        <is>
          <t>未触达</t>
        </is>
      </c>
      <c r="M248" t="inlineStr">
        <is>
          <t>2026-09-22</t>
        </is>
      </c>
      <c r="N248" t="inlineStr"/>
      <c r="O248" t="inlineStr"/>
      <c r="P248" t="inlineStr"/>
      <c r="Q248" t="inlineStr">
        <is>
          <t>Rome</t>
        </is>
      </c>
      <c r="R248" t="inlineStr">
        <is>
          <t>B</t>
        </is>
      </c>
      <c r="S248" t="inlineStr">
        <is>
          <t>通用分销商信号，无差异化切入点，慢慢跟</t>
        </is>
      </c>
      <c r="T248" t="inlineStr">
        <is>
          <t>B-156</t>
        </is>
      </c>
      <c r="U248" t="inlineStr"/>
      <c r="V248" t="inlineStr"/>
    </row>
    <row r="249">
      <c r="A249" t="inlineStr">
        <is>
          <t>Compass Distribution</t>
        </is>
      </c>
      <c r="B249" t="inlineStr">
        <is>
          <t>意大利</t>
        </is>
      </c>
      <c r="C249" t="inlineStr"/>
      <c r="D249" t="inlineStr">
        <is>
          <t>compass-distribution.it</t>
        </is>
      </c>
      <c r="E249" t="inlineStr">
        <is>
          <t>分销（ComNet 授权）</t>
        </is>
      </c>
      <c r="F249" t="inlineStr">
        <is>
          <t>ComNet</t>
        </is>
      </c>
      <c r="G249" t="inlineStr">
        <is>
          <t>否</t>
        </is>
      </c>
      <c r="H249" t="inlineStr">
        <is>
          <t>CCTV/PoE 同规格第二供应源</t>
        </is>
      </c>
      <c r="I249" t="inlineStr">
        <is>
          <t>LT-IS6310GP-2GX8GT</t>
        </is>
      </c>
      <c r="J249" t="inlineStr">
        <is>
          <t>compass-distribution.it</t>
        </is>
      </c>
      <c r="K249" t="inlineStr">
        <is>
          <t>★★</t>
        </is>
      </c>
      <c r="L249" t="inlineStr">
        <is>
          <t>未触达</t>
        </is>
      </c>
      <c r="M249" t="inlineStr">
        <is>
          <t>2026-09-22</t>
        </is>
      </c>
      <c r="N249" t="inlineStr"/>
      <c r="O249" t="inlineStr"/>
      <c r="P249" t="inlineStr"/>
      <c r="Q249" t="inlineStr">
        <is>
          <t>意大利安防分销</t>
        </is>
      </c>
      <c r="R249" t="inlineStr">
        <is>
          <t>C</t>
        </is>
      </c>
      <c r="S24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49" t="inlineStr">
        <is>
          <t>C-182</t>
        </is>
      </c>
      <c r="U249" t="inlineStr">
        <is>
          <t>B下放·无邮箱（群发触达不到）</t>
        </is>
      </c>
      <c r="V249" t="inlineStr"/>
    </row>
    <row r="250">
      <c r="A250" t="inlineStr">
        <is>
          <t>CorsiMikrotik（意大利 MikroTik 培训）</t>
        </is>
      </c>
      <c r="B250" t="inlineStr">
        <is>
          <t>意大利</t>
        </is>
      </c>
      <c r="C250" t="inlineStr">
        <is>
          <t>Verona 区号 045</t>
        </is>
      </c>
      <c r="D250" t="inlineStr">
        <is>
          <t>corsimikrotik.it</t>
        </is>
      </c>
      <c r="E250" t="inlineStr">
        <is>
          <t>集成商/顾问（MikroTik 认证）</t>
        </is>
      </c>
      <c r="F250" t="inlineStr">
        <is>
          <t>MikroTik 认证顾问 含 CAPsMAN 与网络自动化</t>
        </is>
      </c>
      <c r="G250" t="inlineStr">
        <is>
          <t>否</t>
        </is>
      </c>
      <c r="H250" t="inlineStr">
        <is>
          <t>MikroTik 认证顾问：自己做方案/集成/运维并自行采购设备 → 用 ERPS/IGMP/VLAN/CLI/MIB 这类技术语言切入，不打价格战</t>
        </is>
      </c>
      <c r="I250" t="inlineStr">
        <is>
          <t>LT-S8328XGP-4XS24GT-S</t>
        </is>
      </c>
      <c r="J250" t="inlineStr">
        <is>
          <t>+39 045 485 4174 / marco@corsimikrotik.it</t>
        </is>
      </c>
      <c r="K250" t="inlineStr">
        <is>
          <t>★★★</t>
        </is>
      </c>
      <c r="L250" t="inlineStr">
        <is>
          <t>未触达</t>
        </is>
      </c>
      <c r="M250" t="inlineStr">
        <is>
          <t>2026-09-22</t>
        </is>
      </c>
      <c r="N250" t="inlineStr"/>
      <c r="O250" t="inlineStr"/>
      <c r="P250" t="inlineStr"/>
      <c r="Q250" t="inlineStr">
        <is>
          <t>意大利 MikroTik 培训机构；CAPsMAN 管理 + 脚本化网络自动化</t>
        </is>
      </c>
      <c r="R250" t="inlineStr">
        <is>
          <t>B</t>
        </is>
      </c>
      <c r="S250" t="inlineStr">
        <is>
          <t>有信号（影响力/渠道）但需先验证需求或联系人不具体</t>
        </is>
      </c>
      <c r="T250" t="inlineStr">
        <is>
          <t>B-158</t>
        </is>
      </c>
      <c r="U250" t="inlineStr"/>
      <c r="V250" t="inlineStr"/>
    </row>
    <row r="251">
      <c r="A251" t="inlineStr">
        <is>
          <t>DIGIMAX S.r.l.</t>
        </is>
      </c>
      <c r="B251" t="inlineStr">
        <is>
          <t>意大利</t>
        </is>
      </c>
      <c r="C251" t="inlineStr"/>
      <c r="D251" t="inlineStr">
        <is>
          <t>digimax.it</t>
        </is>
      </c>
      <c r="E251" t="inlineStr">
        <is>
          <t>分销（ORing 授权）</t>
        </is>
      </c>
      <c r="F251" t="inlineStr">
        <is>
          <t>ORing</t>
        </is>
      </c>
      <c r="G251" t="inlineStr">
        <is>
          <t>否</t>
        </is>
      </c>
      <c r="H251" t="inlineStr">
        <is>
          <t>意大利分销</t>
        </is>
      </c>
      <c r="I251" t="inlineStr">
        <is>
          <t>LT-IS6310GP-2GX8GT</t>
        </is>
      </c>
      <c r="J251" t="inlineStr">
        <is>
          <t>+39 0444 574066</t>
        </is>
      </c>
      <c r="K251" t="inlineStr">
        <is>
          <t>★★★</t>
        </is>
      </c>
      <c r="L251" t="inlineStr">
        <is>
          <t>未触达</t>
        </is>
      </c>
      <c r="M251" t="inlineStr">
        <is>
          <t>ORing经销商名录/2026-09</t>
        </is>
      </c>
      <c r="N251" t="inlineStr"/>
      <c r="O251" t="inlineStr"/>
      <c r="P251" t="inlineStr"/>
      <c r="Q25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51" t="inlineStr">
        <is>
          <t>C</t>
        </is>
      </c>
      <c r="S2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51" t="inlineStr">
        <is>
          <t>C-183</t>
        </is>
      </c>
      <c r="U251" t="inlineStr">
        <is>
          <t>B下放·无邮箱（群发触达不到）</t>
        </is>
      </c>
      <c r="V251" t="inlineStr"/>
    </row>
    <row r="252">
      <c r="A252" t="inlineStr">
        <is>
          <t>Dnet-Distribution</t>
        </is>
      </c>
      <c r="B252" t="inlineStr">
        <is>
          <t>意大利</t>
        </is>
      </c>
      <c r="C252" t="inlineStr"/>
      <c r="D252" t="inlineStr">
        <is>
          <t>dnet-distribution.com</t>
        </is>
      </c>
      <c r="E252" t="inlineStr">
        <is>
          <t>分销（MikroTik 官方）</t>
        </is>
      </c>
      <c r="F252" t="inlineStr">
        <is>
          <t>MikroTik（Master+VAD）</t>
        </is>
      </c>
      <c r="G252" t="inlineStr">
        <is>
          <t>否</t>
        </is>
      </c>
      <c r="H252" t="inlineStr">
        <is>
          <t>卖 MikroTik 但缺工业/ERPS/PoE++ → 用同价位工业线补他的产品缺口</t>
        </is>
      </c>
      <c r="I252" t="inlineStr">
        <is>
          <t>LT-IS6312XG-4XS8GT</t>
        </is>
      </c>
      <c r="J252" t="inlineStr">
        <is>
          <t>+39 02 78626310 / info@dnet-distribution.com</t>
        </is>
      </c>
      <c r="K252" t="inlineStr">
        <is>
          <t>★★★</t>
        </is>
      </c>
      <c r="L252" t="inlineStr">
        <is>
          <t>未触达</t>
        </is>
      </c>
      <c r="M252" t="inlineStr">
        <is>
          <t>2026-09-22</t>
        </is>
      </c>
      <c r="N252" t="inlineStr"/>
      <c r="O252" t="inlineStr"/>
      <c r="P252" t="inlineStr"/>
      <c r="Q252" t="inlineStr">
        <is>
          <t>Lainate (MI)</t>
        </is>
      </c>
      <c r="R252" t="inlineStr">
        <is>
          <t>B</t>
        </is>
      </c>
      <c r="S252" t="inlineStr">
        <is>
          <t>通用分销商信号，无差异化切入点，慢慢跟</t>
        </is>
      </c>
      <c r="T252" t="inlineStr">
        <is>
          <t>B-160</t>
        </is>
      </c>
      <c r="U252" t="inlineStr"/>
      <c r="V252" t="inlineStr"/>
    </row>
    <row r="253">
      <c r="A253" t="inlineStr">
        <is>
          <t>Elia Fiumalbo Tino Spadoni / Spadhausen</t>
        </is>
      </c>
      <c r="B253" t="inlineStr">
        <is>
          <t>意大利</t>
        </is>
      </c>
      <c r="C253" t="inlineStr">
        <is>
          <t>Ravenna</t>
        </is>
      </c>
      <c r="D253" t="inlineStr">
        <is>
          <t>spadhausen.com</t>
        </is>
      </c>
      <c r="E253" t="inlineStr">
        <is>
          <t>集成商/顾问（MikroTik 认证）</t>
        </is>
      </c>
      <c r="F253" t="inlineStr">
        <is>
          <t>MikroTik 认证顾问 MTCNA+MTCEWE</t>
        </is>
      </c>
      <c r="G253" t="inlineStr">
        <is>
          <t>否</t>
        </is>
      </c>
      <c r="H253" t="inlineStr">
        <is>
          <t>MikroTik 认证顾问：自己做方案/集成/运维并自行采购设备 → 用 ERPS/IGMP/VLAN/CLI/MIB 这类技术语言切入，不打价格战</t>
        </is>
      </c>
      <c r="I253" t="inlineStr">
        <is>
          <t>LT-S8328XG-4XS24GT-S</t>
        </is>
      </c>
      <c r="J253" t="inlineStr">
        <is>
          <t>+39 0544 233 0899 / admin@spadhausen.com</t>
        </is>
      </c>
      <c r="K253" t="inlineStr">
        <is>
          <t>★★★</t>
        </is>
      </c>
      <c r="L253" t="inlineStr">
        <is>
          <t>未触达</t>
        </is>
      </c>
      <c r="M253" t="inlineStr">
        <is>
          <t>2026-09-22</t>
        </is>
      </c>
      <c r="N253" t="inlineStr"/>
      <c r="O253" t="inlineStr"/>
      <c r="P253" t="inlineStr"/>
      <c r="Q253" t="inlineStr">
        <is>
          <t>★ **自己拥有一家 ISP**（有实操场景可落设备）；自称「优化专家」，2002 年入行，MikroTik 认证讲师；主攻 BGP 与 ISP/企业冗余方案；常驻摩尔多瓦，可全球接单</t>
        </is>
      </c>
      <c r="R253" t="inlineStr">
        <is>
          <t>B</t>
        </is>
      </c>
      <c r="S253" t="inlineStr">
        <is>
          <t>有信号（ISP/骨干、影响力/渠道）但需先验证需求或联系人不具体</t>
        </is>
      </c>
      <c r="T253" t="inlineStr">
        <is>
          <t>B-161</t>
        </is>
      </c>
      <c r="U253" t="inlineStr"/>
      <c r="V253" t="inlineStr"/>
    </row>
    <row r="254">
      <c r="A254" t="inlineStr">
        <is>
          <t>GOMA ELETTRONICA SPA</t>
        </is>
      </c>
      <c r="B254" t="inlineStr">
        <is>
          <t>意大利</t>
        </is>
      </c>
      <c r="C254" t="inlineStr">
        <is>
          <t>都灵</t>
        </is>
      </c>
      <c r="D254" t="inlineStr">
        <is>
          <t>goma.it</t>
        </is>
      </c>
      <c r="E254" t="inlineStr">
        <is>
          <t>分销（ORing 授权）</t>
        </is>
      </c>
      <c r="F254" t="inlineStr">
        <is>
          <t>ORing</t>
        </is>
      </c>
      <c r="G254" t="inlineStr">
        <is>
          <t>否</t>
        </is>
      </c>
      <c r="H254" t="inlineStr">
        <is>
          <t>意大利电子分销</t>
        </is>
      </c>
      <c r="I254" t="inlineStr">
        <is>
          <t>LT-IS6312XG-4XS8GT</t>
        </is>
      </c>
      <c r="J254" t="inlineStr">
        <is>
          <t>+39 011 7725024</t>
        </is>
      </c>
      <c r="K254" t="inlineStr">
        <is>
          <t>★★★</t>
        </is>
      </c>
      <c r="L254" t="inlineStr">
        <is>
          <t>未触达</t>
        </is>
      </c>
      <c r="M254" t="inlineStr">
        <is>
          <t>ORing经销商名录/2026-09</t>
        </is>
      </c>
      <c r="N254" t="inlineStr"/>
      <c r="O254" t="inlineStr"/>
      <c r="P254" t="inlineStr"/>
      <c r="Q254" t="inlineStr">
        <is>
          <t>Strada Antica di Collegno 225</t>
        </is>
      </c>
      <c r="R254" t="inlineStr">
        <is>
          <t>C</t>
        </is>
      </c>
      <c r="S25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4" t="inlineStr">
        <is>
          <t>C-184</t>
        </is>
      </c>
      <c r="U254" t="inlineStr">
        <is>
          <t>B下放·无邮箱（群发触达不到）</t>
        </is>
      </c>
      <c r="V254" t="inlineStr"/>
    </row>
    <row r="255">
      <c r="A255" t="inlineStr">
        <is>
          <t>Giorgio Marchetti / Fastnet</t>
        </is>
      </c>
      <c r="B255" t="inlineStr">
        <is>
          <t>意大利</t>
        </is>
      </c>
      <c r="C255" t="inlineStr">
        <is>
          <t>Monsano</t>
        </is>
      </c>
      <c r="D255" t="inlineStr">
        <is>
          <t>fastnet.it</t>
        </is>
      </c>
      <c r="E255" t="inlineStr">
        <is>
          <t>集成商/顾问（MikroTik 认证）</t>
        </is>
      </c>
      <c r="F255" t="inlineStr">
        <is>
          <t>MikroTik 认证顾问 MTCNA+MTCRE+MTCSE</t>
        </is>
      </c>
      <c r="G255" t="inlineStr">
        <is>
          <t>否</t>
        </is>
      </c>
      <c r="H255" t="inlineStr">
        <is>
          <t>MikroTik 认证顾问：自己做方案/集成/运维并自行采购设备 → 用 ERPS/IGMP/VLAN/CLI/MIB 这类技术语言切入，不打价格战</t>
        </is>
      </c>
      <c r="I255" t="inlineStr">
        <is>
          <t>LT-S8328G-4XS24GT-S</t>
        </is>
      </c>
      <c r="J255" t="inlineStr">
        <is>
          <t>g.marchetti@fastnet.it</t>
        </is>
      </c>
      <c r="K255" t="inlineStr">
        <is>
          <t>★★</t>
        </is>
      </c>
      <c r="L255" t="inlineStr">
        <is>
          <t>未触达</t>
        </is>
      </c>
      <c r="M255" t="inlineStr">
        <is>
          <t>2026-09-22</t>
        </is>
      </c>
      <c r="N255" t="inlineStr"/>
      <c r="O255" t="inlineStr"/>
      <c r="P255" t="inlineStr"/>
      <c r="Q255" t="inlineStr"/>
      <c r="R255" t="inlineStr">
        <is>
          <t>B</t>
        </is>
      </c>
      <c r="S255" t="inlineStr">
        <is>
          <t>通用分销商信号，无差异化切入点，慢慢跟</t>
        </is>
      </c>
      <c r="T255" t="inlineStr">
        <is>
          <t>B-163</t>
        </is>
      </c>
      <c r="U255" t="inlineStr"/>
      <c r="V255" t="inlineStr"/>
    </row>
    <row r="256">
      <c r="A256" t="inlineStr">
        <is>
          <t>Jacopo Cipriani</t>
        </is>
      </c>
      <c r="B256" t="inlineStr">
        <is>
          <t>意大利</t>
        </is>
      </c>
      <c r="C256" t="inlineStr">
        <is>
          <t>Grosseto</t>
        </is>
      </c>
      <c r="D256" t="inlineStr"/>
      <c r="E256" t="inlineStr">
        <is>
          <t>集成商/顾问（MikroTik 认证）</t>
        </is>
      </c>
      <c r="F256" t="inlineStr">
        <is>
          <t>MikroTik 认证顾问 MTCNA+MTCRE</t>
        </is>
      </c>
      <c r="G256" t="inlineStr">
        <is>
          <t>否</t>
        </is>
      </c>
      <c r="H256" t="inlineStr">
        <is>
          <t>MikroTik 认证顾问：自己做方案/集成/运维并自行采购设备 → 用 ERPS/IGMP/VLAN/CLI/MIB 这类技术语言切入，不打价格战</t>
        </is>
      </c>
      <c r="I256" t="inlineStr">
        <is>
          <t>LT-S8328G-4XS24GT-S</t>
        </is>
      </c>
      <c r="J256" t="inlineStr">
        <is>
          <t>jacopocipriani@me.com</t>
        </is>
      </c>
      <c r="K256" t="inlineStr">
        <is>
          <t>★★</t>
        </is>
      </c>
      <c r="L256" t="inlineStr">
        <is>
          <t>未触达</t>
        </is>
      </c>
      <c r="M256" t="inlineStr">
        <is>
          <t>2026-09-22</t>
        </is>
      </c>
      <c r="N256" t="inlineStr"/>
      <c r="O256" t="inlineStr"/>
      <c r="P256" t="inlineStr"/>
      <c r="Q256" t="inlineStr"/>
      <c r="R256" t="inlineStr">
        <is>
          <t>B</t>
        </is>
      </c>
      <c r="S256" t="inlineStr">
        <is>
          <t>通用分销商信号，无差异化切入点，慢慢跟</t>
        </is>
      </c>
      <c r="T256" t="inlineStr">
        <is>
          <t>B-164</t>
        </is>
      </c>
      <c r="U256" t="inlineStr"/>
      <c r="V256" t="inlineStr"/>
    </row>
    <row r="257">
      <c r="A257" t="inlineStr">
        <is>
          <t>Jampel S.r.l.</t>
        </is>
      </c>
      <c r="B257" t="inlineStr">
        <is>
          <t>意大利</t>
        </is>
      </c>
      <c r="C257" t="inlineStr"/>
      <c r="D257" t="inlineStr">
        <is>
          <t>jampel.it</t>
        </is>
      </c>
      <c r="E257" t="inlineStr">
        <is>
          <t>分销（Moxa 授权）</t>
        </is>
      </c>
      <c r="F257" t="inlineStr">
        <is>
          <t>Moxa 意大利官方分销商 18 年以上，站点自称 2012 年起为 Moxa 欧洲销售额第一的分销商；持有 Moxa MTSC 认证技术支持资质</t>
        </is>
      </c>
      <c r="G257" t="inlineStr">
        <is>
          <t>否</t>
        </is>
      </c>
      <c r="H257" t="inlineStr">
        <is>
          <t>台厂渠道话术</t>
        </is>
      </c>
      <c r="I257" t="inlineStr">
        <is>
          <t>LT-IS6312XGP-4XS8GT</t>
        </is>
      </c>
      <c r="J257" t="inlineStr">
        <is>
          <t>官网联系页</t>
        </is>
      </c>
      <c r="K257" t="inlineStr">
        <is>
          <t>★★</t>
        </is>
      </c>
      <c r="L257" t="inlineStr">
        <is>
          <t>未触达</t>
        </is>
      </c>
      <c r="M257" t="inlineStr">
        <is>
          <t>Moxa 渠道名录（经销商定位法）</t>
        </is>
      </c>
      <c r="N257" t="inlineStr"/>
      <c r="O257" t="inlineStr"/>
      <c r="P257" t="inlineStr"/>
      <c r="Q257" t="inlineStr">
        <is>
          <t>【2026-09-22 补】经 Moxa 渠道名录确认为 Moxa 官方分销商（台厂 Moxa 旗下欧洲/北美渠道）。1981 年成立，自有 Moxa 专营网店 moxa.distry.shop；产品线含 EDS-G2005/G2008/G308/SDS-3006/EDS-G4012 与 NPort 系列，主打 NIS2 与 IEC 62443-4-2 合规。</t>
        </is>
      </c>
      <c r="R257" t="inlineStr">
        <is>
          <t>C</t>
        </is>
      </c>
      <c r="S25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57" t="inlineStr">
        <is>
          <t>C-185</t>
        </is>
      </c>
      <c r="U257" t="inlineStr">
        <is>
          <t>B下放·无邮箱（群发触达不到）</t>
        </is>
      </c>
      <c r="V257" t="inlineStr"/>
    </row>
    <row r="258">
      <c r="A258" t="inlineStr">
        <is>
          <t>Lorenzo Webber</t>
        </is>
      </c>
      <c r="B258" t="inlineStr">
        <is>
          <t>意大利</t>
        </is>
      </c>
      <c r="C258" t="inlineStr">
        <is>
          <t>Mezzolombardo</t>
        </is>
      </c>
      <c r="D258" t="inlineStr"/>
      <c r="E258" t="inlineStr">
        <is>
          <t>集成商/顾问（MikroTik 认证）</t>
        </is>
      </c>
      <c r="F258" t="inlineStr">
        <is>
          <t>MikroTik 认证顾问 MTCNA+MTCSE</t>
        </is>
      </c>
      <c r="G258" t="inlineStr">
        <is>
          <t>否</t>
        </is>
      </c>
      <c r="H258" t="inlineStr">
        <is>
          <t>MikroTik 认证顾问：自己做方案/集成/运维并自行采购设备 → 用 ERPS/IGMP/VLAN/CLI/MIB 这类技术语言切入，不打价格战</t>
        </is>
      </c>
      <c r="I258" t="inlineStr">
        <is>
          <t>LT-S8328G-4XS24GT-S</t>
        </is>
      </c>
      <c r="J258" t="inlineStr">
        <is>
          <t>+39 347 091 9297 / lory76@gmail.com</t>
        </is>
      </c>
      <c r="K258" t="inlineStr">
        <is>
          <t>★★</t>
        </is>
      </c>
      <c r="L258" t="inlineStr">
        <is>
          <t>未触达</t>
        </is>
      </c>
      <c r="M258" t="inlineStr">
        <is>
          <t>2026-09-22</t>
        </is>
      </c>
      <c r="N258" t="inlineStr"/>
      <c r="O258" t="inlineStr"/>
      <c r="P258" t="inlineStr"/>
      <c r="Q258" t="inlineStr"/>
      <c r="R258" t="inlineStr">
        <is>
          <t>B</t>
        </is>
      </c>
      <c r="S258" t="inlineStr">
        <is>
          <t>通用分销商信号，无差异化切入点，慢慢跟</t>
        </is>
      </c>
      <c r="T258" t="inlineStr">
        <is>
          <t>B-166</t>
        </is>
      </c>
      <c r="U258" t="inlineStr"/>
      <c r="V258" t="inlineStr"/>
    </row>
    <row r="259">
      <c r="A259" t="inlineStr">
        <is>
          <t>MARCOM S.r.l.</t>
        </is>
      </c>
      <c r="B259" t="inlineStr">
        <is>
          <t>意大利</t>
        </is>
      </c>
      <c r="C259" t="inlineStr"/>
      <c r="D259" t="inlineStr">
        <is>
          <t>shop.marcomweb.it</t>
        </is>
      </c>
      <c r="E259" t="inlineStr">
        <is>
          <t>分销（MikroTik 官方）</t>
        </is>
      </c>
      <c r="F259" t="inlineStr">
        <is>
          <t>MikroTik（Reseller）</t>
        </is>
      </c>
      <c r="G259" t="inlineStr">
        <is>
          <t>否</t>
        </is>
      </c>
      <c r="H259" t="inlineStr">
        <is>
          <t>MikroTik 官方分销，商用线可直接比价，工业线为零 → 新品类增量</t>
        </is>
      </c>
      <c r="I259" t="inlineStr">
        <is>
          <t>LT-S8328GP-4GX24GT</t>
        </is>
      </c>
      <c r="J259" t="inlineStr">
        <is>
          <t>+39 045 8204747 / nfo@marcomweb.it</t>
        </is>
      </c>
      <c r="K259" t="inlineStr">
        <is>
          <t>★★</t>
        </is>
      </c>
      <c r="L259" t="inlineStr">
        <is>
          <t>未触达</t>
        </is>
      </c>
      <c r="M259" t="inlineStr">
        <is>
          <t>2026-09-22</t>
        </is>
      </c>
      <c r="N259" t="inlineStr"/>
      <c r="O259" t="inlineStr"/>
      <c r="P259" t="inlineStr"/>
      <c r="Q259" t="inlineStr">
        <is>
          <t>Verona</t>
        </is>
      </c>
      <c r="R259" t="inlineStr">
        <is>
          <t>B</t>
        </is>
      </c>
      <c r="S259" t="inlineStr">
        <is>
          <t>通用分销商信号，无差异化切入点，慢慢跟</t>
        </is>
      </c>
      <c r="T259" t="inlineStr">
        <is>
          <t>B-167</t>
        </is>
      </c>
      <c r="U259" t="inlineStr"/>
      <c r="V259" t="inlineStr"/>
    </row>
    <row r="260">
      <c r="A260" t="inlineStr">
        <is>
          <t>Neostar</t>
        </is>
      </c>
      <c r="B260" t="inlineStr">
        <is>
          <t>意大利</t>
        </is>
      </c>
      <c r="C260" t="inlineStr"/>
      <c r="D260" t="inlineStr">
        <is>
          <t>neostar.it</t>
        </is>
      </c>
      <c r="E260" t="inlineStr">
        <is>
          <t>分销（MikroTik 官方）</t>
        </is>
      </c>
      <c r="F260" t="inlineStr">
        <is>
          <t>MikroTik（Master+VAD）</t>
        </is>
      </c>
      <c r="G260" t="inlineStr">
        <is>
          <t>否</t>
        </is>
      </c>
      <c r="H260" t="inlineStr">
        <is>
          <t>MikroTik 官方分销，商用线可直接比价，工业线为零 → 新品类增量</t>
        </is>
      </c>
      <c r="I260" t="inlineStr">
        <is>
          <t>LT-S8328XG-4XS8GT-S</t>
        </is>
      </c>
      <c r="J260" t="inlineStr">
        <is>
          <t>+39 030 349771 / info@neostar.it</t>
        </is>
      </c>
      <c r="K260" t="inlineStr">
        <is>
          <t>★★★</t>
        </is>
      </c>
      <c r="L260" t="inlineStr">
        <is>
          <t>未触达</t>
        </is>
      </c>
      <c r="M260" t="inlineStr">
        <is>
          <t>2026-09-22</t>
        </is>
      </c>
      <c r="N260" t="inlineStr"/>
      <c r="O260" t="inlineStr"/>
      <c r="P260" t="inlineStr"/>
      <c r="Q260" t="inlineStr">
        <is>
          <t>Brescia</t>
        </is>
      </c>
      <c r="R260" t="inlineStr">
        <is>
          <t>B</t>
        </is>
      </c>
      <c r="S260" t="inlineStr">
        <is>
          <t>通用分销商信号，无差异化切入点，慢慢跟</t>
        </is>
      </c>
      <c r="T260" t="inlineStr">
        <is>
          <t>B-168</t>
        </is>
      </c>
      <c r="U260" t="inlineStr"/>
      <c r="V260" t="inlineStr"/>
    </row>
    <row r="261">
      <c r="A261" t="inlineStr">
        <is>
          <t>Piero Bersanini</t>
        </is>
      </c>
      <c r="B261" t="inlineStr">
        <is>
          <t>意大利</t>
        </is>
      </c>
      <c r="C261" t="inlineStr"/>
      <c r="D261" t="inlineStr">
        <is>
          <t>pierobersanini.com</t>
        </is>
      </c>
      <c r="E261" t="inlineStr">
        <is>
          <t>分销（Westermo Gold）</t>
        </is>
      </c>
      <c r="F261" t="inlineStr">
        <is>
          <t>Westermo</t>
        </is>
      </c>
      <c r="G261" t="inlineStr">
        <is>
          <t>否</t>
        </is>
      </c>
      <c r="H261" t="inlineStr">
        <is>
          <t>金牌分销 = 该品牌销量大 → 第二供应源首选</t>
        </is>
      </c>
      <c r="I261" t="inlineStr">
        <is>
          <t>LT-IS6320G-4GX16GT-D</t>
        </is>
      </c>
      <c r="J261" t="inlineStr">
        <is>
          <t>+39 02 268 531</t>
        </is>
      </c>
      <c r="K261" t="inlineStr">
        <is>
          <t>★★★</t>
        </is>
      </c>
      <c r="L261" t="inlineStr">
        <is>
          <t>未触达</t>
        </is>
      </c>
      <c r="M261" t="inlineStr">
        <is>
          <t>2026-09-22</t>
        </is>
      </c>
      <c r="N261" t="inlineStr"/>
      <c r="O261" t="inlineStr"/>
      <c r="P261" t="inlineStr"/>
      <c r="Q261" t="inlineStr">
        <is>
          <t>米兰</t>
        </is>
      </c>
      <c r="R261" t="inlineStr">
        <is>
          <t>C</t>
        </is>
      </c>
      <c r="S2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61" t="inlineStr">
        <is>
          <t>C-186</t>
        </is>
      </c>
      <c r="U261" t="inlineStr">
        <is>
          <t>B下放·无邮箱（群发触达不到）</t>
        </is>
      </c>
      <c r="V261" t="inlineStr"/>
    </row>
    <row r="262">
      <c r="A262" t="inlineStr">
        <is>
          <t>SELIT s.r.l（wirmax.net）</t>
        </is>
      </c>
      <c r="B262" t="inlineStr">
        <is>
          <t>意大利</t>
        </is>
      </c>
      <c r="C262" t="inlineStr"/>
      <c r="D262" t="inlineStr">
        <is>
          <t>wirmax.net</t>
        </is>
      </c>
      <c r="E262" t="inlineStr">
        <is>
          <t>分销（MikroTik 官方）</t>
        </is>
      </c>
      <c r="F262" t="inlineStr">
        <is>
          <t>MikroTik（Reseller）</t>
        </is>
      </c>
      <c r="G262" t="inlineStr">
        <is>
          <t>否</t>
        </is>
      </c>
      <c r="H262" t="inlineStr">
        <is>
          <t>卖 MikroTik 但缺工业/ERPS/PoE++ → 用同价位工业线补他的产品缺口</t>
        </is>
      </c>
      <c r="I262" t="inlineStr">
        <is>
          <t>LT-IS6312XG-4XS8GT</t>
        </is>
      </c>
      <c r="J262" t="inlineStr">
        <is>
          <t>075 8011725 / info@selit.it</t>
        </is>
      </c>
      <c r="K262" t="inlineStr">
        <is>
          <t>★★</t>
        </is>
      </c>
      <c r="L262" t="inlineStr">
        <is>
          <t>未触达</t>
        </is>
      </c>
      <c r="M262" t="inlineStr">
        <is>
          <t>2026-09-22</t>
        </is>
      </c>
      <c r="N262" t="inlineStr"/>
      <c r="O262" t="inlineStr"/>
      <c r="P262" t="inlineStr"/>
      <c r="Q262" t="inlineStr">
        <is>
          <t>Bastia Umbra</t>
        </is>
      </c>
      <c r="R262" t="inlineStr">
        <is>
          <t>B</t>
        </is>
      </c>
      <c r="S262" t="inlineStr">
        <is>
          <t>通用分销商信号，无差异化切入点，慢慢跟</t>
        </is>
      </c>
      <c r="T262" t="inlineStr">
        <is>
          <t>B-170</t>
        </is>
      </c>
      <c r="U262" t="inlineStr"/>
      <c r="V262" t="inlineStr"/>
    </row>
    <row r="263">
      <c r="A263" t="inlineStr">
        <is>
          <t>SICE Telecomunicazioni</t>
        </is>
      </c>
      <c r="B263" t="inlineStr">
        <is>
          <t>意大利</t>
        </is>
      </c>
      <c r="C263" t="inlineStr"/>
      <c r="D263" t="inlineStr">
        <is>
          <t>sicetelecom.it</t>
        </is>
      </c>
      <c r="E263" t="inlineStr">
        <is>
          <t>分销（MikroTik 官方）</t>
        </is>
      </c>
      <c r="F263" t="inlineStr">
        <is>
          <t>MikroTik（Master+VAD）</t>
        </is>
      </c>
      <c r="G263" t="inlineStr">
        <is>
          <t>否</t>
        </is>
      </c>
      <c r="H263" t="inlineStr">
        <is>
          <t>站内设"MikroTik 分销商"专页</t>
        </is>
      </c>
      <c r="I263" t="inlineStr">
        <is>
          <t>LT-IS6312XGP-4XS8GT</t>
        </is>
      </c>
      <c r="J263" t="inlineStr">
        <is>
          <t>+39 0583 980787 / info@sicetelecom.it</t>
        </is>
      </c>
      <c r="K263" t="inlineStr">
        <is>
          <t>★★★</t>
        </is>
      </c>
      <c r="L263" t="inlineStr">
        <is>
          <t>未触达</t>
        </is>
      </c>
      <c r="M263" t="inlineStr">
        <is>
          <t>2026-09-22</t>
        </is>
      </c>
      <c r="N263" t="inlineStr"/>
      <c r="O263" t="inlineStr"/>
      <c r="P263" t="inlineStr"/>
      <c r="Q263" t="inlineStr">
        <is>
          <t>Lucca</t>
        </is>
      </c>
      <c r="R263" t="inlineStr">
        <is>
          <t>B</t>
        </is>
      </c>
      <c r="S263" t="inlineStr">
        <is>
          <t>通用分销商信号，无差异化切入点，慢慢跟</t>
        </is>
      </c>
      <c r="T263" t="inlineStr">
        <is>
          <t>B-171</t>
        </is>
      </c>
      <c r="U263" t="inlineStr"/>
      <c r="V263" t="inlineStr"/>
    </row>
    <row r="264">
      <c r="A264" t="inlineStr">
        <is>
          <t>Simone Filippi / Byte Solutions</t>
        </is>
      </c>
      <c r="B264" t="inlineStr">
        <is>
          <t>意大利</t>
        </is>
      </c>
      <c r="C264" t="inlineStr">
        <is>
          <t>Berbenno（Bergamo/Lecco/Milano 一带）</t>
        </is>
      </c>
      <c r="D264" t="inlineStr">
        <is>
          <t>bytesolutions.it</t>
        </is>
      </c>
      <c r="E264" t="inlineStr">
        <is>
          <t>集成商/顾问（MikroTik 认证）</t>
        </is>
      </c>
      <c r="F264" t="inlineStr">
        <is>
          <t>MikroTik 认证顾问 MTCNA+MTCRE+MTCSE+MTCEWE</t>
        </is>
      </c>
      <c r="G264" t="inlineStr">
        <is>
          <t>否</t>
        </is>
      </c>
      <c r="H264" t="inlineStr">
        <is>
          <t>MikroTik 认证顾问：自己做方案/集成/运维并自行采购设备 → 用 ERPS/IGMP/VLAN/CLI/MIB 这类技术语言切入，不打价格战</t>
        </is>
      </c>
      <c r="I264" t="inlineStr">
        <is>
          <t>LT-S8328GP-4GX24GT-S</t>
        </is>
      </c>
      <c r="J264" t="inlineStr">
        <is>
          <t>+39 035 199 6065 / info@bytesolutions.it</t>
        </is>
      </c>
      <c r="K264" t="inlineStr">
        <is>
          <t>★★★</t>
        </is>
      </c>
      <c r="L264" t="inlineStr">
        <is>
          <t>未触达</t>
        </is>
      </c>
      <c r="M264" t="inlineStr">
        <is>
          <t>2026-09-22</t>
        </is>
      </c>
      <c r="N264" t="inlineStr"/>
      <c r="O264" t="inlineStr"/>
      <c r="P264" t="inlineStr"/>
      <c r="Q264" t="inlineStr">
        <is>
          <t>企业网络与系统集成（贝加莫/莱科/米兰）；2017 年起用 MikroTik；**VoIP 语音路由与语音流量优先**、多 WAN、带宽管理 QoS → 语音场景 = PoE 话机供电需求</t>
        </is>
      </c>
      <c r="R264" t="inlineStr">
        <is>
          <t>B</t>
        </is>
      </c>
      <c r="S264" t="inlineStr">
        <is>
          <t>通用分销商信号，无差异化切入点，慢慢跟</t>
        </is>
      </c>
      <c r="T264" t="inlineStr">
        <is>
          <t>B-172</t>
        </is>
      </c>
      <c r="U264" t="inlineStr"/>
      <c r="V264" t="inlineStr"/>
    </row>
    <row r="265">
      <c r="A265" t="inlineStr">
        <is>
          <t>Valerio Simeraro</t>
        </is>
      </c>
      <c r="B265" t="inlineStr">
        <is>
          <t>意大利</t>
        </is>
      </c>
      <c r="C265" t="inlineStr">
        <is>
          <t>Mazzarrà Sant'Andrea（西西里）</t>
        </is>
      </c>
      <c r="D265" t="inlineStr"/>
      <c r="E265" t="inlineStr">
        <is>
          <t>集成商/顾问（MikroTik 认证）</t>
        </is>
      </c>
      <c r="F265" t="inlineStr">
        <is>
          <t>MikroTik 认证顾问 MTCNA+MTCRE+MTCINE+MTCIPv6E</t>
        </is>
      </c>
      <c r="G265" t="inlineStr">
        <is>
          <t>否</t>
        </is>
      </c>
      <c r="H265" t="inlineStr">
        <is>
          <t>MikroTik 认证顾问：自己做方案/集成/运维并自行采购设备 → 用 ERPS/IGMP/VLAN/CLI/MIB 这类技术语言切入，不打价格战</t>
        </is>
      </c>
      <c r="I265" t="inlineStr">
        <is>
          <t>LT-S8328G-4XS24GT-S</t>
        </is>
      </c>
      <c r="J265" t="inlineStr">
        <is>
          <t>+39 392 000 5977 / valerio.simeraro@gmail.com</t>
        </is>
      </c>
      <c r="K265" t="inlineStr">
        <is>
          <t>★★</t>
        </is>
      </c>
      <c r="L265" t="inlineStr">
        <is>
          <t>未触达</t>
        </is>
      </c>
      <c r="M265" t="inlineStr">
        <is>
          <t>2026-09-22</t>
        </is>
      </c>
      <c r="N265" t="inlineStr"/>
      <c r="O265" t="inlineStr"/>
      <c r="P265" t="inlineStr"/>
      <c r="Q265" t="inlineStr">
        <is>
          <t>含 MTCINE（ISP 互联）</t>
        </is>
      </c>
      <c r="R265" t="inlineStr">
        <is>
          <t>B</t>
        </is>
      </c>
      <c r="S265" t="inlineStr">
        <is>
          <t>通用分销商信号，无差异化切入点，慢慢跟</t>
        </is>
      </c>
      <c r="T265" t="inlineStr">
        <is>
          <t>B-173</t>
        </is>
      </c>
      <c r="U265" t="inlineStr"/>
      <c r="V265" t="inlineStr"/>
    </row>
    <row r="266">
      <c r="A266" t="inlineStr">
        <is>
          <t>WISP STORE SRLS</t>
        </is>
      </c>
      <c r="B266" t="inlineStr">
        <is>
          <t>意大利</t>
        </is>
      </c>
      <c r="C266" t="inlineStr"/>
      <c r="D266" t="inlineStr">
        <is>
          <t>wisp.store</t>
        </is>
      </c>
      <c r="E266" t="inlineStr">
        <is>
          <t>分销（MikroTik 官方）</t>
        </is>
      </c>
      <c r="F266" t="inlineStr">
        <is>
          <t>MikroTik（Reseller）</t>
        </is>
      </c>
      <c r="G266" t="inlineStr">
        <is>
          <t>否</t>
        </is>
      </c>
      <c r="H266" t="inlineStr">
        <is>
          <t>卖 MikroTik 但缺工业/ERPS/PoE++ → 用同价位工业线补他的产品缺口</t>
        </is>
      </c>
      <c r="I266" t="inlineStr">
        <is>
          <t>LT-IS6312XGP-4XS8GT</t>
        </is>
      </c>
      <c r="J266" t="inlineStr">
        <is>
          <t>+39 089 8427588 / info@wisp.store</t>
        </is>
      </c>
      <c r="K266" t="inlineStr">
        <is>
          <t>★★</t>
        </is>
      </c>
      <c r="L266" t="inlineStr">
        <is>
          <t>未触达</t>
        </is>
      </c>
      <c r="M266" t="inlineStr">
        <is>
          <t>2026-09-22</t>
        </is>
      </c>
      <c r="N266" t="inlineStr"/>
      <c r="O266" t="inlineStr"/>
      <c r="P266" t="inlineStr"/>
      <c r="Q266" t="inlineStr">
        <is>
          <t>Fisciano (SA)</t>
        </is>
      </c>
      <c r="R266" t="inlineStr">
        <is>
          <t>B</t>
        </is>
      </c>
      <c r="S266" t="inlineStr">
        <is>
          <t>通用分销商信号，无差异化切入点，慢慢跟</t>
        </is>
      </c>
      <c r="T266" t="inlineStr">
        <is>
          <t>B-174</t>
        </is>
      </c>
      <c r="U266" t="inlineStr"/>
      <c r="V266" t="inlineStr"/>
    </row>
    <row r="267">
      <c r="A267" t="inlineStr">
        <is>
          <t>WispMax</t>
        </is>
      </c>
      <c r="B267" t="inlineStr">
        <is>
          <t>意大利</t>
        </is>
      </c>
      <c r="C267" t="inlineStr"/>
      <c r="D267" t="inlineStr">
        <is>
          <t>wispmax.com</t>
        </is>
      </c>
      <c r="E267" t="inlineStr">
        <is>
          <t>分销（MikroTik 官方）</t>
        </is>
      </c>
      <c r="F267" t="inlineStr">
        <is>
          <t>MikroTik（Reseller）</t>
        </is>
      </c>
      <c r="G267" t="inlineStr">
        <is>
          <t>否</t>
        </is>
      </c>
      <c r="H267" t="inlineStr">
        <is>
          <t>卖 MikroTik 但缺工业/ERPS/PoE++ → 用同价位工业线补他的产品缺口</t>
        </is>
      </c>
      <c r="I267" t="inlineStr">
        <is>
          <t>LT-IS6312XGP-4XS8GT</t>
        </is>
      </c>
      <c r="J267" t="inlineStr">
        <is>
          <t>+39 0721797396 / info@wispmax.com</t>
        </is>
      </c>
      <c r="K267" t="inlineStr">
        <is>
          <t>★★★</t>
        </is>
      </c>
      <c r="L267" t="inlineStr">
        <is>
          <t>未触达</t>
        </is>
      </c>
      <c r="M267" t="inlineStr">
        <is>
          <t>2026-09-22</t>
        </is>
      </c>
      <c r="N267" t="inlineStr"/>
      <c r="O267" t="inlineStr"/>
      <c r="P267" t="inlineStr"/>
      <c r="Q267" t="inlineStr">
        <is>
          <t>Cagli (PU)；WISP 渠道</t>
        </is>
      </c>
      <c r="R267" t="inlineStr">
        <is>
          <t>B</t>
        </is>
      </c>
      <c r="S267" t="inlineStr">
        <is>
          <t>有信号（ISP/骨干）但需先验证需求或联系人不具体</t>
        </is>
      </c>
      <c r="T267" t="inlineStr">
        <is>
          <t>B-175</t>
        </is>
      </c>
      <c r="U267" t="inlineStr"/>
      <c r="V267" t="inlineStr"/>
    </row>
    <row r="268">
      <c r="A268" t="inlineStr">
        <is>
          <t>Zen Vittore</t>
        </is>
      </c>
      <c r="B268" t="inlineStr">
        <is>
          <t>意大利</t>
        </is>
      </c>
      <c r="C268" t="inlineStr">
        <is>
          <t>Pordenone</t>
        </is>
      </c>
      <c r="D268" t="inlineStr"/>
      <c r="E268" t="inlineStr">
        <is>
          <t>集成商/顾问（MikroTik 认证）</t>
        </is>
      </c>
      <c r="F268" t="inlineStr">
        <is>
          <t>MikroTik 认证顾问 MTCNA+MTCSE</t>
        </is>
      </c>
      <c r="G268" t="inlineStr">
        <is>
          <t>否</t>
        </is>
      </c>
      <c r="H268" t="inlineStr">
        <is>
          <t>MikroTik 认证顾问：自己做方案/集成/运维并自行采购设备 → 用 ERPS/IGMP/VLAN/CLI/MIB 这类技术语言切入，不打价格战</t>
        </is>
      </c>
      <c r="I268" t="inlineStr">
        <is>
          <t>LT-S8328G-4XS24GT-S</t>
        </is>
      </c>
      <c r="J268" t="inlineStr">
        <is>
          <t>+39 320 057 9027 / vittore@zenfamily.it</t>
        </is>
      </c>
      <c r="K268" t="inlineStr">
        <is>
          <t>★★</t>
        </is>
      </c>
      <c r="L268" t="inlineStr">
        <is>
          <t>未触达</t>
        </is>
      </c>
      <c r="M268" t="inlineStr">
        <is>
          <t>2026-09-22</t>
        </is>
      </c>
      <c r="N268" t="inlineStr"/>
      <c r="O268" t="inlineStr"/>
      <c r="P268" t="inlineStr"/>
      <c r="Q268" t="inlineStr"/>
      <c r="R268" t="inlineStr">
        <is>
          <t>B</t>
        </is>
      </c>
      <c r="S268" t="inlineStr">
        <is>
          <t>通用分销商信号，无差异化切入点，慢慢跟</t>
        </is>
      </c>
      <c r="T268" t="inlineStr">
        <is>
          <t>B-176</t>
        </is>
      </c>
      <c r="U268" t="inlineStr"/>
      <c r="V268" t="inlineStr"/>
    </row>
    <row r="269">
      <c r="A269" t="inlineStr">
        <is>
          <t>atecnica.it</t>
        </is>
      </c>
      <c r="B269" t="inlineStr">
        <is>
          <t>意大利</t>
        </is>
      </c>
      <c r="C269" t="inlineStr"/>
      <c r="D269" t="inlineStr">
        <is>
          <t>atecnica.it</t>
        </is>
      </c>
      <c r="E269" t="inlineStr">
        <is>
          <t>电商</t>
        </is>
      </c>
      <c r="F269" t="inlineStr">
        <is>
          <t>自有 SF- 系列工业PoE</t>
        </is>
      </c>
      <c r="G269" t="inlineStr">
        <is>
          <t>部分</t>
        </is>
      </c>
      <c r="H269" t="inlineStr">
        <is>
          <t>中性货/低价竞争（8口PoE 130W €71）</t>
        </is>
      </c>
      <c r="I269" t="inlineStr">
        <is>
          <t>LT-IS6312XGP-4XS8GT</t>
        </is>
      </c>
      <c r="J269" t="inlineStr">
        <is>
          <t>官网</t>
        </is>
      </c>
      <c r="K269" t="inlineStr">
        <is>
          <t>★★</t>
        </is>
      </c>
      <c r="L269" t="inlineStr">
        <is>
          <t>未触达</t>
        </is>
      </c>
      <c r="M269" t="inlineStr">
        <is>
          <t>反向信号/2026-09</t>
        </is>
      </c>
      <c r="N269" t="inlineStr"/>
      <c r="O269" t="inlineStr"/>
      <c r="P269" t="inlineStr"/>
      <c r="Q269" t="inlineStr"/>
      <c r="R269" t="inlineStr">
        <is>
          <t>C</t>
        </is>
      </c>
      <c r="S2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69" t="inlineStr">
        <is>
          <t>C-187</t>
        </is>
      </c>
      <c r="U269" t="inlineStr">
        <is>
          <t>B下放·无邮箱（群发触达不到）</t>
        </is>
      </c>
      <c r="V269" t="inlineStr"/>
    </row>
    <row r="270">
      <c r="A270" t="inlineStr">
        <is>
          <t>GOODSTORE</t>
        </is>
      </c>
      <c r="B270" t="inlineStr">
        <is>
          <t>拉脱维亚</t>
        </is>
      </c>
      <c r="C270" t="inlineStr"/>
      <c r="D270" t="inlineStr">
        <is>
          <t>goodstore.lv</t>
        </is>
      </c>
      <c r="E270" t="inlineStr">
        <is>
          <t>分销（MikroTik 官方）</t>
        </is>
      </c>
      <c r="F270" t="inlineStr">
        <is>
          <t>MikroTik（Reseller）</t>
        </is>
      </c>
      <c r="G270" t="inlineStr">
        <is>
          <t>否</t>
        </is>
      </c>
      <c r="H270" t="inlineStr">
        <is>
          <t>MikroTik 官方分销，商用线可直接比价，工业线为零 → 新品类增量</t>
        </is>
      </c>
      <c r="I270" t="inlineStr">
        <is>
          <t>LT-S8328XG-4XS8GT-S</t>
        </is>
      </c>
      <c r="J270" t="inlineStr">
        <is>
          <t>+371 2701 7034 / info@goodstore.lv</t>
        </is>
      </c>
      <c r="K270" t="inlineStr">
        <is>
          <t>★★</t>
        </is>
      </c>
      <c r="L270" t="inlineStr">
        <is>
          <t>未触达</t>
        </is>
      </c>
      <c r="M270" t="inlineStr">
        <is>
          <t>2026-09-22</t>
        </is>
      </c>
      <c r="N270" t="inlineStr"/>
      <c r="O270" t="inlineStr"/>
      <c r="P270" t="inlineStr"/>
      <c r="Q270" t="inlineStr">
        <is>
          <t>Daugavpils</t>
        </is>
      </c>
      <c r="R270" t="inlineStr">
        <is>
          <t>B</t>
        </is>
      </c>
      <c r="S270" t="inlineStr">
        <is>
          <t>通用分销商信号，无差异化切入点，慢慢跟</t>
        </is>
      </c>
      <c r="T270" t="inlineStr">
        <is>
          <t>B-178</t>
        </is>
      </c>
      <c r="U270" t="inlineStr"/>
      <c r="V270" t="inlineStr"/>
    </row>
    <row r="271">
      <c r="A271" t="inlineStr">
        <is>
          <t>NetPro SIA（nasstore.eu）</t>
        </is>
      </c>
      <c r="B271" t="inlineStr">
        <is>
          <t>拉脱维亚</t>
        </is>
      </c>
      <c r="C271" t="inlineStr"/>
      <c r="D271" t="inlineStr">
        <is>
          <t>nasstore.eu</t>
        </is>
      </c>
      <c r="E271" t="inlineStr">
        <is>
          <t>分销（MikroTik 官方）</t>
        </is>
      </c>
      <c r="F271" t="inlineStr">
        <is>
          <t>MikroTik（Reseller）</t>
        </is>
      </c>
      <c r="G271" t="inlineStr">
        <is>
          <t>否</t>
        </is>
      </c>
      <c r="H271" t="inlineStr">
        <is>
          <t>卖 MikroTik 但缺工业/ERPS/PoE++ → 用同价位工业线补他的产品缺口</t>
        </is>
      </c>
      <c r="I271" t="inlineStr">
        <is>
          <t>LT-IS6312XG-4XS8GT</t>
        </is>
      </c>
      <c r="J271" t="inlineStr">
        <is>
          <t>+371 2786 6444 / info@netpro.lv</t>
        </is>
      </c>
      <c r="K271" t="inlineStr">
        <is>
          <t>★★</t>
        </is>
      </c>
      <c r="L271" t="inlineStr">
        <is>
          <t>未触达</t>
        </is>
      </c>
      <c r="M271" t="inlineStr">
        <is>
          <t>2026-09-22</t>
        </is>
      </c>
      <c r="N271" t="inlineStr"/>
      <c r="O271" t="inlineStr"/>
      <c r="P271" t="inlineStr"/>
      <c r="Q271" t="inlineStr">
        <is>
          <t>Riga</t>
        </is>
      </c>
      <c r="R271" t="inlineStr">
        <is>
          <t>B</t>
        </is>
      </c>
      <c r="S271" t="inlineStr">
        <is>
          <t>通用分销商信号，无差异化切入点，慢慢跟</t>
        </is>
      </c>
      <c r="T271" t="inlineStr">
        <is>
          <t>B-179</t>
        </is>
      </c>
      <c r="U271" t="inlineStr"/>
      <c r="V271" t="inlineStr"/>
    </row>
    <row r="272">
      <c r="A272" t="inlineStr">
        <is>
          <t>OAK INTEGRATOR</t>
        </is>
      </c>
      <c r="B272" t="inlineStr">
        <is>
          <t>拉脱维亚</t>
        </is>
      </c>
      <c r="C272" t="inlineStr"/>
      <c r="D272" t="inlineStr">
        <is>
          <t>oak-integrator.lv</t>
        </is>
      </c>
      <c r="E272" t="inlineStr">
        <is>
          <t>分销（Westermo Reseller）</t>
        </is>
      </c>
      <c r="F272" t="inlineStr">
        <is>
          <t>Westermo</t>
        </is>
      </c>
      <c r="G272" t="inlineStr">
        <is>
          <t>否</t>
        </is>
      </c>
      <c r="H272" t="inlineStr">
        <is>
          <t>工业/轨道同规格 1/3 价第二供应源</t>
        </is>
      </c>
      <c r="I272" t="inlineStr">
        <is>
          <t>LT-IS6312XG-4XS8GT</t>
        </is>
      </c>
      <c r="J272" t="inlineStr">
        <is>
          <t>+371 67842280</t>
        </is>
      </c>
      <c r="K272" t="inlineStr">
        <is>
          <t>★★</t>
        </is>
      </c>
      <c r="L272" t="inlineStr">
        <is>
          <t>未触达</t>
        </is>
      </c>
      <c r="M272" t="inlineStr">
        <is>
          <t>2026-09-22</t>
        </is>
      </c>
      <c r="N272" t="inlineStr"/>
      <c r="O272" t="inlineStr"/>
      <c r="P272" t="inlineStr"/>
      <c r="Q272" t="inlineStr">
        <is>
          <t>波罗的海</t>
        </is>
      </c>
      <c r="R272" t="inlineStr">
        <is>
          <t>C</t>
        </is>
      </c>
      <c r="S2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2" t="inlineStr">
        <is>
          <t>C-188</t>
        </is>
      </c>
      <c r="U272" t="inlineStr">
        <is>
          <t>B下放·无邮箱（群发触达不到）</t>
        </is>
      </c>
      <c r="V272" t="inlineStr"/>
    </row>
    <row r="273">
      <c r="A273" t="inlineStr">
        <is>
          <t>Oļegs Žakovs / NetPro</t>
        </is>
      </c>
      <c r="B273" t="inlineStr">
        <is>
          <t>拉脱维亚</t>
        </is>
      </c>
      <c r="C273" t="inlineStr">
        <is>
          <t>Rīga</t>
        </is>
      </c>
      <c r="D273" t="inlineStr">
        <is>
          <t>netpro.lv</t>
        </is>
      </c>
      <c r="E273" t="inlineStr">
        <is>
          <t>集成商/顾问（MikroTik 认证）</t>
        </is>
      </c>
      <c r="F273" t="inlineStr">
        <is>
          <t>MikroTik 认证顾问 MTCNA+MTCWE</t>
        </is>
      </c>
      <c r="G273" t="inlineStr">
        <is>
          <t>否</t>
        </is>
      </c>
      <c r="H273" t="inlineStr">
        <is>
          <t>MikroTik 认证顾问：自己做方案/集成/运维并自行采购设备 → 用 ERPS/IGMP/VLAN/CLI/MIB 这类技术语言切入，不打价格战</t>
        </is>
      </c>
      <c r="I273" t="inlineStr">
        <is>
          <t>LT-S8328GP-4GX24GT-S</t>
        </is>
      </c>
      <c r="J273" t="inlineStr">
        <is>
          <t>+371 27 866 444 / oleg@netpro.lv</t>
        </is>
      </c>
      <c r="K273" t="inlineStr">
        <is>
          <t>★★★</t>
        </is>
      </c>
      <c r="L273" t="inlineStr">
        <is>
          <t>未触达</t>
        </is>
      </c>
      <c r="M273" t="inlineStr">
        <is>
          <t>2026-09-22</t>
        </is>
      </c>
      <c r="N273" t="inlineStr"/>
      <c r="O273" t="inlineStr"/>
      <c r="P273" t="inlineStr"/>
      <c r="Q273" t="inlineStr">
        <is>
          <t>★ 拉脱维亚**唯一**认证顾问（稀缺）；15+ 年 MikroTik 经验；专长含 **802.1x 端口认证 + RADIUS**（→ 交换机接入层安全是他的活）、CAPsMAN、RoMON、The Dude 监控、PtP/PtMP 远距离无线、各类 VPN 隧道、流量管理、安全策略设计</t>
        </is>
      </c>
      <c r="R273" t="inlineStr">
        <is>
          <t>B</t>
        </is>
      </c>
      <c r="S273" t="inlineStr">
        <is>
          <t>通用分销商信号，无差异化切入点，慢慢跟</t>
        </is>
      </c>
      <c r="T273" t="inlineStr">
        <is>
          <t>B-181</t>
        </is>
      </c>
      <c r="U273" t="inlineStr"/>
      <c r="V273" t="inlineStr"/>
    </row>
    <row r="274">
      <c r="A274" t="inlineStr">
        <is>
          <t>SPX, SIA（router.lv）</t>
        </is>
      </c>
      <c r="B274" t="inlineStr">
        <is>
          <t>拉脱维亚</t>
        </is>
      </c>
      <c r="C274" t="inlineStr"/>
      <c r="D274" t="inlineStr">
        <is>
          <t>router.lv</t>
        </is>
      </c>
      <c r="E274" t="inlineStr">
        <is>
          <t>分销（MikroTik 官方）</t>
        </is>
      </c>
      <c r="F274" t="inlineStr">
        <is>
          <t>MikroTik（Master+VAD）</t>
        </is>
      </c>
      <c r="G274" t="inlineStr">
        <is>
          <t>否</t>
        </is>
      </c>
      <c r="H274" t="inlineStr">
        <is>
          <t>域名 router.lv → 网络设备专业户</t>
        </is>
      </c>
      <c r="I274" t="inlineStr">
        <is>
          <t>LT-IS6312XGP-4XS8GT</t>
        </is>
      </c>
      <c r="J274" t="inlineStr">
        <is>
          <t>+371 6772 4000 / sales@router.lv</t>
        </is>
      </c>
      <c r="K274" t="inlineStr">
        <is>
          <t>★★★</t>
        </is>
      </c>
      <c r="L274" t="inlineStr">
        <is>
          <t>未触达</t>
        </is>
      </c>
      <c r="M274" t="inlineStr">
        <is>
          <t>2026-09-22</t>
        </is>
      </c>
      <c r="N274" t="inlineStr"/>
      <c r="O274" t="inlineStr"/>
      <c r="P274" t="inlineStr"/>
      <c r="Q274" t="inlineStr">
        <is>
          <t>Riga</t>
        </is>
      </c>
      <c r="R274" t="inlineStr">
        <is>
          <t>B</t>
        </is>
      </c>
      <c r="S274" t="inlineStr">
        <is>
          <t>通用分销商信号，无差异化切入点，慢慢跟</t>
        </is>
      </c>
      <c r="T274" t="inlineStr">
        <is>
          <t>B-182</t>
        </is>
      </c>
      <c r="U274" t="inlineStr"/>
      <c r="V274" t="inlineStr"/>
    </row>
    <row r="275">
      <c r="A275" t="inlineStr">
        <is>
          <t>Adeptor AS</t>
        </is>
      </c>
      <c r="B275" t="inlineStr">
        <is>
          <t>挪威</t>
        </is>
      </c>
      <c r="C275" t="inlineStr"/>
      <c r="D275" t="inlineStr">
        <is>
          <t>adeptor.no</t>
        </is>
      </c>
      <c r="E275" t="inlineStr">
        <is>
          <t>分销（HMS：Red Lion / N-Tron）</t>
        </is>
      </c>
      <c r="F275" t="inlineStr">
        <is>
          <t>Red Lion, N-Tron</t>
        </is>
      </c>
      <c r="G275" t="inlineStr">
        <is>
          <t>否</t>
        </is>
      </c>
      <c r="H275" t="inlineStr">
        <is>
          <t>工业交换机同类替换</t>
        </is>
      </c>
      <c r="I275" t="inlineStr">
        <is>
          <t>LT-IS6312XG-4XS8GT</t>
        </is>
      </c>
      <c r="J275" t="inlineStr">
        <is>
          <t>adeptor.no</t>
        </is>
      </c>
      <c r="K275" t="inlineStr">
        <is>
          <t>★★★</t>
        </is>
      </c>
      <c r="L275" t="inlineStr">
        <is>
          <t>未触达</t>
        </is>
      </c>
      <c r="M275" t="inlineStr">
        <is>
          <t>2026-09-22</t>
        </is>
      </c>
      <c r="N275" t="inlineStr"/>
      <c r="O275" t="inlineStr"/>
      <c r="P275" t="inlineStr"/>
      <c r="Q275" t="inlineStr">
        <is>
          <t>卑尔根</t>
        </is>
      </c>
      <c r="R275" t="inlineStr">
        <is>
          <t>C</t>
        </is>
      </c>
      <c r="S27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5" t="inlineStr">
        <is>
          <t>C-189</t>
        </is>
      </c>
      <c r="U275" t="inlineStr">
        <is>
          <t>B下放·无邮箱（群发触达不到）</t>
        </is>
      </c>
      <c r="V275" t="inlineStr"/>
    </row>
    <row r="276">
      <c r="A276" t="inlineStr">
        <is>
          <t>Autic System AS</t>
        </is>
      </c>
      <c r="B276" t="inlineStr">
        <is>
          <t>挪威</t>
        </is>
      </c>
      <c r="C276" t="inlineStr">
        <is>
          <t>Tønsberg</t>
        </is>
      </c>
      <c r="D276" t="inlineStr">
        <is>
          <t>autic.no</t>
        </is>
      </c>
      <c r="E276" t="inlineStr">
        <is>
          <t>分销（HMS/N-Tron·Red Lion 渠道）</t>
        </is>
      </c>
      <c r="F276" t="inlineStr">
        <is>
          <t>N-Tron + Red Lion</t>
        </is>
      </c>
      <c r="G276" t="inlineStr">
        <is>
          <t>否</t>
        </is>
      </c>
      <c r="H276" t="inlineStr">
        <is>
          <t>卖 N-Tron/Red Lion 工业交换机（8口非网管约 $500+）→ 中性货同规格 LT-IS6310G 约 $91，做第二供应商，价差 5 倍</t>
        </is>
      </c>
      <c r="I276" t="inlineStr">
        <is>
          <t>LT-IS6312XGP-4XS8GT</t>
        </is>
      </c>
      <c r="J276" t="inlineStr">
        <is>
          <t>官网联系页（HMS 名录只公开地址与网址）</t>
        </is>
      </c>
      <c r="K276" t="inlineStr">
        <is>
          <t>★★★</t>
        </is>
      </c>
      <c r="L276" t="inlineStr">
        <is>
          <t>未触达</t>
        </is>
      </c>
      <c r="M276" t="inlineStr">
        <is>
          <t>2026-09-22</t>
        </is>
      </c>
      <c r="N276" t="inlineStr"/>
      <c r="O276" t="inlineStr"/>
      <c r="P276" t="inlineStr"/>
      <c r="Q276" t="inlineStr">
        <is>
          <t>挪威 N-Tron 主力</t>
        </is>
      </c>
      <c r="R276" t="inlineStr">
        <is>
          <t>C</t>
        </is>
      </c>
      <c r="S2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6" t="inlineStr">
        <is>
          <t>C-190</t>
        </is>
      </c>
      <c r="U276" t="inlineStr">
        <is>
          <t>B下放·无邮箱（群发触达不到）</t>
        </is>
      </c>
      <c r="V276" t="inlineStr"/>
    </row>
    <row r="277">
      <c r="A277" t="inlineStr">
        <is>
          <t>Fiberworks AS</t>
        </is>
      </c>
      <c r="B277" t="inlineStr">
        <is>
          <t>挪威</t>
        </is>
      </c>
      <c r="C277" t="inlineStr"/>
      <c r="D277" t="inlineStr">
        <is>
          <t>fiberworks.no</t>
        </is>
      </c>
      <c r="E277" t="inlineStr">
        <is>
          <t>分销（ORing 授权）</t>
        </is>
      </c>
      <c r="F277" t="inlineStr">
        <is>
          <t>ORing</t>
        </is>
      </c>
      <c r="G277" t="inlineStr">
        <is>
          <t>否</t>
        </is>
      </c>
      <c r="H277" t="inlineStr">
        <is>
          <t>挪威光纤/网络分销</t>
        </is>
      </c>
      <c r="I277" t="inlineStr">
        <is>
          <t>LT-IS6312XG-4XS8GT</t>
        </is>
      </c>
      <c r="J277" t="inlineStr">
        <is>
          <t>+47 23 03 53 30</t>
        </is>
      </c>
      <c r="K277" t="inlineStr">
        <is>
          <t>★★★</t>
        </is>
      </c>
      <c r="L277" t="inlineStr">
        <is>
          <t>未触达</t>
        </is>
      </c>
      <c r="M277" t="inlineStr">
        <is>
          <t>ORing经销商名录/2026-09</t>
        </is>
      </c>
      <c r="N277" t="inlineStr"/>
      <c r="O277" t="inlineStr"/>
      <c r="P277" t="inlineStr"/>
      <c r="Q277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77" t="inlineStr">
        <is>
          <t>C</t>
        </is>
      </c>
      <c r="S2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77" t="inlineStr">
        <is>
          <t>C-191</t>
        </is>
      </c>
      <c r="U277" t="inlineStr">
        <is>
          <t>B下放·无邮箱（群发触达不到）</t>
        </is>
      </c>
      <c r="V277" t="inlineStr"/>
    </row>
    <row r="278">
      <c r="A278" t="inlineStr">
        <is>
          <t>Hatteland Technology</t>
        </is>
      </c>
      <c r="B278" t="inlineStr">
        <is>
          <t>挪威</t>
        </is>
      </c>
      <c r="C278" t="inlineStr"/>
      <c r="D278" t="inlineStr">
        <is>
          <t>hattelandtechnology.com</t>
        </is>
      </c>
      <c r="E278" t="inlineStr">
        <is>
          <t>分销（Moxa 授权）</t>
        </is>
      </c>
      <c r="F278" t="inlineStr">
        <is>
          <t>Moxa 全线产品官方分销商，合作 30 年以上；在挪威、瑞典、芬兰三国各自设有 Moxa 网店</t>
        </is>
      </c>
      <c r="G278" t="inlineStr">
        <is>
          <t>否</t>
        </is>
      </c>
      <c r="H278" t="inlineStr">
        <is>
          <t>台厂渠道话术</t>
        </is>
      </c>
      <c r="I278" t="inlineStr">
        <is>
          <t>LT-IS6312XGP-4XS8GT</t>
        </is>
      </c>
      <c r="J278" t="inlineStr">
        <is>
          <t>官网联系页</t>
        </is>
      </c>
      <c r="K278" t="inlineStr">
        <is>
          <t>★★</t>
        </is>
      </c>
      <c r="L278" t="inlineStr">
        <is>
          <t>未触达</t>
        </is>
      </c>
      <c r="M278" t="inlineStr">
        <is>
          <t>Moxa 渠道名录（经销商定位法）</t>
        </is>
      </c>
      <c r="N278" t="inlineStr"/>
      <c r="O278" t="inlineStr"/>
      <c r="P278" t="inlineStr"/>
      <c r="Q278" t="inlineStr">
        <is>
          <t>【2026-09-22 补】经 Moxa 渠道名录确认为 Moxa 官方分销商（台厂 Moxa 旗下欧洲/北美渠道）。主营工业以太网交换机、无线 AP、安全路由器与串口服务器，铁路与严苛环境应用；站上有 Moxa 产品负责人 Gøran Labrå 的专访。</t>
        </is>
      </c>
      <c r="R278" t="inlineStr">
        <is>
          <t>C</t>
        </is>
      </c>
      <c r="S2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278" t="inlineStr">
        <is>
          <t>C-192</t>
        </is>
      </c>
      <c r="U278" t="inlineStr">
        <is>
          <t>B下放·无邮箱（群发触达不到）</t>
        </is>
      </c>
      <c r="V278" t="inlineStr"/>
    </row>
    <row r="279">
      <c r="A279" t="inlineStr">
        <is>
          <t>Last Mile Communication</t>
        </is>
      </c>
      <c r="B279" t="inlineStr">
        <is>
          <t>挪威</t>
        </is>
      </c>
      <c r="C279" t="inlineStr"/>
      <c r="D279" t="inlineStr">
        <is>
          <t>lastmile.no</t>
        </is>
      </c>
      <c r="E279" t="inlineStr">
        <is>
          <t>分销（Westermo Gold）</t>
        </is>
      </c>
      <c r="F279" t="inlineStr">
        <is>
          <t>Westermo</t>
        </is>
      </c>
      <c r="G279" t="inlineStr">
        <is>
          <t>否</t>
        </is>
      </c>
      <c r="H279" t="inlineStr">
        <is>
          <t>金牌分销 = 销量大，第二供应源首选</t>
        </is>
      </c>
      <c r="I279" t="inlineStr">
        <is>
          <t>LT-IS6312XGP-4XS8GT</t>
        </is>
      </c>
      <c r="J279" t="inlineStr">
        <is>
          <t>+47 66 907 980</t>
        </is>
      </c>
      <c r="K279" t="inlineStr">
        <is>
          <t>★★★</t>
        </is>
      </c>
      <c r="L279" t="inlineStr">
        <is>
          <t>未触达</t>
        </is>
      </c>
      <c r="M279" t="inlineStr">
        <is>
          <t>2026-09-22</t>
        </is>
      </c>
      <c r="N279" t="inlineStr"/>
      <c r="O279" t="inlineStr"/>
      <c r="P279" t="inlineStr"/>
      <c r="Q279" t="inlineStr">
        <is>
          <t>挪威 T1</t>
        </is>
      </c>
      <c r="R279" t="inlineStr">
        <is>
          <t>C</t>
        </is>
      </c>
      <c r="S2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79" t="inlineStr">
        <is>
          <t>C-193</t>
        </is>
      </c>
      <c r="U279" t="inlineStr">
        <is>
          <t>B下放·无邮箱（群发触达不到）</t>
        </is>
      </c>
      <c r="V279" t="inlineStr"/>
    </row>
    <row r="280">
      <c r="A280" t="inlineStr">
        <is>
          <t>SATEL NORGE AS</t>
        </is>
      </c>
      <c r="B280" t="inlineStr">
        <is>
          <t>挪威</t>
        </is>
      </c>
      <c r="C280" t="inlineStr"/>
      <c r="D280" t="inlineStr">
        <is>
          <t>satel.no</t>
        </is>
      </c>
      <c r="E280" t="inlineStr">
        <is>
          <t>分销（ORing 授权）</t>
        </is>
      </c>
      <c r="F280" t="inlineStr">
        <is>
          <t>ORing</t>
        </is>
      </c>
      <c r="G280" t="inlineStr">
        <is>
          <t>否</t>
        </is>
      </c>
      <c r="H280" t="inlineStr">
        <is>
          <t>挪威工业无线通信分销</t>
        </is>
      </c>
      <c r="I280" t="inlineStr">
        <is>
          <t>LT-IS6312XGP-4XS8GT</t>
        </is>
      </c>
      <c r="J280" t="inlineStr">
        <is>
          <t>+47 69 27 70 40</t>
        </is>
      </c>
      <c r="K280" t="inlineStr">
        <is>
          <t>★★★</t>
        </is>
      </c>
      <c r="L280" t="inlineStr">
        <is>
          <t>未触达</t>
        </is>
      </c>
      <c r="M280" t="inlineStr">
        <is>
          <t>ORing经销商名录/2026-09</t>
        </is>
      </c>
      <c r="N280" t="inlineStr"/>
      <c r="O280" t="inlineStr"/>
      <c r="P280" t="inlineStr"/>
      <c r="Q28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0" t="inlineStr">
        <is>
          <t>C</t>
        </is>
      </c>
      <c r="S2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0" t="inlineStr">
        <is>
          <t>C-194</t>
        </is>
      </c>
      <c r="U280" t="inlineStr">
        <is>
          <t>B下放·无邮箱（群发触达不到）</t>
        </is>
      </c>
      <c r="V280" t="inlineStr"/>
    </row>
    <row r="281">
      <c r="A281" t="inlineStr">
        <is>
          <t>ABCtech s.r.o.</t>
        </is>
      </c>
      <c r="B281" t="inlineStr">
        <is>
          <t>捷克</t>
        </is>
      </c>
      <c r="C281" t="inlineStr"/>
      <c r="D281" t="inlineStr">
        <is>
          <t>abctech.cz</t>
        </is>
      </c>
      <c r="E281" t="inlineStr">
        <is>
          <t>分销（MikroTik 官方）</t>
        </is>
      </c>
      <c r="F281" t="inlineStr">
        <is>
          <t>MikroTik（Reseller）</t>
        </is>
      </c>
      <c r="G281" t="inlineStr">
        <is>
          <t>否</t>
        </is>
      </c>
      <c r="H281" t="inlineStr">
        <is>
          <t>卖 MikroTik 但缺工业/ERPS/PoE++ → 用同价位工业线补他的产品缺口</t>
        </is>
      </c>
      <c r="I281" t="inlineStr">
        <is>
          <t>LT-IS6312XG-4XS8GT</t>
        </is>
      </c>
      <c r="J281" t="inlineStr">
        <is>
          <t>+420 604 143 262 / obchod@abctech.cz</t>
        </is>
      </c>
      <c r="K281" t="inlineStr">
        <is>
          <t>★★</t>
        </is>
      </c>
      <c r="L281" t="inlineStr">
        <is>
          <t>未触达</t>
        </is>
      </c>
      <c r="M281" t="inlineStr">
        <is>
          <t>2026-09-22</t>
        </is>
      </c>
      <c r="N281" t="inlineStr"/>
      <c r="O281" t="inlineStr"/>
      <c r="P281" t="inlineStr"/>
      <c r="Q281" t="inlineStr">
        <is>
          <t>Hradec Králové</t>
        </is>
      </c>
      <c r="R281" t="inlineStr">
        <is>
          <t>B</t>
        </is>
      </c>
      <c r="S281" t="inlineStr">
        <is>
          <t>通用分销商信号，无差异化切入点，慢慢跟</t>
        </is>
      </c>
      <c r="T281" t="inlineStr">
        <is>
          <t>B-189</t>
        </is>
      </c>
      <c r="U281" t="inlineStr"/>
      <c r="V281" t="inlineStr"/>
    </row>
    <row r="282">
      <c r="A282" t="inlineStr">
        <is>
          <t>AIRCOM Praha s.r.o.</t>
        </is>
      </c>
      <c r="B282" t="inlineStr">
        <is>
          <t>捷克</t>
        </is>
      </c>
      <c r="C282" t="inlineStr"/>
      <c r="D282" t="inlineStr">
        <is>
          <t>wifihw.cz</t>
        </is>
      </c>
      <c r="E282" t="inlineStr">
        <is>
          <t>分销（MikroTik 官方）</t>
        </is>
      </c>
      <c r="F282" t="inlineStr">
        <is>
          <t>MikroTik（Master+VAD）</t>
        </is>
      </c>
      <c r="G282" t="inlineStr">
        <is>
          <t>否</t>
        </is>
      </c>
      <c r="H282" t="inlineStr">
        <is>
          <t>卖 MikroTik 但缺工业/ERPS/PoE++ → 用同价位工业线补他的产品缺口</t>
        </is>
      </c>
      <c r="I282" t="inlineStr">
        <is>
          <t>LT-IS6312XG-4XS8GT</t>
        </is>
      </c>
      <c r="J282" t="inlineStr">
        <is>
          <t>+420 241 400 304 / info@wifihw.cz</t>
        </is>
      </c>
      <c r="K282" t="inlineStr">
        <is>
          <t>★★★</t>
        </is>
      </c>
      <c r="L282" t="inlineStr">
        <is>
          <t>未触达</t>
        </is>
      </c>
      <c r="M282" t="inlineStr">
        <is>
          <t>2026-09-22</t>
        </is>
      </c>
      <c r="N282" t="inlineStr"/>
      <c r="O282" t="inlineStr"/>
      <c r="P282" t="inlineStr"/>
      <c r="Q282" t="inlineStr">
        <is>
          <t>Prague</t>
        </is>
      </c>
      <c r="R282" t="inlineStr">
        <is>
          <t>B</t>
        </is>
      </c>
      <c r="S282" t="inlineStr">
        <is>
          <t>通用分销商信号，无差异化切入点，慢慢跟</t>
        </is>
      </c>
      <c r="T282" t="inlineStr">
        <is>
          <t>B-190</t>
        </is>
      </c>
      <c r="U282" t="inlineStr"/>
      <c r="V282" t="inlineStr"/>
    </row>
    <row r="283">
      <c r="A283" t="inlineStr">
        <is>
          <t>AT Computers a.s.</t>
        </is>
      </c>
      <c r="B283" t="inlineStr">
        <is>
          <t>捷克</t>
        </is>
      </c>
      <c r="C283" t="inlineStr"/>
      <c r="D283" t="inlineStr">
        <is>
          <t>atcmarket.cz</t>
        </is>
      </c>
      <c r="E283" t="inlineStr">
        <is>
          <t>分销（MikroTik 官方）</t>
        </is>
      </c>
      <c r="F283" t="inlineStr">
        <is>
          <t>MikroTik（Master+VAD）</t>
        </is>
      </c>
      <c r="G283" t="inlineStr">
        <is>
          <t>否</t>
        </is>
      </c>
      <c r="H283" t="inlineStr">
        <is>
          <t>捷克三大 IT 分销之一</t>
        </is>
      </c>
      <c r="I283" t="inlineStr">
        <is>
          <t>LT-S8328GP-4GX24GT</t>
        </is>
      </c>
      <c r="J283" t="inlineStr">
        <is>
          <t>+420 552 300 111 / obchod@atcomp.cz</t>
        </is>
      </c>
      <c r="K283" t="inlineStr">
        <is>
          <t>★★★</t>
        </is>
      </c>
      <c r="L283" t="inlineStr">
        <is>
          <t>未触达</t>
        </is>
      </c>
      <c r="M283" t="inlineStr">
        <is>
          <t>2026-09-22</t>
        </is>
      </c>
      <c r="N283" t="inlineStr"/>
      <c r="O283" t="inlineStr"/>
      <c r="P283" t="inlineStr"/>
      <c r="Q283" t="inlineStr">
        <is>
          <t>Ostrava/Praha/Brno</t>
        </is>
      </c>
      <c r="R283" t="inlineStr">
        <is>
          <t>B</t>
        </is>
      </c>
      <c r="S283" t="inlineStr">
        <is>
          <t>通用分销商信号，无差异化切入点，慢慢跟</t>
        </is>
      </c>
      <c r="T283" t="inlineStr">
        <is>
          <t>B-191</t>
        </is>
      </c>
      <c r="U283" t="inlineStr"/>
      <c r="V283" t="inlineStr"/>
    </row>
    <row r="284">
      <c r="A284" t="inlineStr">
        <is>
          <t>ATEsystem s.r.o.</t>
        </is>
      </c>
      <c r="B284" t="inlineStr">
        <is>
          <t>捷克</t>
        </is>
      </c>
      <c r="C284" t="inlineStr"/>
      <c r="D284" t="inlineStr">
        <is>
          <t>atesystem.cz</t>
        </is>
      </c>
      <c r="E284" t="inlineStr">
        <is>
          <t>分销（Antaira 授权）</t>
        </is>
      </c>
      <c r="F284" t="inlineStr">
        <is>
          <t>Antaira</t>
        </is>
      </c>
      <c r="G284" t="inlineStr">
        <is>
          <t>否</t>
        </is>
      </c>
      <c r="H284" t="inlineStr">
        <is>
          <t>工业/轨道同规格 1/3 价第二供应源</t>
        </is>
      </c>
      <c r="I284" t="inlineStr">
        <is>
          <t>LT-IS6312XGP-4XS8GT</t>
        </is>
      </c>
      <c r="J284" t="inlineStr">
        <is>
          <t>+420 595 172 720 / atesystem@atesystem.cz</t>
        </is>
      </c>
      <c r="K284" t="inlineStr">
        <is>
          <t>★★★</t>
        </is>
      </c>
      <c r="L284" t="inlineStr">
        <is>
          <t>未触达</t>
        </is>
      </c>
      <c r="M284" t="inlineStr">
        <is>
          <t>2026-09-22</t>
        </is>
      </c>
      <c r="N284" t="inlineStr"/>
      <c r="O284" t="inlineStr"/>
      <c r="P284" t="inlineStr"/>
      <c r="Q284" t="inlineStr">
        <is>
          <t>俄斯特拉发，捷克 T1</t>
        </is>
      </c>
      <c r="R284" t="inlineStr">
        <is>
          <t>B</t>
        </is>
      </c>
      <c r="S284" t="inlineStr">
        <is>
          <t>通用分销商信号，无差异化切入点，慢慢跟</t>
        </is>
      </c>
      <c r="T284" t="inlineStr">
        <is>
          <t>B-192</t>
        </is>
      </c>
      <c r="U284" t="inlineStr"/>
      <c r="V284" t="inlineStr"/>
    </row>
    <row r="285">
      <c r="A285" t="inlineStr">
        <is>
          <t>Alternetivo s.r.o.</t>
        </is>
      </c>
      <c r="B285" t="inlineStr">
        <is>
          <t>捷克</t>
        </is>
      </c>
      <c r="C285" t="inlineStr"/>
      <c r="D285" t="inlineStr">
        <is>
          <t>alternetivo.cz</t>
        </is>
      </c>
      <c r="E285" t="inlineStr">
        <is>
          <t>分销（ORing 授权）</t>
        </is>
      </c>
      <c r="F285" t="inlineStr">
        <is>
          <t>ORing</t>
        </is>
      </c>
      <c r="G285" t="inlineStr">
        <is>
          <t>否</t>
        </is>
      </c>
      <c r="H285" t="inlineStr">
        <is>
          <t>捷克 T1，第二供应源</t>
        </is>
      </c>
      <c r="I285" t="inlineStr">
        <is>
          <t>LT-IS6312XG-4XS8GT</t>
        </is>
      </c>
      <c r="J285" t="inlineStr">
        <is>
          <t>+420 221 771 881</t>
        </is>
      </c>
      <c r="K285" t="inlineStr">
        <is>
          <t>★★★</t>
        </is>
      </c>
      <c r="L285" t="inlineStr">
        <is>
          <t>未触达</t>
        </is>
      </c>
      <c r="M285" t="inlineStr">
        <is>
          <t>ORing经销商名录/2026-09</t>
        </is>
      </c>
      <c r="N285" t="inlineStr"/>
      <c r="O285" t="inlineStr"/>
      <c r="P285" t="inlineStr"/>
      <c r="Q285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85" t="inlineStr">
        <is>
          <t>C</t>
        </is>
      </c>
      <c r="S2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85" t="inlineStr">
        <is>
          <t>C-195</t>
        </is>
      </c>
      <c r="U285" t="inlineStr">
        <is>
          <t>B下放·无邮箱（群发触达不到）</t>
        </is>
      </c>
      <c r="V285" t="inlineStr"/>
    </row>
    <row r="286">
      <c r="A286" t="inlineStr">
        <is>
          <t>AxiLogi</t>
        </is>
      </c>
      <c r="B286" t="inlineStr">
        <is>
          <t>捷克</t>
        </is>
      </c>
      <c r="C286" t="inlineStr"/>
      <c r="D286" t="inlineStr">
        <is>
          <t>axilogi.com</t>
        </is>
      </c>
      <c r="E286" t="inlineStr">
        <is>
          <t>分销（MikroTik 官方）</t>
        </is>
      </c>
      <c r="F286" t="inlineStr">
        <is>
          <t>MikroTik（Master+VAD）</t>
        </is>
      </c>
      <c r="G286" t="inlineStr">
        <is>
          <t>否</t>
        </is>
      </c>
      <c r="H286" t="inlineStr">
        <is>
          <t>卖 MikroTik 但缺工业/ERPS/PoE++ → 用同价位工业线补他的产品缺口</t>
        </is>
      </c>
      <c r="I286" t="inlineStr">
        <is>
          <t>LT-IS6312XG-4XS8GT</t>
        </is>
      </c>
      <c r="J286" t="inlineStr">
        <is>
          <t>+420 777 103 488 / sales@axilogi.cz</t>
        </is>
      </c>
      <c r="K286" t="inlineStr">
        <is>
          <t>★★★</t>
        </is>
      </c>
      <c r="L286" t="inlineStr">
        <is>
          <t>未触达</t>
        </is>
      </c>
      <c r="M286" t="inlineStr">
        <is>
          <t>2026-09-22</t>
        </is>
      </c>
      <c r="N286" t="inlineStr"/>
      <c r="O286" t="inlineStr"/>
      <c r="P286" t="inlineStr"/>
      <c r="Q286" t="inlineStr">
        <is>
          <t>Pilsen</t>
        </is>
      </c>
      <c r="R286" t="inlineStr">
        <is>
          <t>B</t>
        </is>
      </c>
      <c r="S286" t="inlineStr">
        <is>
          <t>通用分销商信号，无差异化切入点，慢慢跟</t>
        </is>
      </c>
      <c r="T286" t="inlineStr">
        <is>
          <t>B-194</t>
        </is>
      </c>
      <c r="U286" t="inlineStr"/>
      <c r="V286" t="inlineStr"/>
    </row>
    <row r="287">
      <c r="A287" t="inlineStr">
        <is>
          <t>Discomp s.r.o.</t>
        </is>
      </c>
      <c r="B287" t="inlineStr">
        <is>
          <t>捷克</t>
        </is>
      </c>
      <c r="C287" t="inlineStr"/>
      <c r="D287" t="inlineStr">
        <is>
          <t>discomp.cz</t>
        </is>
      </c>
      <c r="E287" t="inlineStr">
        <is>
          <t>分销（MikroTik 官方）</t>
        </is>
      </c>
      <c r="F287" t="inlineStr">
        <is>
          <t>MikroTik（Master+VAD+WiFi6）</t>
        </is>
      </c>
      <c r="G287" t="inlineStr">
        <is>
          <t>否</t>
        </is>
      </c>
      <c r="H287" t="inlineStr">
        <is>
          <t>MikroTik 官方分销，商用线可直接比价，工业线为零 → 新品类增量</t>
        </is>
      </c>
      <c r="I287" t="inlineStr">
        <is>
          <t>LT-S8328XG-4XS8GT-S</t>
        </is>
      </c>
      <c r="J287" t="inlineStr">
        <is>
          <t>+420 377 221 177 / sales@discomp.cz</t>
        </is>
      </c>
      <c r="K287" t="inlineStr">
        <is>
          <t>★★★</t>
        </is>
      </c>
      <c r="L287" t="inlineStr">
        <is>
          <t>未触达</t>
        </is>
      </c>
      <c r="M287" t="inlineStr">
        <is>
          <t>2026-09-22</t>
        </is>
      </c>
      <c r="N287" t="inlineStr"/>
      <c r="O287" t="inlineStr"/>
      <c r="P287" t="inlineStr"/>
      <c r="Q287" t="inlineStr">
        <is>
          <t>Plzeň</t>
        </is>
      </c>
      <c r="R287" t="inlineStr">
        <is>
          <t>B</t>
        </is>
      </c>
      <c r="S287" t="inlineStr">
        <is>
          <t>通用分销商信号，无差异化切入点，慢慢跟</t>
        </is>
      </c>
      <c r="T287" t="inlineStr">
        <is>
          <t>B-195</t>
        </is>
      </c>
      <c r="U287" t="inlineStr"/>
      <c r="V287" t="inlineStr"/>
    </row>
    <row r="288">
      <c r="A288" t="inlineStr">
        <is>
          <t>IPMEDIA</t>
        </is>
      </c>
      <c r="B288" t="inlineStr">
        <is>
          <t>捷克</t>
        </is>
      </c>
      <c r="C288" t="inlineStr"/>
      <c r="D288" t="inlineStr">
        <is>
          <t>ipmedia.cz</t>
        </is>
      </c>
      <c r="E288" t="inlineStr">
        <is>
          <t>分销（MikroTik 官方）</t>
        </is>
      </c>
      <c r="F288" t="inlineStr">
        <is>
          <t>MikroTik（Master+VAD）</t>
        </is>
      </c>
      <c r="G288" t="inlineStr">
        <is>
          <t>否</t>
        </is>
      </c>
      <c r="H288" t="inlineStr">
        <is>
          <t>卖 MikroTik 但缺工业/ERPS/PoE++ → 用同价位工业线补他的产品缺口</t>
        </is>
      </c>
      <c r="I288" t="inlineStr">
        <is>
          <t>LT-IS6312XGP-4XS8GT</t>
        </is>
      </c>
      <c r="J288" t="inlineStr">
        <is>
          <t>+420 246 030 710 / info@ipmedia.cz</t>
        </is>
      </c>
      <c r="K288" t="inlineStr">
        <is>
          <t>★★★</t>
        </is>
      </c>
      <c r="L288" t="inlineStr">
        <is>
          <t>未触达</t>
        </is>
      </c>
      <c r="M288" t="inlineStr">
        <is>
          <t>2026-09-22</t>
        </is>
      </c>
      <c r="N288" t="inlineStr"/>
      <c r="O288" t="inlineStr"/>
      <c r="P288" t="inlineStr"/>
      <c r="Q288" t="inlineStr">
        <is>
          <t>Chomutov</t>
        </is>
      </c>
      <c r="R288" t="inlineStr">
        <is>
          <t>B</t>
        </is>
      </c>
      <c r="S288" t="inlineStr">
        <is>
          <t>通用分销商信号，无差异化切入点，慢慢跟</t>
        </is>
      </c>
      <c r="T288" t="inlineStr">
        <is>
          <t>B-196</t>
        </is>
      </c>
      <c r="U288" t="inlineStr"/>
      <c r="V288" t="inlineStr"/>
    </row>
    <row r="289">
      <c r="A289" t="inlineStr">
        <is>
          <t>MADER.cz</t>
        </is>
      </c>
      <c r="B289" t="inlineStr">
        <is>
          <t>捷克</t>
        </is>
      </c>
      <c r="C289" t="inlineStr"/>
      <c r="D289" t="inlineStr">
        <is>
          <t>mader.cz</t>
        </is>
      </c>
      <c r="E289" t="inlineStr">
        <is>
          <t>电商</t>
        </is>
      </c>
      <c r="F289" t="inlineStr">
        <is>
          <t>工业PoE</t>
        </is>
      </c>
      <c r="G289" t="inlineStr">
        <is>
          <t>否</t>
        </is>
      </c>
      <c r="H289" t="inlineStr">
        <is>
          <t>中性货试单</t>
        </is>
      </c>
      <c r="I289" t="inlineStr">
        <is>
          <t>LT-IS6310GP-2GX8GT</t>
        </is>
      </c>
      <c r="J289" t="inlineStr">
        <is>
          <t>官网</t>
        </is>
      </c>
      <c r="K289" t="inlineStr">
        <is>
          <t>★★</t>
        </is>
      </c>
      <c r="L289" t="inlineStr">
        <is>
          <t>未触达</t>
        </is>
      </c>
      <c r="M289" t="inlineStr">
        <is>
          <t>反向信号/2026-09</t>
        </is>
      </c>
      <c r="N289" t="inlineStr"/>
      <c r="O289" t="inlineStr"/>
      <c r="P289" t="inlineStr"/>
      <c r="Q289" t="inlineStr"/>
      <c r="R289" t="inlineStr">
        <is>
          <t>C</t>
        </is>
      </c>
      <c r="S28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289" t="inlineStr">
        <is>
          <t>C-196</t>
        </is>
      </c>
      <c r="U289" t="inlineStr">
        <is>
          <t>B下放·无邮箱（群发触达不到）</t>
        </is>
      </c>
      <c r="V289" t="inlineStr"/>
    </row>
    <row r="290">
      <c r="A290" t="inlineStr">
        <is>
          <t>Martin Klablena</t>
        </is>
      </c>
      <c r="B290" t="inlineStr">
        <is>
          <t>捷克</t>
        </is>
      </c>
      <c r="C290" t="inlineStr">
        <is>
          <t>Prague</t>
        </is>
      </c>
      <c r="D290" t="inlineStr">
        <is>
          <t>fubar.cz</t>
        </is>
      </c>
      <c r="E290" t="inlineStr">
        <is>
          <t>集成商/顾问（MikroTik 认证）</t>
        </is>
      </c>
      <c r="F290" t="inlineStr">
        <is>
          <t>MikroTik 认证顾问 MTCNA+MTCINE</t>
        </is>
      </c>
      <c r="G290" t="inlineStr">
        <is>
          <t>否</t>
        </is>
      </c>
      <c r="H290" t="inlineStr">
        <is>
          <t>MikroTik 认证顾问：自己做方案/集成/运维并自行采购设备 → 用 ERPS/IGMP/VLAN/CLI/MIB 这类技术语言切入，不打价格战</t>
        </is>
      </c>
      <c r="I290" t="inlineStr">
        <is>
          <t>LT-S8328XG-4XS24GT-S</t>
        </is>
      </c>
      <c r="J290" t="inlineStr">
        <is>
          <t>+420 602 242 774 / klablena@fubar.cz</t>
        </is>
      </c>
      <c r="K290" t="inlineStr">
        <is>
          <t>★★★</t>
        </is>
      </c>
      <c r="L290" t="inlineStr">
        <is>
          <t>未触达</t>
        </is>
      </c>
      <c r="M290" t="inlineStr">
        <is>
          <t>2026-09-22</t>
        </is>
      </c>
      <c r="N290" t="inlineStr"/>
      <c r="O290" t="inlineStr"/>
      <c r="P290" t="inlineStr"/>
      <c r="Q290" t="inlineStr">
        <is>
          <t>动态路由 OSPF/RIP/BGP、企业站点互联与集中式 IPSec/SSTP/OpenVPN、CAPsMAN、**高级 LAN 拓扑与双 WAN 备份设计**</t>
        </is>
      </c>
      <c r="R290" t="inlineStr">
        <is>
          <t>B</t>
        </is>
      </c>
      <c r="S290" t="inlineStr">
        <is>
          <t>有信号（ISP/骨干）但需先验证需求或联系人不具体</t>
        </is>
      </c>
      <c r="T290" t="inlineStr">
        <is>
          <t>B-198</t>
        </is>
      </c>
      <c r="U290" t="inlineStr"/>
      <c r="V290" t="inlineStr"/>
    </row>
    <row r="291">
      <c r="A291" t="inlineStr">
        <is>
          <t>Martin Poisel / MapNet</t>
        </is>
      </c>
      <c r="B291" t="inlineStr">
        <is>
          <t>捷克</t>
        </is>
      </c>
      <c r="C291" t="inlineStr">
        <is>
          <t>Brno</t>
        </is>
      </c>
      <c r="D291" t="inlineStr">
        <is>
          <t>mapnet.cz</t>
        </is>
      </c>
      <c r="E291" t="inlineStr">
        <is>
          <t>集成商/顾问（MikroTik 认证）</t>
        </is>
      </c>
      <c r="F291" t="inlineStr">
        <is>
          <t>MikroTik 认证顾问 MTCNA+MTCRE+MTCWE+MTCTCE+MTCUME+MTCIPv6E+MTCSE</t>
        </is>
      </c>
      <c r="G291" t="inlineStr">
        <is>
          <t>否</t>
        </is>
      </c>
      <c r="H291" t="inlineStr">
        <is>
          <t>MikroTik 认证顾问：自己做方案/集成/运维并自行采购设备 → 用 ERPS/IGMP/VLAN/CLI/MIB 这类技术语言切入，不打价格战</t>
        </is>
      </c>
      <c r="I291" t="inlineStr">
        <is>
          <t>LT-S8328XGP-4XS24GT-S</t>
        </is>
      </c>
      <c r="J291" t="inlineStr">
        <is>
          <t>+420 737 429 784 / mpoisel@mapnet.cz</t>
        </is>
      </c>
      <c r="K291" t="inlineStr">
        <is>
          <t>★★★</t>
        </is>
      </c>
      <c r="L291" t="inlineStr">
        <is>
          <t>未触达</t>
        </is>
      </c>
      <c r="M291" t="inlineStr">
        <is>
          <t>2026-09-22</t>
        </is>
      </c>
      <c r="N291" t="inlineStr"/>
      <c r="O291" t="inlineStr"/>
      <c r="P291" t="inlineStr"/>
      <c r="Q291" t="inlineStr">
        <is>
          <t>7 证；布尔诺</t>
        </is>
      </c>
      <c r="R291" t="inlineStr">
        <is>
          <t>B</t>
        </is>
      </c>
      <c r="S291" t="inlineStr">
        <is>
          <t>通用分销商信号，无差异化切入点，慢慢跟</t>
        </is>
      </c>
      <c r="T291" t="inlineStr">
        <is>
          <t>B-199</t>
        </is>
      </c>
      <c r="U291" t="inlineStr"/>
      <c r="V291" t="inlineStr"/>
    </row>
    <row r="292">
      <c r="A292" t="inlineStr">
        <is>
          <t>OEM Automatic spol. s r.o.</t>
        </is>
      </c>
      <c r="B292" t="inlineStr">
        <is>
          <t>捷克</t>
        </is>
      </c>
      <c r="C292" t="inlineStr">
        <is>
          <t>Zdiby (Praha)</t>
        </is>
      </c>
      <c r="D292" t="inlineStr">
        <is>
          <t>oemautomatic.cz</t>
        </is>
      </c>
      <c r="E292" t="inlineStr">
        <is>
          <t>分销（HMS/N-Tron·Red Lion 渠道）</t>
        </is>
      </c>
      <c r="F292" t="inlineStr">
        <is>
          <t>N-Tron + Red Lion</t>
        </is>
      </c>
      <c r="G292" t="inlineStr">
        <is>
          <t>否</t>
        </is>
      </c>
      <c r="H292" t="inlineStr">
        <is>
          <t>卖 N-Tron/Red Lion 工业交换机（8口非网管约 $500+）→ 中性货同规格 LT-IS6310G 约 $91，做第二供应商，价差 5 倍；OEM Automatic 集团捷克分公司 → 一次谈 SE/PL/CZ 三国</t>
        </is>
      </c>
      <c r="I292" t="inlineStr">
        <is>
          <t>LT-IS6312XGP-4XS8GT</t>
        </is>
      </c>
      <c r="J292" t="inlineStr">
        <is>
          <t>官网联系页（HMS 名录只公开地址与网址）</t>
        </is>
      </c>
      <c r="K292" t="inlineStr">
        <is>
          <t>★★★</t>
        </is>
      </c>
      <c r="L292" t="inlineStr">
        <is>
          <t>未触达</t>
        </is>
      </c>
      <c r="M292" t="inlineStr">
        <is>
          <t>2026-09-22</t>
        </is>
      </c>
      <c r="N292" t="inlineStr"/>
      <c r="O292" t="inlineStr"/>
      <c r="P292" t="inlineStr"/>
      <c r="Q292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292" t="inlineStr">
        <is>
          <t>B</t>
        </is>
      </c>
      <c r="S292" t="inlineStr">
        <is>
          <t>通用分销商信号，无差异化切入点，慢慢跟</t>
        </is>
      </c>
      <c r="T292" t="inlineStr">
        <is>
          <t>B-200</t>
        </is>
      </c>
      <c r="U292" t="inlineStr"/>
      <c r="V292" t="inlineStr"/>
    </row>
    <row r="293">
      <c r="A293" t="inlineStr">
        <is>
          <t>PCV Computers, s.r.o.</t>
        </is>
      </c>
      <c r="B293" t="inlineStr">
        <is>
          <t>捷克</t>
        </is>
      </c>
      <c r="C293" t="inlineStr"/>
      <c r="D293" t="inlineStr">
        <is>
          <t>pcvcomp.cz</t>
        </is>
      </c>
      <c r="E293" t="inlineStr">
        <is>
          <t>分销（MikroTik 官方）</t>
        </is>
      </c>
      <c r="F293" t="inlineStr">
        <is>
          <t>MikroTik（Master+VAD）</t>
        </is>
      </c>
      <c r="G293" t="inlineStr">
        <is>
          <t>否</t>
        </is>
      </c>
      <c r="H293" t="inlineStr">
        <is>
          <t>MikroTik 官方分销，商用线可直接比价，工业线为零 → 新品类增量</t>
        </is>
      </c>
      <c r="I293" t="inlineStr">
        <is>
          <t>LT-S8328XG-4XS8GT-S</t>
        </is>
      </c>
      <c r="J293" t="inlineStr">
        <is>
          <t>+420 380 420 700 / obchod@pcvcomp.cz</t>
        </is>
      </c>
      <c r="K293" t="inlineStr">
        <is>
          <t>★★</t>
        </is>
      </c>
      <c r="L293" t="inlineStr">
        <is>
          <t>未触达</t>
        </is>
      </c>
      <c r="M293" t="inlineStr">
        <is>
          <t>2026-09-22</t>
        </is>
      </c>
      <c r="N293" t="inlineStr"/>
      <c r="O293" t="inlineStr"/>
      <c r="P293" t="inlineStr"/>
      <c r="Q293" t="inlineStr">
        <is>
          <t>České Budějovice</t>
        </is>
      </c>
      <c r="R293" t="inlineStr">
        <is>
          <t>B</t>
        </is>
      </c>
      <c r="S293" t="inlineStr">
        <is>
          <t>通用分销商信号，无差异化切入点，慢慢跟</t>
        </is>
      </c>
      <c r="T293" t="inlineStr">
        <is>
          <t>B-201</t>
        </is>
      </c>
      <c r="U293" t="inlineStr"/>
      <c r="V293" t="inlineStr"/>
    </row>
    <row r="294">
      <c r="A294" t="inlineStr">
        <is>
          <t>Proficomms</t>
        </is>
      </c>
      <c r="B294" t="inlineStr">
        <is>
          <t>捷克</t>
        </is>
      </c>
      <c r="C294" t="inlineStr"/>
      <c r="D294" t="inlineStr">
        <is>
          <t>proficomms.cz</t>
        </is>
      </c>
      <c r="E294" t="inlineStr">
        <is>
          <t>专业分销</t>
        </is>
      </c>
      <c r="F294" t="inlineStr">
        <is>
          <t>ComNet/Microsens/AMG/PLANET/Cisco IE/TRENDnet</t>
        </is>
      </c>
      <c r="G294" t="inlineStr">
        <is>
          <t>否</t>
        </is>
      </c>
      <c r="H294" t="inlineStr">
        <is>
          <t>已代理6个品牌，加第7个阻力小</t>
        </is>
      </c>
      <c r="I294" t="inlineStr">
        <is>
          <t>LT-IS6320G-4GX16GT-D</t>
        </is>
      </c>
      <c r="J294" t="inlineStr">
        <is>
          <t>官网kontakt</t>
        </is>
      </c>
      <c r="K294" t="inlineStr">
        <is>
          <t>★★★</t>
        </is>
      </c>
      <c r="L294" t="inlineStr">
        <is>
          <t>未触达</t>
        </is>
      </c>
      <c r="M294" t="inlineStr">
        <is>
          <t>反向信号/2026-09</t>
        </is>
      </c>
      <c r="N294" t="inlineStr"/>
      <c r="O294" t="inlineStr"/>
      <c r="P294" t="inlineStr"/>
      <c r="Q294" t="inlineStr">
        <is>
          <t>【待补】本行由分销商名录批量导入，三星依据仅为渠道等级（专业分销）与「ComNet/Microsens/AMG/PLANET/Cisco IE/TRENDnet」，尚无人工核实。建议先查证其是否已有工业交换机 / PoE++ 产品线，再定切入型号</t>
        </is>
      </c>
      <c r="R294" t="inlineStr">
        <is>
          <t>C</t>
        </is>
      </c>
      <c r="S2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4" t="inlineStr">
        <is>
          <t>C-197</t>
        </is>
      </c>
      <c r="U294" t="inlineStr">
        <is>
          <t>B下放·无邮箱（群发触达不到）</t>
        </is>
      </c>
      <c r="V294" t="inlineStr"/>
    </row>
    <row r="295">
      <c r="A295" t="inlineStr">
        <is>
          <t>SECOMP</t>
        </is>
      </c>
      <c r="B295" t="inlineStr">
        <is>
          <t>捷克</t>
        </is>
      </c>
      <c r="C295" t="inlineStr"/>
      <c r="D295" t="inlineStr">
        <is>
          <t>secomp.cz</t>
        </is>
      </c>
      <c r="E295" t="inlineStr">
        <is>
          <t>分销</t>
        </is>
      </c>
      <c r="F295" t="inlineStr">
        <is>
          <t>TRENDnet TI-PG102 等</t>
        </is>
      </c>
      <c r="G295" t="inlineStr">
        <is>
          <t>否</t>
        </is>
      </c>
      <c r="H295" t="inlineStr">
        <is>
          <t>第二供应源</t>
        </is>
      </c>
      <c r="I295" t="inlineStr">
        <is>
          <t>LT-IS6318GP-2GX16GT</t>
        </is>
      </c>
      <c r="J295" t="inlineStr">
        <is>
          <t>官网</t>
        </is>
      </c>
      <c r="K295" t="inlineStr">
        <is>
          <t>★★</t>
        </is>
      </c>
      <c r="L295" t="inlineStr">
        <is>
          <t>未触达</t>
        </is>
      </c>
      <c r="M295" t="inlineStr">
        <is>
          <t>反向信号/2026-09</t>
        </is>
      </c>
      <c r="N295" t="inlineStr"/>
      <c r="O295" t="inlineStr"/>
      <c r="P295" t="inlineStr"/>
      <c r="Q295" t="inlineStr"/>
      <c r="R295" t="inlineStr">
        <is>
          <t>C</t>
        </is>
      </c>
      <c r="S2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5" t="inlineStr">
        <is>
          <t>C-198</t>
        </is>
      </c>
      <c r="U295" t="inlineStr">
        <is>
          <t>B下放·无邮箱（群发触达不到）</t>
        </is>
      </c>
      <c r="V295" t="inlineStr"/>
    </row>
    <row r="296">
      <c r="A296" t="inlineStr">
        <is>
          <t>TECON s.r.o.</t>
        </is>
      </c>
      <c r="B296" t="inlineStr">
        <is>
          <t>捷克</t>
        </is>
      </c>
      <c r="C296" t="inlineStr"/>
      <c r="D296" t="inlineStr">
        <is>
          <t>tecon.cz</t>
        </is>
      </c>
      <c r="E296" t="inlineStr">
        <is>
          <t>分销（ORing 授权）</t>
        </is>
      </c>
      <c r="F296" t="inlineStr">
        <is>
          <t>ORing</t>
        </is>
      </c>
      <c r="G296" t="inlineStr">
        <is>
          <t>否</t>
        </is>
      </c>
      <c r="H296" t="inlineStr">
        <is>
          <t>捷克工业分销</t>
        </is>
      </c>
      <c r="I296" t="inlineStr">
        <is>
          <t>LT-IS6320G-4GX16GT-D</t>
        </is>
      </c>
      <c r="J296" t="inlineStr">
        <is>
          <t>+420 499 429 100</t>
        </is>
      </c>
      <c r="K296" t="inlineStr">
        <is>
          <t>★★★</t>
        </is>
      </c>
      <c r="L296" t="inlineStr">
        <is>
          <t>未触达</t>
        </is>
      </c>
      <c r="M296" t="inlineStr">
        <is>
          <t>ORing经销商名录/2026-09</t>
        </is>
      </c>
      <c r="N296" t="inlineStr"/>
      <c r="O296" t="inlineStr"/>
      <c r="P296" t="inlineStr"/>
      <c r="Q29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296" t="inlineStr">
        <is>
          <t>C</t>
        </is>
      </c>
      <c r="S29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296" t="inlineStr">
        <is>
          <t>C-199</t>
        </is>
      </c>
      <c r="U296" t="inlineStr">
        <is>
          <t>B下放·无邮箱（群发触达不到）</t>
        </is>
      </c>
      <c r="V296" t="inlineStr"/>
    </row>
    <row r="297">
      <c r="A297" t="inlineStr">
        <is>
          <t>TS Bohemia</t>
        </is>
      </c>
      <c r="B297" t="inlineStr">
        <is>
          <t>捷克</t>
        </is>
      </c>
      <c r="C297" t="inlineStr"/>
      <c r="D297" t="inlineStr">
        <is>
          <t>tsbohemia.cz</t>
        </is>
      </c>
      <c r="E297" t="inlineStr">
        <is>
          <t>零售/电商</t>
        </is>
      </c>
      <c r="F297" t="inlineStr">
        <is>
          <t>Conexpro（捷克自有品牌）</t>
        </is>
      </c>
      <c r="G297" t="inlineStr">
        <is>
          <t>否</t>
        </is>
      </c>
      <c r="H297" t="inlineStr">
        <is>
          <t>说明捷克接受自有品牌</t>
        </is>
      </c>
      <c r="I297" t="inlineStr">
        <is>
          <t>—</t>
        </is>
      </c>
      <c r="J297" t="inlineStr">
        <is>
          <t>官网</t>
        </is>
      </c>
      <c r="K297" t="inlineStr">
        <is>
          <t>★★</t>
        </is>
      </c>
      <c r="L297" t="inlineStr">
        <is>
          <t>未触达</t>
        </is>
      </c>
      <c r="M297" t="inlineStr">
        <is>
          <t>反向信号/2026-09</t>
        </is>
      </c>
      <c r="N297" t="inlineStr"/>
      <c r="O297" t="inlineStr"/>
      <c r="P297" t="inlineStr"/>
      <c r="Q297" t="inlineStr"/>
      <c r="R297" t="inlineStr">
        <is>
          <t>C</t>
        </is>
      </c>
      <c r="S2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297" t="inlineStr">
        <is>
          <t>C-200</t>
        </is>
      </c>
      <c r="U297" t="inlineStr">
        <is>
          <t>B下放·无邮箱（群发触达不到）</t>
        </is>
      </c>
      <c r="V297" t="inlineStr"/>
    </row>
    <row r="298">
      <c r="A298" t="inlineStr">
        <is>
          <t>VanCo.cz s.r.o.（wifi-shop.cz）</t>
        </is>
      </c>
      <c r="B298" t="inlineStr">
        <is>
          <t>捷克</t>
        </is>
      </c>
      <c r="C298" t="inlineStr"/>
      <c r="D298" t="inlineStr">
        <is>
          <t>wifi-shop.cz</t>
        </is>
      </c>
      <c r="E298" t="inlineStr">
        <is>
          <t>分销（MikroTik 官方）</t>
        </is>
      </c>
      <c r="F298" t="inlineStr">
        <is>
          <t>MikroTik（Master）</t>
        </is>
      </c>
      <c r="G298" t="inlineStr">
        <is>
          <t>否</t>
        </is>
      </c>
      <c r="H298" t="inlineStr">
        <is>
          <t>卖 MikroTik 但缺工业/ERPS/PoE++ → 用同价位工业线补他的产品缺口</t>
        </is>
      </c>
      <c r="I298" t="inlineStr">
        <is>
          <t>LT-IS6312XG-4XS8GT</t>
        </is>
      </c>
      <c r="J298" t="inlineStr">
        <is>
          <t>+420 246 035 451 / obchod@vanco.cz</t>
        </is>
      </c>
      <c r="K298" t="inlineStr">
        <is>
          <t>★★★</t>
        </is>
      </c>
      <c r="L298" t="inlineStr">
        <is>
          <t>未触达</t>
        </is>
      </c>
      <c r="M298" t="inlineStr">
        <is>
          <t>2026-09-22</t>
        </is>
      </c>
      <c r="N298" t="inlineStr"/>
      <c r="O298" t="inlineStr"/>
      <c r="P298" t="inlineStr"/>
      <c r="Q298" t="inlineStr">
        <is>
          <t>Praha 2</t>
        </is>
      </c>
      <c r="R298" t="inlineStr">
        <is>
          <t>B</t>
        </is>
      </c>
      <c r="S298" t="inlineStr">
        <is>
          <t>通用分销商信号，无差异化切入点，慢慢跟</t>
        </is>
      </c>
      <c r="T298" t="inlineStr">
        <is>
          <t>B-206</t>
        </is>
      </c>
      <c r="U298" t="inlineStr"/>
      <c r="V298" t="inlineStr"/>
    </row>
    <row r="299">
      <c r="A299" t="inlineStr">
        <is>
          <t>WIFIPROFI.CZ</t>
        </is>
      </c>
      <c r="B299" t="inlineStr">
        <is>
          <t>捷克</t>
        </is>
      </c>
      <c r="C299" t="inlineStr"/>
      <c r="D299" t="inlineStr">
        <is>
          <t>shop5.wifiprofi.cz</t>
        </is>
      </c>
      <c r="E299" t="inlineStr">
        <is>
          <t>分销（MikroTik 官方）</t>
        </is>
      </c>
      <c r="F299" t="inlineStr">
        <is>
          <t>MikroTik（Reseller）</t>
        </is>
      </c>
      <c r="G299" t="inlineStr">
        <is>
          <t>否</t>
        </is>
      </c>
      <c r="H299" t="inlineStr">
        <is>
          <t>卖 MikroTik 但缺工业/ERPS/PoE++ → 用同价位工业线补他的产品缺口</t>
        </is>
      </c>
      <c r="I299" t="inlineStr">
        <is>
          <t>LT-IS6312XGP-4XS8GT</t>
        </is>
      </c>
      <c r="J299" t="inlineStr">
        <is>
          <t>774 331 774 / klima@wifiprofi.cz</t>
        </is>
      </c>
      <c r="K299" t="inlineStr">
        <is>
          <t>★★★</t>
        </is>
      </c>
      <c r="L299" t="inlineStr">
        <is>
          <t>未触达</t>
        </is>
      </c>
      <c r="M299" t="inlineStr">
        <is>
          <t>2026-09-22</t>
        </is>
      </c>
      <c r="N299" t="inlineStr"/>
      <c r="O299" t="inlineStr"/>
      <c r="P299" t="inlineStr"/>
      <c r="Q299" t="inlineStr">
        <is>
          <t>Lety；店主 Krystof Klima 本人是 MikroTik 认证顾问（7 证：MTCNA+MTCRE+MTCWE+MTCTCE+MTCUME+MTCIPv6E+MTCSE），专长带宽管理与队列、RADIUS、高级防火墙、VPN/隧道、无线、动态路由 → 既是分销又是集成商，技术型老板，可直接聊规格</t>
        </is>
      </c>
      <c r="R299" t="inlineStr">
        <is>
          <t>B</t>
        </is>
      </c>
      <c r="S299" t="inlineStr">
        <is>
          <t>通用分销商信号，无差异化切入点，慢慢跟</t>
        </is>
      </c>
      <c r="T299" t="inlineStr">
        <is>
          <t>B-207</t>
        </is>
      </c>
      <c r="U299" t="inlineStr"/>
      <c r="V299" t="inlineStr"/>
    </row>
    <row r="300">
      <c r="A300" t="inlineStr">
        <is>
          <t>eD's system Czech</t>
        </is>
      </c>
      <c r="B300" t="inlineStr">
        <is>
          <t>捷克</t>
        </is>
      </c>
      <c r="C300" t="inlineStr"/>
      <c r="D300" t="inlineStr">
        <is>
          <t>edshop.edsystem.cz</t>
        </is>
      </c>
      <c r="E300" t="inlineStr">
        <is>
          <t>分销（MikroTik 官方）</t>
        </is>
      </c>
      <c r="F300" t="inlineStr">
        <is>
          <t>MikroTik（Master+VAD）</t>
        </is>
      </c>
      <c r="G300" t="inlineStr">
        <is>
          <t>否</t>
        </is>
      </c>
      <c r="H300" t="inlineStr">
        <is>
          <t>MikroTik 官方分销，商用线可直接比价，工业线为零 → 新品类增量</t>
        </is>
      </c>
      <c r="I300" t="inlineStr">
        <is>
          <t>LT-S8328XG-4XS8GT-S</t>
        </is>
      </c>
      <c r="J300" t="inlineStr">
        <is>
          <t>+420 597 444 111 / info@edsystem.cz</t>
        </is>
      </c>
      <c r="K300" t="inlineStr">
        <is>
          <t>★★★</t>
        </is>
      </c>
      <c r="L300" t="inlineStr">
        <is>
          <t>未触达</t>
        </is>
      </c>
      <c r="M300" t="inlineStr">
        <is>
          <t>2026-09-22</t>
        </is>
      </c>
      <c r="N300" t="inlineStr"/>
      <c r="O300" t="inlineStr"/>
      <c r="P300" t="inlineStr"/>
      <c r="Q300" t="inlineStr">
        <is>
          <t>Ostrava</t>
        </is>
      </c>
      <c r="R300" t="inlineStr">
        <is>
          <t>B</t>
        </is>
      </c>
      <c r="S300" t="inlineStr">
        <is>
          <t>通用分销商信号，无差异化切入点，慢慢跟</t>
        </is>
      </c>
      <c r="T300" t="inlineStr">
        <is>
          <t>B-208</t>
        </is>
      </c>
      <c r="U300" t="inlineStr"/>
      <c r="V300" t="inlineStr"/>
    </row>
    <row r="301">
      <c r="A301" t="inlineStr">
        <is>
          <t>i4wifi a.s.</t>
        </is>
      </c>
      <c r="B301" t="inlineStr">
        <is>
          <t>捷克</t>
        </is>
      </c>
      <c r="C301" t="inlineStr"/>
      <c r="D301" t="inlineStr">
        <is>
          <t>i4wifi.eu</t>
        </is>
      </c>
      <c r="E301" t="inlineStr">
        <is>
          <t>分销（MikroTik 官方）</t>
        </is>
      </c>
      <c r="F301" t="inlineStr">
        <is>
          <t>MikroTik（Master+VAD）</t>
        </is>
      </c>
      <c r="G301" t="inlineStr">
        <is>
          <t>否</t>
        </is>
      </c>
      <c r="H301" t="inlineStr">
        <is>
          <t>有独立出口部门（export@）→ 能做跨国供货</t>
        </is>
      </c>
      <c r="I301" t="inlineStr">
        <is>
          <t>LT-IS6312XGP-4XS8GT</t>
        </is>
      </c>
      <c r="J301" t="inlineStr">
        <is>
          <t>+420 277 007 500 / export@i4wifi.eu</t>
        </is>
      </c>
      <c r="K301" t="inlineStr">
        <is>
          <t>★★★</t>
        </is>
      </c>
      <c r="L301" t="inlineStr">
        <is>
          <t>未触达</t>
        </is>
      </c>
      <c r="M301" t="inlineStr">
        <is>
          <t>2026-09-22</t>
        </is>
      </c>
      <c r="N301" t="inlineStr"/>
      <c r="O301" t="inlineStr"/>
      <c r="P301" t="inlineStr"/>
      <c r="Q301" t="inlineStr">
        <is>
          <t>Prague；有出口部</t>
        </is>
      </c>
      <c r="R301" t="inlineStr">
        <is>
          <t>B</t>
        </is>
      </c>
      <c r="S301" t="inlineStr">
        <is>
          <t>通用分销商信号，无差异化切入点，慢慢跟</t>
        </is>
      </c>
      <c r="T301" t="inlineStr">
        <is>
          <t>B-209</t>
        </is>
      </c>
      <c r="U301" t="inlineStr"/>
      <c r="V301" t="inlineStr"/>
    </row>
    <row r="302">
      <c r="A302" t="inlineStr">
        <is>
          <t>Comitek（doxyterra.md）</t>
        </is>
      </c>
      <c r="B302" t="inlineStr">
        <is>
          <t>摩尔多瓦</t>
        </is>
      </c>
      <c r="C302" t="inlineStr"/>
      <c r="D302" t="inlineStr">
        <is>
          <t>doxyterra.md</t>
        </is>
      </c>
      <c r="E302" t="inlineStr">
        <is>
          <t>分销（MikroTik 官方）</t>
        </is>
      </c>
      <c r="F302" t="inlineStr">
        <is>
          <t>MikroTik（Master）</t>
        </is>
      </c>
      <c r="G302" t="inlineStr">
        <is>
          <t>否</t>
        </is>
      </c>
      <c r="H302" t="inlineStr">
        <is>
          <t>卖 MikroTik 但缺工业/ERPS/PoE++ → 用同价位工业线补他的产品缺口</t>
        </is>
      </c>
      <c r="I302" t="inlineStr">
        <is>
          <t>LT-IS6312XGP-4XS8GT</t>
        </is>
      </c>
      <c r="J302" t="inlineStr">
        <is>
          <t>+373 533 74848 / info@doxyterra.md</t>
        </is>
      </c>
      <c r="K302" t="inlineStr">
        <is>
          <t>★★★</t>
        </is>
      </c>
      <c r="L302" t="inlineStr">
        <is>
          <t>未触达</t>
        </is>
      </c>
      <c r="M302" t="inlineStr">
        <is>
          <t>2026-09-22</t>
        </is>
      </c>
      <c r="N302" t="inlineStr"/>
      <c r="O302" t="inlineStr"/>
      <c r="P302" t="inlineStr"/>
      <c r="Q302" t="inlineStr">
        <is>
          <t>Chișinău</t>
        </is>
      </c>
      <c r="R302" t="inlineStr">
        <is>
          <t>B</t>
        </is>
      </c>
      <c r="S302" t="inlineStr">
        <is>
          <t>通用分销商信号，无差异化切入点，慢慢跟</t>
        </is>
      </c>
      <c r="T302" t="inlineStr">
        <is>
          <t>B-210</t>
        </is>
      </c>
      <c r="U302" t="inlineStr"/>
      <c r="V302" t="inlineStr"/>
    </row>
    <row r="303">
      <c r="A303" t="inlineStr">
        <is>
          <t>Pride</t>
        </is>
      </c>
      <c r="B303" t="inlineStr">
        <is>
          <t>摩尔多瓦</t>
        </is>
      </c>
      <c r="C303" t="inlineStr"/>
      <c r="D303" t="inlineStr">
        <is>
          <t>pride.md</t>
        </is>
      </c>
      <c r="E303" t="inlineStr">
        <is>
          <t>分销（MikroTik 官方）</t>
        </is>
      </c>
      <c r="F303" t="inlineStr">
        <is>
          <t>MikroTik（Master+VAD）</t>
        </is>
      </c>
      <c r="G303" t="inlineStr">
        <is>
          <t>否</t>
        </is>
      </c>
      <c r="H303" t="inlineStr">
        <is>
          <t>MikroTik 官方分销，商用线可直接比价，工业线为零 → 新品类增量</t>
        </is>
      </c>
      <c r="I303" t="inlineStr">
        <is>
          <t>LT-S8328XG-4XS8GT-S</t>
        </is>
      </c>
      <c r="J303" t="inlineStr">
        <is>
          <t>sales@pride.md</t>
        </is>
      </c>
      <c r="K303" t="inlineStr">
        <is>
          <t>★★★</t>
        </is>
      </c>
      <c r="L303" t="inlineStr">
        <is>
          <t>未触达</t>
        </is>
      </c>
      <c r="M303" t="inlineStr">
        <is>
          <t>2026-09-22</t>
        </is>
      </c>
      <c r="N303" t="inlineStr"/>
      <c r="O303" t="inlineStr"/>
      <c r="P303" t="inlineStr"/>
      <c r="Q303" t="inlineStr">
        <is>
          <t>Chișinău</t>
        </is>
      </c>
      <c r="R303" t="inlineStr">
        <is>
          <t>B</t>
        </is>
      </c>
      <c r="S303" t="inlineStr">
        <is>
          <t>通用分销商信号，无差异化切入点，慢慢跟</t>
        </is>
      </c>
      <c r="T303" t="inlineStr">
        <is>
          <t>B-211</t>
        </is>
      </c>
      <c r="U303" t="inlineStr"/>
      <c r="V303" t="inlineStr"/>
    </row>
    <row r="304">
      <c r="A304" t="inlineStr">
        <is>
          <t>Radion Gareev / Meganet</t>
        </is>
      </c>
      <c r="B304" t="inlineStr">
        <is>
          <t>摩尔多瓦</t>
        </is>
      </c>
      <c r="C304" t="inlineStr">
        <is>
          <t>Chisinau</t>
        </is>
      </c>
      <c r="D304" t="inlineStr">
        <is>
          <t>meganet.md</t>
        </is>
      </c>
      <c r="E304" t="inlineStr">
        <is>
          <t>集成商/顾问（MikroTik 认证）</t>
        </is>
      </c>
      <c r="F304" t="inlineStr">
        <is>
          <t>MikroTik 认证顾问 MTCNA+MTCINE</t>
        </is>
      </c>
      <c r="G304" t="inlineStr">
        <is>
          <t>否</t>
        </is>
      </c>
      <c r="H304" t="inlineStr">
        <is>
          <t>MikroTik 认证顾问：自己做方案/集成/运维并自行采购设备 → 用 ERPS/IGMP/VLAN/CLI/MIB 这类技术语言切入，不打价格战</t>
        </is>
      </c>
      <c r="I304" t="inlineStr">
        <is>
          <t>LT-S8328G-4XS24GT-S</t>
        </is>
      </c>
      <c r="J304" t="inlineStr">
        <is>
          <t>+373 685 666 11 / radeon_service@mail.ru</t>
        </is>
      </c>
      <c r="K304" t="inlineStr">
        <is>
          <t>★★★</t>
        </is>
      </c>
      <c r="L304" t="inlineStr">
        <is>
          <t>未触达</t>
        </is>
      </c>
      <c r="M304" t="inlineStr">
        <is>
          <t>2026-09-22</t>
        </is>
      </c>
      <c r="N304" t="inlineStr"/>
      <c r="O304" t="inlineStr"/>
      <c r="P304" t="inlineStr"/>
      <c r="Q304" t="inlineStr">
        <is>
          <t>承接任何 MikroTik 配置或咨询任务；含 MTCINE（ISP 互联）；英俄罗三语</t>
        </is>
      </c>
      <c r="R304" t="inlineStr">
        <is>
          <t>B</t>
        </is>
      </c>
      <c r="S304" t="inlineStr">
        <is>
          <t>有信号（ISP/骨干）但需先验证需求或联系人不具体</t>
        </is>
      </c>
      <c r="T304" t="inlineStr">
        <is>
          <t>B-212</t>
        </is>
      </c>
      <c r="U304" t="inlineStr"/>
      <c r="V304" t="inlineStr"/>
    </row>
    <row r="305">
      <c r="A305" t="inlineStr">
        <is>
          <t>Star Net</t>
        </is>
      </c>
      <c r="B305" t="inlineStr">
        <is>
          <t>摩尔多瓦</t>
        </is>
      </c>
      <c r="C305" t="inlineStr"/>
      <c r="D305" t="inlineStr">
        <is>
          <t>starnet.md</t>
        </is>
      </c>
      <c r="E305" t="inlineStr">
        <is>
          <t>分销（MikroTik 官方）</t>
        </is>
      </c>
      <c r="F305" t="inlineStr">
        <is>
          <t>MikroTik（Master）</t>
        </is>
      </c>
      <c r="G305" t="inlineStr">
        <is>
          <t>否</t>
        </is>
      </c>
      <c r="H305" t="inlineStr">
        <is>
          <t>卖 MikroTik 但缺工业/ERPS/PoE++ → 用同价位工业线补他的产品缺口</t>
        </is>
      </c>
      <c r="I305" t="inlineStr">
        <is>
          <t>LT-IS6312XG-4XS8GT</t>
        </is>
      </c>
      <c r="J305" t="inlineStr">
        <is>
          <t>022 844 444</t>
        </is>
      </c>
      <c r="K305" t="inlineStr">
        <is>
          <t>★★★</t>
        </is>
      </c>
      <c r="L305" t="inlineStr">
        <is>
          <t>未触达</t>
        </is>
      </c>
      <c r="M305" t="inlineStr">
        <is>
          <t>2026-09-22</t>
        </is>
      </c>
      <c r="N305" t="inlineStr"/>
      <c r="O305" t="inlineStr"/>
      <c r="P305" t="inlineStr"/>
      <c r="Q305" t="inlineStr">
        <is>
          <t>Chișinău</t>
        </is>
      </c>
      <c r="R305" t="inlineStr">
        <is>
          <t>C</t>
        </is>
      </c>
      <c r="S3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05" t="inlineStr">
        <is>
          <t>C-201</t>
        </is>
      </c>
      <c r="U305" t="inlineStr">
        <is>
          <t>B下放·无邮箱（群发触达不到）</t>
        </is>
      </c>
      <c r="V305" t="inlineStr"/>
    </row>
    <row r="306">
      <c r="A306" t="inlineStr">
        <is>
          <t>（摩尔多瓦）MikroTik 集中管理软件开发者</t>
        </is>
      </c>
      <c r="B306" t="inlineStr">
        <is>
          <t>摩尔多瓦</t>
        </is>
      </c>
      <c r="C306" t="inlineStr"/>
      <c r="D306" t="inlineStr"/>
      <c r="E306" t="inlineStr">
        <is>
          <t>集成商/顾问（MikroTik 认证）</t>
        </is>
      </c>
      <c r="F306" t="inlineStr">
        <is>
          <t>MikroTik 认证顾问 含 Security Engineer 方向</t>
        </is>
      </c>
      <c r="G306" t="inlineStr">
        <is>
          <t>否</t>
        </is>
      </c>
      <c r="H306" t="inlineStr">
        <is>
          <t>MikroTik 认证顾问：自己做方案/集成/运维并自行采购设备 → 用 ERPS/IGMP/VLAN/CLI/MIB 这类技术语言切入，不打价格战</t>
        </is>
      </c>
      <c r="I306" t="inlineStr">
        <is>
          <t>LT-S8328GP-4GX24GT-S</t>
        </is>
      </c>
      <c r="J306" t="inlineStr">
        <is>
          <t>+373 795 065 44 / Vovcik81@mail.ru</t>
        </is>
      </c>
      <c r="K306" t="inlineStr">
        <is>
          <t>★★★</t>
        </is>
      </c>
      <c r="L306" t="inlineStr">
        <is>
          <t>未触达</t>
        </is>
      </c>
      <c r="M306" t="inlineStr">
        <is>
          <t>2026-09-22</t>
        </is>
      </c>
      <c r="N306" t="inlineStr"/>
      <c r="O306" t="inlineStr"/>
      <c r="P306" t="inlineStr"/>
      <c r="Q306" t="inlineStr">
        <is>
          <t>★★ **自研软件产品**：集中化设备备份、集中软件升级、流量控制、版本变更比对等，一套软件搞定 → 做 MikroTik 生态工具的，会非常看重设备的 API/SNMP/可管理性，且他自己就是渠道；同时承接有线无线网络、控制器与流量优先级、防火墙、CAPsMAN、OSPF 项目，并有 MikroTik 安全工程师资质（安全审计）</t>
        </is>
      </c>
      <c r="R306" t="inlineStr">
        <is>
          <t>B</t>
        </is>
      </c>
      <c r="S306" t="inlineStr">
        <is>
          <t>通用分销商信号，无差异化切入点，慢慢跟</t>
        </is>
      </c>
      <c r="T306" t="inlineStr">
        <is>
          <t>B-214</t>
        </is>
      </c>
      <c r="U306" t="inlineStr"/>
      <c r="V306" t="inlineStr"/>
    </row>
    <row r="307">
      <c r="A307" t="inlineStr">
        <is>
          <t>Michal Petkáč / Alfac</t>
        </is>
      </c>
      <c r="B307" t="inlineStr">
        <is>
          <t>斯洛伐克</t>
        </is>
      </c>
      <c r="C307" t="inlineStr">
        <is>
          <t>Bratislava</t>
        </is>
      </c>
      <c r="D307" t="inlineStr">
        <is>
          <t>alfac.sk</t>
        </is>
      </c>
      <c r="E307" t="inlineStr">
        <is>
          <t>集成商/顾问（MikroTik 认证）</t>
        </is>
      </c>
      <c r="F307" t="inlineStr">
        <is>
          <t>MikroTik 认证顾问 MTCNA+MTCRE</t>
        </is>
      </c>
      <c r="G307" t="inlineStr">
        <is>
          <t>否</t>
        </is>
      </c>
      <c r="H307" t="inlineStr">
        <is>
          <t>MikroTik 认证顾问：自己做方案/集成/运维并自行采购设备 → 用 ERPS/IGMP/VLAN/CLI/MIB 这类技术语言切入，不打价格战</t>
        </is>
      </c>
      <c r="I307" t="inlineStr">
        <is>
          <t>LT-S8328G-4XS24GT-S</t>
        </is>
      </c>
      <c r="J307" t="inlineStr">
        <is>
          <t>+421 948 768 927 / petkac@alfac.sk</t>
        </is>
      </c>
      <c r="K307" t="inlineStr">
        <is>
          <t>★★</t>
        </is>
      </c>
      <c r="L307" t="inlineStr">
        <is>
          <t>未触达</t>
        </is>
      </c>
      <c r="M307" t="inlineStr">
        <is>
          <t>2026-09-22</t>
        </is>
      </c>
      <c r="N307" t="inlineStr"/>
      <c r="O307" t="inlineStr"/>
      <c r="P307" t="inlineStr"/>
      <c r="Q307" t="inlineStr"/>
      <c r="R307" t="inlineStr">
        <is>
          <t>B</t>
        </is>
      </c>
      <c r="S307" t="inlineStr">
        <is>
          <t>通用分销商信号，无差异化切入点，慢慢跟</t>
        </is>
      </c>
      <c r="T307" t="inlineStr">
        <is>
          <t>B-215</t>
        </is>
      </c>
      <c r="U307" t="inlineStr"/>
      <c r="V307" t="inlineStr"/>
    </row>
    <row r="308">
      <c r="A308" t="inlineStr">
        <is>
          <t>TIMES NETWORKS（lancentrum）</t>
        </is>
      </c>
      <c r="B308" t="inlineStr">
        <is>
          <t>斯洛伐克</t>
        </is>
      </c>
      <c r="C308" t="inlineStr"/>
      <c r="D308" t="inlineStr">
        <is>
          <t>lancentrum.eu</t>
        </is>
      </c>
      <c r="E308" t="inlineStr">
        <is>
          <t>分销（MikroTik 官方）</t>
        </is>
      </c>
      <c r="F308" t="inlineStr">
        <is>
          <t>MikroTik（Master）</t>
        </is>
      </c>
      <c r="G308" t="inlineStr">
        <is>
          <t>否</t>
        </is>
      </c>
      <c r="H308" t="inlineStr">
        <is>
          <t>卖 MikroTik 但缺工业/ERPS/PoE++ → 用同价位工业线补他的产品缺口</t>
        </is>
      </c>
      <c r="I308" t="inlineStr">
        <is>
          <t>LT-IS6312XG-4XS8GT</t>
        </is>
      </c>
      <c r="J308" t="inlineStr">
        <is>
          <t>+421 46 542 7050 / info@lancentrum.sk</t>
        </is>
      </c>
      <c r="K308" t="inlineStr">
        <is>
          <t>★★★</t>
        </is>
      </c>
      <c r="L308" t="inlineStr">
        <is>
          <t>未触达</t>
        </is>
      </c>
      <c r="M308" t="inlineStr">
        <is>
          <t>2026-09-22</t>
        </is>
      </c>
      <c r="N308" t="inlineStr"/>
      <c r="O308" t="inlineStr"/>
      <c r="P308" t="inlineStr"/>
      <c r="Q308" t="inlineStr">
        <is>
          <t>Prievidza</t>
        </is>
      </c>
      <c r="R308" t="inlineStr">
        <is>
          <t>B</t>
        </is>
      </c>
      <c r="S308" t="inlineStr">
        <is>
          <t>通用分销商信号，无差异化切入点，慢慢跟</t>
        </is>
      </c>
      <c r="T308" t="inlineStr">
        <is>
          <t>B-216</t>
        </is>
      </c>
      <c r="U308" t="inlineStr"/>
      <c r="V308" t="inlineStr"/>
    </row>
    <row r="309">
      <c r="A309" t="inlineStr">
        <is>
          <t>WESTech, spol. s r.o.</t>
        </is>
      </c>
      <c r="B309" t="inlineStr">
        <is>
          <t>斯洛伐克</t>
        </is>
      </c>
      <c r="C309" t="inlineStr"/>
      <c r="D309" t="inlineStr">
        <is>
          <t>online.westech.sk</t>
        </is>
      </c>
      <c r="E309" t="inlineStr">
        <is>
          <t>分销（MikroTik 官方）</t>
        </is>
      </c>
      <c r="F309" t="inlineStr">
        <is>
          <t>MikroTik（Master）</t>
        </is>
      </c>
      <c r="G309" t="inlineStr">
        <is>
          <t>否</t>
        </is>
      </c>
      <c r="H309" t="inlineStr">
        <is>
          <t>卖 MikroTik 但缺工业/ERPS/PoE++ → 用同价位工业线补他的产品缺口</t>
        </is>
      </c>
      <c r="I309" t="inlineStr">
        <is>
          <t>LT-IS6312XGP-4XS8GT</t>
        </is>
      </c>
      <c r="J309" t="inlineStr">
        <is>
          <t>+421 2 4445 4090 / obchodba@westech.sk</t>
        </is>
      </c>
      <c r="K309" t="inlineStr">
        <is>
          <t>★★★</t>
        </is>
      </c>
      <c r="L309" t="inlineStr">
        <is>
          <t>未触达</t>
        </is>
      </c>
      <c r="M309" t="inlineStr">
        <is>
          <t>2026-09-22</t>
        </is>
      </c>
      <c r="N309" t="inlineStr"/>
      <c r="O309" t="inlineStr"/>
      <c r="P309" t="inlineStr"/>
      <c r="Q309" t="inlineStr">
        <is>
          <t>Bratislava</t>
        </is>
      </c>
      <c r="R309" t="inlineStr">
        <is>
          <t>B</t>
        </is>
      </c>
      <c r="S309" t="inlineStr">
        <is>
          <t>通用分销商信号，无差异化切入点，慢慢跟</t>
        </is>
      </c>
      <c r="T309" t="inlineStr">
        <is>
          <t>B-217</t>
        </is>
      </c>
      <c r="U309" t="inlineStr"/>
      <c r="V309" t="inlineStr"/>
    </row>
    <row r="310">
      <c r="A310" t="inlineStr">
        <is>
          <t>Elkotex d.o.o.</t>
        </is>
      </c>
      <c r="B310" t="inlineStr">
        <is>
          <t>斯洛文尼亚</t>
        </is>
      </c>
      <c r="C310" t="inlineStr"/>
      <c r="D310" t="inlineStr">
        <is>
          <t>b2b.elkotex.si</t>
        </is>
      </c>
      <c r="E310" t="inlineStr">
        <is>
          <t>分销（MikroTik 官方）</t>
        </is>
      </c>
      <c r="F310" t="inlineStr">
        <is>
          <t>MikroTik（Reseller）</t>
        </is>
      </c>
      <c r="G310" t="inlineStr">
        <is>
          <t>否</t>
        </is>
      </c>
      <c r="H310" t="inlineStr">
        <is>
          <t>卖 MikroTik 但缺工业/ERPS/PoE++ → 用同价位工业线补他的产品缺口</t>
        </is>
      </c>
      <c r="I310" t="inlineStr">
        <is>
          <t>LT-IS6312XG-4XS8GT</t>
        </is>
      </c>
      <c r="J310" t="inlineStr">
        <is>
          <t>+386 1 583 79 10</t>
        </is>
      </c>
      <c r="K310" t="inlineStr">
        <is>
          <t>★★</t>
        </is>
      </c>
      <c r="L310" t="inlineStr">
        <is>
          <t>未触达</t>
        </is>
      </c>
      <c r="M310" t="inlineStr">
        <is>
          <t>2026-09-22</t>
        </is>
      </c>
      <c r="N310" t="inlineStr"/>
      <c r="O310" t="inlineStr"/>
      <c r="P310" t="inlineStr"/>
      <c r="Q310" t="inlineStr">
        <is>
          <t>Ljubljana</t>
        </is>
      </c>
      <c r="R310" t="inlineStr">
        <is>
          <t>C</t>
        </is>
      </c>
      <c r="S3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0" t="inlineStr">
        <is>
          <t>C-202</t>
        </is>
      </c>
      <c r="U310" t="inlineStr">
        <is>
          <t>B下放·无邮箱（群发触达不到）</t>
        </is>
      </c>
      <c r="V310" t="inlineStr"/>
    </row>
    <row r="311">
      <c r="A311" t="inlineStr">
        <is>
          <t>PC H.AND d.o.o.</t>
        </is>
      </c>
      <c r="B311" t="inlineStr">
        <is>
          <t>斯洛文尼亚</t>
        </is>
      </c>
      <c r="C311" t="inlineStr"/>
      <c r="D311" t="inlineStr">
        <is>
          <t>pchand.si</t>
        </is>
      </c>
      <c r="E311" t="inlineStr">
        <is>
          <t>分销（MikroTik 官方）</t>
        </is>
      </c>
      <c r="F311" t="inlineStr">
        <is>
          <t>MikroTik（Reseller）</t>
        </is>
      </c>
      <c r="G311" t="inlineStr">
        <is>
          <t>否</t>
        </is>
      </c>
      <c r="H311" t="inlineStr">
        <is>
          <t>MikroTik 官方分销，商用线可直接比价，工业线为零 → 新品类增量</t>
        </is>
      </c>
      <c r="I311" t="inlineStr">
        <is>
          <t>LT-S8328XG-4XS8GT-S</t>
        </is>
      </c>
      <c r="J311" t="inlineStr">
        <is>
          <t>+386 1 530 08 00 / info@pchand.si</t>
        </is>
      </c>
      <c r="K311" t="inlineStr">
        <is>
          <t>★★</t>
        </is>
      </c>
      <c r="L311" t="inlineStr">
        <is>
          <t>未触达</t>
        </is>
      </c>
      <c r="M311" t="inlineStr">
        <is>
          <t>2026-09-22</t>
        </is>
      </c>
      <c r="N311" t="inlineStr"/>
      <c r="O311" t="inlineStr"/>
      <c r="P311" t="inlineStr"/>
      <c r="Q311" t="inlineStr">
        <is>
          <t>Trzin</t>
        </is>
      </c>
      <c r="R311" t="inlineStr">
        <is>
          <t>B</t>
        </is>
      </c>
      <c r="S311" t="inlineStr">
        <is>
          <t>通用分销商信号，无差异化切入点，慢慢跟</t>
        </is>
      </c>
      <c r="T311" t="inlineStr">
        <is>
          <t>B-219</t>
        </is>
      </c>
      <c r="U311" t="inlineStr"/>
      <c r="V311" t="inlineStr"/>
    </row>
    <row r="312">
      <c r="A312" t="inlineStr">
        <is>
          <t>PEC SISTEMI d.o.o.（tehnox.si）</t>
        </is>
      </c>
      <c r="B312" t="inlineStr">
        <is>
          <t>斯洛文尼亚</t>
        </is>
      </c>
      <c r="C312" t="inlineStr"/>
      <c r="D312" t="inlineStr">
        <is>
          <t>tehnox.si</t>
        </is>
      </c>
      <c r="E312" t="inlineStr">
        <is>
          <t>分销（MikroTik 官方）</t>
        </is>
      </c>
      <c r="F312" t="inlineStr">
        <is>
          <t>MikroTik（Reseller）</t>
        </is>
      </c>
      <c r="G312" t="inlineStr">
        <is>
          <t>否</t>
        </is>
      </c>
      <c r="H312" t="inlineStr">
        <is>
          <t>卖 MikroTik 但缺工业/ERPS/PoE++ → 用同价位工业线补他的产品缺口</t>
        </is>
      </c>
      <c r="I312" t="inlineStr">
        <is>
          <t>LT-IS6312XGP-4XS8GT</t>
        </is>
      </c>
      <c r="J312" t="inlineStr">
        <is>
          <t>+386 2 250 2235 / info@pec-sistemi.si</t>
        </is>
      </c>
      <c r="K312" t="inlineStr">
        <is>
          <t>★★</t>
        </is>
      </c>
      <c r="L312" t="inlineStr">
        <is>
          <t>未触达</t>
        </is>
      </c>
      <c r="M312" t="inlineStr">
        <is>
          <t>2026-09-22</t>
        </is>
      </c>
      <c r="N312" t="inlineStr"/>
      <c r="O312" t="inlineStr"/>
      <c r="P312" t="inlineStr"/>
      <c r="Q312" t="inlineStr">
        <is>
          <t>Maribor</t>
        </is>
      </c>
      <c r="R312" t="inlineStr">
        <is>
          <t>B</t>
        </is>
      </c>
      <c r="S312" t="inlineStr">
        <is>
          <t>通用分销商信号，无差异化切入点，慢慢跟</t>
        </is>
      </c>
      <c r="T312" t="inlineStr">
        <is>
          <t>B-220</t>
        </is>
      </c>
      <c r="U312" t="inlineStr"/>
      <c r="V312" t="inlineStr"/>
    </row>
    <row r="313">
      <c r="A313" t="inlineStr">
        <is>
          <t>GCOM</t>
        </is>
      </c>
      <c r="B313" t="inlineStr">
        <is>
          <t>格鲁吉亚</t>
        </is>
      </c>
      <c r="C313" t="inlineStr"/>
      <c r="D313" t="inlineStr">
        <is>
          <t>gcom.ge</t>
        </is>
      </c>
      <c r="E313" t="inlineStr">
        <is>
          <t>分销（MikroTik 官方）</t>
        </is>
      </c>
      <c r="F313" t="inlineStr">
        <is>
          <t>MikroTik（Master+VAD）</t>
        </is>
      </c>
      <c r="G313" t="inlineStr">
        <is>
          <t>否</t>
        </is>
      </c>
      <c r="H313" t="inlineStr">
        <is>
          <t>MikroTik 官方分销，商用线可直接比价，工业线为零 → 新品类增量</t>
        </is>
      </c>
      <c r="I313" t="inlineStr">
        <is>
          <t>LT-S8328XG-4XS8GT-S</t>
        </is>
      </c>
      <c r="J313" t="inlineStr">
        <is>
          <t>+995 322 420 449 / info@gcom.ge</t>
        </is>
      </c>
      <c r="K313" t="inlineStr">
        <is>
          <t>★★★</t>
        </is>
      </c>
      <c r="L313" t="inlineStr">
        <is>
          <t>未触达</t>
        </is>
      </c>
      <c r="M313" t="inlineStr">
        <is>
          <t>2026-09-22</t>
        </is>
      </c>
      <c r="N313" t="inlineStr"/>
      <c r="O313" t="inlineStr"/>
      <c r="P313" t="inlineStr"/>
      <c r="Q313" t="inlineStr">
        <is>
          <t>Tbilisi</t>
        </is>
      </c>
      <c r="R313" t="inlineStr">
        <is>
          <t>B</t>
        </is>
      </c>
      <c r="S313" t="inlineStr">
        <is>
          <t>通用分销商信号，无差异化切入点，慢慢跟</t>
        </is>
      </c>
      <c r="T313" t="inlineStr">
        <is>
          <t>B-221</t>
        </is>
      </c>
      <c r="U313" t="inlineStr"/>
      <c r="V313" t="inlineStr"/>
    </row>
    <row r="314">
      <c r="A314" t="inlineStr">
        <is>
          <t>Intellcom Group Ltd</t>
        </is>
      </c>
      <c r="B314" t="inlineStr">
        <is>
          <t>格鲁吉亚</t>
        </is>
      </c>
      <c r="C314" t="inlineStr"/>
      <c r="D314" t="inlineStr">
        <is>
          <t>intellcom.net</t>
        </is>
      </c>
      <c r="E314" t="inlineStr">
        <is>
          <t>分销（MikroTik 官方）</t>
        </is>
      </c>
      <c r="F314" t="inlineStr">
        <is>
          <t>MikroTik（Master+VAD）</t>
        </is>
      </c>
      <c r="G314" t="inlineStr">
        <is>
          <t>否</t>
        </is>
      </c>
      <c r="H314" t="inlineStr">
        <is>
          <t>卖 MikroTik 但缺工业/ERPS/PoE++ → 用同价位工业线补他的产品缺口</t>
        </is>
      </c>
      <c r="I314" t="inlineStr">
        <is>
          <t>LT-IS6312XGP-4XS8GT</t>
        </is>
      </c>
      <c r="J314" t="inlineStr">
        <is>
          <t>+995 32 298 98 49 / sale@intellcom.net</t>
        </is>
      </c>
      <c r="K314" t="inlineStr">
        <is>
          <t>★★★</t>
        </is>
      </c>
      <c r="L314" t="inlineStr">
        <is>
          <t>未触达</t>
        </is>
      </c>
      <c r="M314" t="inlineStr">
        <is>
          <t>2026-09-22</t>
        </is>
      </c>
      <c r="N314" t="inlineStr"/>
      <c r="O314" t="inlineStr"/>
      <c r="P314" t="inlineStr"/>
      <c r="Q314" t="inlineStr">
        <is>
          <t>Tbilisi</t>
        </is>
      </c>
      <c r="R314" t="inlineStr">
        <is>
          <t>B</t>
        </is>
      </c>
      <c r="S314" t="inlineStr">
        <is>
          <t>通用分销商信号，无差异化切入点，慢慢跟</t>
        </is>
      </c>
      <c r="T314" t="inlineStr">
        <is>
          <t>B-222</t>
        </is>
      </c>
      <c r="U314" t="inlineStr"/>
      <c r="V314" t="inlineStr"/>
    </row>
    <row r="315">
      <c r="A315" t="inlineStr">
        <is>
          <t>TAKOPI GEORGIA（smart-network.ge）</t>
        </is>
      </c>
      <c r="B315" t="inlineStr">
        <is>
          <t>格鲁吉亚</t>
        </is>
      </c>
      <c r="C315" t="inlineStr"/>
      <c r="D315" t="inlineStr">
        <is>
          <t>smart-network.ge</t>
        </is>
      </c>
      <c r="E315" t="inlineStr">
        <is>
          <t>分销（MikroTik 官方）</t>
        </is>
      </c>
      <c r="F315" t="inlineStr">
        <is>
          <t>MikroTik（Master+VAD）</t>
        </is>
      </c>
      <c r="G315" t="inlineStr">
        <is>
          <t>否</t>
        </is>
      </c>
      <c r="H315" t="inlineStr">
        <is>
          <t>专设 smart-network.ge 项目站做 MikroTik</t>
        </is>
      </c>
      <c r="I315" t="inlineStr">
        <is>
          <t>LT-IS6312XG-4XS8GT</t>
        </is>
      </c>
      <c r="J315" t="inlineStr">
        <is>
          <t>+995 505 05 05 60 / info@takopi.ge</t>
        </is>
      </c>
      <c r="K315" t="inlineStr">
        <is>
          <t>★★★</t>
        </is>
      </c>
      <c r="L315" t="inlineStr">
        <is>
          <t>未触达</t>
        </is>
      </c>
      <c r="M315" t="inlineStr">
        <is>
          <t>2026-09-22</t>
        </is>
      </c>
      <c r="N315" t="inlineStr"/>
      <c r="O315" t="inlineStr"/>
      <c r="P315" t="inlineStr"/>
      <c r="Q315" t="inlineStr">
        <is>
          <t>Tbilisi</t>
        </is>
      </c>
      <c r="R315" t="inlineStr">
        <is>
          <t>B</t>
        </is>
      </c>
      <c r="S315" t="inlineStr">
        <is>
          <t>通用分销商信号，无差异化切入点，慢慢跟</t>
        </is>
      </c>
      <c r="T315" t="inlineStr">
        <is>
          <t>B-223</t>
        </is>
      </c>
      <c r="U315" t="inlineStr"/>
      <c r="V315" t="inlineStr"/>
    </row>
    <row r="316">
      <c r="A316" t="inlineStr">
        <is>
          <t>CimPro Holding NV</t>
        </is>
      </c>
      <c r="B316" t="inlineStr">
        <is>
          <t>比利时</t>
        </is>
      </c>
      <c r="C316" t="inlineStr">
        <is>
          <t>Sint Niklaas（覆盖荷）</t>
        </is>
      </c>
      <c r="D316" t="inlineStr"/>
      <c r="E316" t="inlineStr">
        <is>
          <t>分销（HMS/N-Tron·Red Lion 渠道）</t>
        </is>
      </c>
      <c r="F316" t="inlineStr">
        <is>
          <t>N-Tron + Red Lion + Anybus</t>
        </is>
      </c>
      <c r="G316" t="inlineStr">
        <is>
          <t>否</t>
        </is>
      </c>
      <c r="H316" t="inlineStr">
        <is>
          <t>卖 N-Tron/Red Lion 工业交换机（8口非网管约 $500+）→ 中性货同规格 LT-IS6310G 约 $91，做第二供应商/替换，价差 5 倍</t>
        </is>
      </c>
      <c r="I316" t="inlineStr">
        <is>
          <t>LT-IS6312XGP-4XS8GT</t>
        </is>
      </c>
      <c r="J316" t="inlineStr">
        <is>
          <t>官网联系页（HMS 名录只公开地址与网址）</t>
        </is>
      </c>
      <c r="K316" t="inlineStr">
        <is>
          <t>★★★</t>
        </is>
      </c>
      <c r="L316" t="inlineStr">
        <is>
          <t>未触达</t>
        </is>
      </c>
      <c r="M316" t="inlineStr">
        <is>
          <t>2026-09-22</t>
        </is>
      </c>
      <c r="N316" t="inlineStr"/>
      <c r="O316" t="inlineStr"/>
      <c r="P316" t="inlineStr"/>
      <c r="Q316" t="inlineStr">
        <is>
          <t>无公开网址，需 LinkedIn 找人</t>
        </is>
      </c>
      <c r="R316" t="inlineStr">
        <is>
          <t>C</t>
        </is>
      </c>
      <c r="S3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16" t="inlineStr">
        <is>
          <t>C-203</t>
        </is>
      </c>
      <c r="U316" t="inlineStr">
        <is>
          <t>B下放·无邮箱（群发触达不到）</t>
        </is>
      </c>
      <c r="V316" t="inlineStr"/>
    </row>
    <row r="317">
      <c r="A317" t="inlineStr">
        <is>
          <t>Foxconcept</t>
        </is>
      </c>
      <c r="B317" t="inlineStr">
        <is>
          <t>比利时</t>
        </is>
      </c>
      <c r="C317" t="inlineStr"/>
      <c r="D317" t="inlineStr">
        <is>
          <t>foxconcept.be</t>
        </is>
      </c>
      <c r="E317" t="inlineStr">
        <is>
          <t>分销（MikroTik 官方）</t>
        </is>
      </c>
      <c r="F317" t="inlineStr">
        <is>
          <t>MikroTik（Reseller）</t>
        </is>
      </c>
      <c r="G317" t="inlineStr">
        <is>
          <t>否</t>
        </is>
      </c>
      <c r="H317" t="inlineStr">
        <is>
          <t>卖 MikroTik 但缺工业/ERPS/PoE++ → 用同价位工业线补他的产品缺口</t>
        </is>
      </c>
      <c r="I317" t="inlineStr">
        <is>
          <t>LT-IS6312XG-4XS8GT</t>
        </is>
      </c>
      <c r="J317" t="inlineStr">
        <is>
          <t>+32 2 808 35 35 / info@foxconcept.be</t>
        </is>
      </c>
      <c r="K317" t="inlineStr">
        <is>
          <t>★★</t>
        </is>
      </c>
      <c r="L317" t="inlineStr">
        <is>
          <t>未触达</t>
        </is>
      </c>
      <c r="M317" t="inlineStr">
        <is>
          <t>2026-09-22</t>
        </is>
      </c>
      <c r="N317" t="inlineStr"/>
      <c r="O317" t="inlineStr"/>
      <c r="P317" t="inlineStr"/>
      <c r="Q317" t="inlineStr">
        <is>
          <t>Tongrinne</t>
        </is>
      </c>
      <c r="R317" t="inlineStr">
        <is>
          <t>B</t>
        </is>
      </c>
      <c r="S317" t="inlineStr">
        <is>
          <t>通用分销商信号，无差异化切入点，慢慢跟</t>
        </is>
      </c>
      <c r="T317" t="inlineStr">
        <is>
          <t>B-225</t>
        </is>
      </c>
      <c r="U317" t="inlineStr"/>
      <c r="V317" t="inlineStr"/>
    </row>
    <row r="318">
      <c r="A318" t="inlineStr">
        <is>
          <t>Jonathan De Graeve / Smarteye</t>
        </is>
      </c>
      <c r="B318" t="inlineStr">
        <is>
          <t>比利时</t>
        </is>
      </c>
      <c r="C318" t="inlineStr">
        <is>
          <t>Wilrijk (Antwerpen)</t>
        </is>
      </c>
      <c r="D318" t="inlineStr">
        <is>
          <t>smarteye.eu</t>
        </is>
      </c>
      <c r="E318" t="inlineStr">
        <is>
          <t>集成商/顾问（MikroTik 认证）</t>
        </is>
      </c>
      <c r="F318" t="inlineStr">
        <is>
          <t>MikroTik 认证顾问 MTCNA+MTCRE+MTCINE+MTCSE+MTCEWE</t>
        </is>
      </c>
      <c r="G318" t="inlineStr">
        <is>
          <t>否</t>
        </is>
      </c>
      <c r="H318" t="inlineStr">
        <is>
          <t>MikroTik 认证顾问：自己做方案/集成/运维并自行采购设备 → 用 ERPS/IGMP/VLAN/CLI/MIB 这类技术语言切入，不打价格战</t>
        </is>
      </c>
      <c r="I318" t="inlineStr">
        <is>
          <t>LT-S8328XGP-4XS24GT-S</t>
        </is>
      </c>
      <c r="J318" t="inlineStr">
        <is>
          <t>+32 9 395 6202 / jonathan@smarteye.eu</t>
        </is>
      </c>
      <c r="K318" t="inlineStr">
        <is>
          <t>★★★</t>
        </is>
      </c>
      <c r="L318" t="inlineStr">
        <is>
          <t>未触达</t>
        </is>
      </c>
      <c r="M318" t="inlineStr">
        <is>
          <t>2026-09-22</t>
        </is>
      </c>
      <c r="N318" t="inlineStr"/>
      <c r="O318" t="inlineStr"/>
      <c r="P318" t="inlineStr"/>
      <c r="Q318" t="inlineStr">
        <is>
          <t>★ 比利时**唯一**认证顾问（稀缺）；专做**骨干网设计**与 RouterOS 全栈运维诊断：BGP、MPLS、VPLS、OSPF、流量管理、带宽整形、防火墙、Hotspots、VPN、无线</t>
        </is>
      </c>
      <c r="R318" t="inlineStr">
        <is>
          <t>B</t>
        </is>
      </c>
      <c r="S318" t="inlineStr">
        <is>
          <t>有信号（ISP/骨干）但需先验证需求或联系人不具体</t>
        </is>
      </c>
      <c r="T318" t="inlineStr">
        <is>
          <t>B-226</t>
        </is>
      </c>
      <c r="U318" t="inlineStr"/>
      <c r="V318" t="inlineStr"/>
    </row>
    <row r="319">
      <c r="A319" t="inlineStr">
        <is>
          <t>SmartEye BV（wifistock.be）</t>
        </is>
      </c>
      <c r="B319" t="inlineStr">
        <is>
          <t>比利时</t>
        </is>
      </c>
      <c r="C319" t="inlineStr"/>
      <c r="D319" t="inlineStr">
        <is>
          <t>wifistock.be</t>
        </is>
      </c>
      <c r="E319" t="inlineStr">
        <is>
          <t>分销（MikroTik 官方）</t>
        </is>
      </c>
      <c r="F319" t="inlineStr">
        <is>
          <t>MikroTik（Master+VAD）</t>
        </is>
      </c>
      <c r="G319" t="inlineStr">
        <is>
          <t>否</t>
        </is>
      </c>
      <c r="H319" t="inlineStr">
        <is>
          <t>与英国 Wifi Stock 同名 → 疑似同集团，英比两国</t>
        </is>
      </c>
      <c r="I319" t="inlineStr">
        <is>
          <t>LT-IS6312XGP-4XS8GT</t>
        </is>
      </c>
      <c r="J319" t="inlineStr">
        <is>
          <t>+32 9 395 70 00 / sales@smarteye.eu</t>
        </is>
      </c>
      <c r="K319" t="inlineStr">
        <is>
          <t>★★★</t>
        </is>
      </c>
      <c r="L319" t="inlineStr">
        <is>
          <t>未触达</t>
        </is>
      </c>
      <c r="M319" t="inlineStr">
        <is>
          <t>2026-09-22</t>
        </is>
      </c>
      <c r="N319" t="inlineStr"/>
      <c r="O319" t="inlineStr"/>
      <c r="P319" t="inlineStr"/>
      <c r="Q319" t="inlineStr">
        <is>
          <t>Wilrijk</t>
        </is>
      </c>
      <c r="R319" t="inlineStr">
        <is>
          <t>B</t>
        </is>
      </c>
      <c r="S319" t="inlineStr">
        <is>
          <t>通用分销商信号，无差异化切入点，慢慢跟</t>
        </is>
      </c>
      <c r="T319" t="inlineStr">
        <is>
          <t>B-227</t>
        </is>
      </c>
      <c r="U319" t="inlineStr"/>
      <c r="V319" t="inlineStr"/>
    </row>
    <row r="320">
      <c r="A320" t="inlineStr">
        <is>
          <t>Tesla Networks</t>
        </is>
      </c>
      <c r="B320" t="inlineStr">
        <is>
          <t>比利时</t>
        </is>
      </c>
      <c r="C320" t="inlineStr"/>
      <c r="D320" t="inlineStr">
        <is>
          <t>teslanetworks.com</t>
        </is>
      </c>
      <c r="E320" t="inlineStr">
        <is>
          <t>分销（ORing 授权）</t>
        </is>
      </c>
      <c r="F320" t="inlineStr">
        <is>
          <t>ORing</t>
        </is>
      </c>
      <c r="G320" t="inlineStr">
        <is>
          <t>否</t>
        </is>
      </c>
      <c r="H320" t="inlineStr">
        <is>
          <t>比利时工业网络分销</t>
        </is>
      </c>
      <c r="I320" t="inlineStr">
        <is>
          <t>LT-IS6312XGP-4XS8GT</t>
        </is>
      </c>
      <c r="J320" t="inlineStr">
        <is>
          <t>+32 (0)15 24 7007</t>
        </is>
      </c>
      <c r="K320" t="inlineStr">
        <is>
          <t>★★★</t>
        </is>
      </c>
      <c r="L320" t="inlineStr">
        <is>
          <t>未触达</t>
        </is>
      </c>
      <c r="M320" t="inlineStr">
        <is>
          <t>ORing经销商名录/2026-09</t>
        </is>
      </c>
      <c r="N320" t="inlineStr"/>
      <c r="O320" t="inlineStr"/>
      <c r="P320" t="inlineStr"/>
      <c r="Q32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0" t="inlineStr">
        <is>
          <t>C</t>
        </is>
      </c>
      <c r="S3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0" t="inlineStr">
        <is>
          <t>C-204</t>
        </is>
      </c>
      <c r="U320" t="inlineStr">
        <is>
          <t>B下放·无邮箱（群发触达不到）</t>
        </is>
      </c>
      <c r="V320" t="inlineStr"/>
    </row>
    <row r="321">
      <c r="A321" t="inlineStr">
        <is>
          <t>Alfa Systems</t>
        </is>
      </c>
      <c r="B321" t="inlineStr">
        <is>
          <t>比利时/卢森堡</t>
        </is>
      </c>
      <c r="C321" t="inlineStr"/>
      <c r="D321" t="inlineStr">
        <is>
          <t>alfasystems.be</t>
        </is>
      </c>
      <c r="E321" t="inlineStr">
        <is>
          <t>分销（Antaira 授权）</t>
        </is>
      </c>
      <c r="F321" t="inlineStr">
        <is>
          <t>Antaira</t>
        </is>
      </c>
      <c r="G321" t="inlineStr">
        <is>
          <t>否</t>
        </is>
      </c>
      <c r="H321" t="inlineStr">
        <is>
          <t>工业/轨道同规格 1/3 价第二供应源</t>
        </is>
      </c>
      <c r="I321" t="inlineStr">
        <is>
          <t>LT-IS6312XG-4XS8GT</t>
        </is>
      </c>
      <c r="J321" t="inlineStr">
        <is>
          <t>+32 15 45 11 60 / info@alfasys.be</t>
        </is>
      </c>
      <c r="K321" t="inlineStr">
        <is>
          <t>★★★</t>
        </is>
      </c>
      <c r="L321" t="inlineStr">
        <is>
          <t>未触达</t>
        </is>
      </c>
      <c r="M321" t="inlineStr">
        <is>
          <t>2026-09-22</t>
        </is>
      </c>
      <c r="N321" t="inlineStr"/>
      <c r="O321" t="inlineStr"/>
      <c r="P321" t="inlineStr"/>
      <c r="Q321" t="inlineStr">
        <is>
          <t>Hombeek，同时覆盖卢森堡 【范围外】不在本次目标区域（欧洲+美加）内，暂不触达，留档备用</t>
        </is>
      </c>
      <c r="R321" t="inlineStr">
        <is>
          <t>B</t>
        </is>
      </c>
      <c r="S321" t="inlineStr">
        <is>
          <t>通用分销商信号，无差异化切入点，慢慢跟</t>
        </is>
      </c>
      <c r="T321" t="inlineStr">
        <is>
          <t>B-229</t>
        </is>
      </c>
      <c r="U321" t="inlineStr"/>
      <c r="V321" t="inlineStr"/>
    </row>
    <row r="322">
      <c r="A322" t="inlineStr">
        <is>
          <t>ACTN</t>
        </is>
      </c>
      <c r="B322" t="inlineStr">
        <is>
          <t>法国</t>
        </is>
      </c>
      <c r="C322" t="inlineStr"/>
      <c r="D322" t="inlineStr">
        <is>
          <t>actn.fr</t>
        </is>
      </c>
      <c r="E322" t="inlineStr">
        <is>
          <t>分销（MikroTik 官方）</t>
        </is>
      </c>
      <c r="F322" t="inlineStr">
        <is>
          <t>MikroTik（Master）</t>
        </is>
      </c>
      <c r="G322" t="inlineStr">
        <is>
          <t>否</t>
        </is>
      </c>
      <c r="H322" t="inlineStr">
        <is>
          <t>卖 MikroTik 但缺工业/ERPS/PoE++ → 用同价位工业线补他的产品缺口</t>
        </is>
      </c>
      <c r="I322" t="inlineStr">
        <is>
          <t>LT-IS6312XGP-4XS8GT</t>
        </is>
      </c>
      <c r="J322" t="inlineStr">
        <is>
          <t>+33 5 62 48 84 88 / marketing@actn.fr</t>
        </is>
      </c>
      <c r="K322" t="inlineStr">
        <is>
          <t>★★★</t>
        </is>
      </c>
      <c r="L322" t="inlineStr">
        <is>
          <t>未触达</t>
        </is>
      </c>
      <c r="M322" t="inlineStr">
        <is>
          <t>2026-09-22</t>
        </is>
      </c>
      <c r="N322" t="inlineStr"/>
      <c r="O322" t="inlineStr"/>
      <c r="P322" t="inlineStr"/>
      <c r="Q322" t="inlineStr">
        <is>
          <t>Tournefeuille</t>
        </is>
      </c>
      <c r="R322" t="inlineStr">
        <is>
          <t>B</t>
        </is>
      </c>
      <c r="S322" t="inlineStr">
        <is>
          <t>通用分销商信号，无差异化切入点，慢慢跟</t>
        </is>
      </c>
      <c r="T322" t="inlineStr">
        <is>
          <t>B-230</t>
        </is>
      </c>
      <c r="U322" t="inlineStr"/>
      <c r="V322" t="inlineStr"/>
    </row>
    <row r="323">
      <c r="A323" t="inlineStr">
        <is>
          <t>ALLNET France SAS</t>
        </is>
      </c>
      <c r="B323" t="inlineStr">
        <is>
          <t>法国</t>
        </is>
      </c>
      <c r="C323" t="inlineStr"/>
      <c r="D323" t="inlineStr">
        <is>
          <t>allnetfrance.fr</t>
        </is>
      </c>
      <c r="E323" t="inlineStr">
        <is>
          <t>分销（MikroTik 官方）</t>
        </is>
      </c>
      <c r="F323" t="inlineStr">
        <is>
          <t>MikroTik（Master+VAD）</t>
        </is>
      </c>
      <c r="G323" t="inlineStr">
        <is>
          <t>否</t>
        </is>
      </c>
      <c r="H323" t="inlineStr">
        <is>
          <t>ALLNET 集团法国站（德/意为同一集团）</t>
        </is>
      </c>
      <c r="I323" t="inlineStr">
        <is>
          <t>LT-S8328GP-4GX24GT</t>
        </is>
      </c>
      <c r="J323" t="inlineStr">
        <is>
          <t>04 48 23 02 90 / sales@allnetfrance.fr</t>
        </is>
      </c>
      <c r="K323" t="inlineStr">
        <is>
          <t>★★★</t>
        </is>
      </c>
      <c r="L323" t="inlineStr">
        <is>
          <t>未触达</t>
        </is>
      </c>
      <c r="M323" t="inlineStr">
        <is>
          <t>2026-09-22</t>
        </is>
      </c>
      <c r="N323" t="inlineStr"/>
      <c r="O323" t="inlineStr"/>
      <c r="P323" t="inlineStr"/>
      <c r="Q323" t="inlineStr">
        <is>
          <t>Carcassonne</t>
        </is>
      </c>
      <c r="R323" t="inlineStr">
        <is>
          <t>B</t>
        </is>
      </c>
      <c r="S323" t="inlineStr">
        <is>
          <t>通用分销商信号，无差异化切入点，慢慢跟</t>
        </is>
      </c>
      <c r="T323" t="inlineStr">
        <is>
          <t>B-231</t>
        </is>
      </c>
      <c r="U323" t="inlineStr"/>
      <c r="V323" t="inlineStr"/>
    </row>
    <row r="324">
      <c r="A324" t="inlineStr">
        <is>
          <t>APLUS Systeme Automation</t>
        </is>
      </c>
      <c r="B324" t="inlineStr">
        <is>
          <t>法国</t>
        </is>
      </c>
      <c r="C324" t="inlineStr"/>
      <c r="D324" t="inlineStr">
        <is>
          <t>aplus-sa.com</t>
        </is>
      </c>
      <c r="E324" t="inlineStr">
        <is>
          <t>分销（ORing 授权）</t>
        </is>
      </c>
      <c r="F324" t="inlineStr">
        <is>
          <t>ORing</t>
        </is>
      </c>
      <c r="G324" t="inlineStr">
        <is>
          <t>否</t>
        </is>
      </c>
      <c r="H324" t="inlineStr">
        <is>
          <t>法国工业自动化分销</t>
        </is>
      </c>
      <c r="I324" t="inlineStr">
        <is>
          <t>LT-IS6320G-4GX16GT-D</t>
        </is>
      </c>
      <c r="J324" t="inlineStr">
        <is>
          <t>+33 1 69884300</t>
        </is>
      </c>
      <c r="K324" t="inlineStr">
        <is>
          <t>★★★</t>
        </is>
      </c>
      <c r="L324" t="inlineStr">
        <is>
          <t>未触达</t>
        </is>
      </c>
      <c r="M324" t="inlineStr">
        <is>
          <t>ORing经销商名录/2026-09</t>
        </is>
      </c>
      <c r="N324" t="inlineStr"/>
      <c r="O324" t="inlineStr"/>
      <c r="P324" t="inlineStr"/>
      <c r="Q324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24" t="inlineStr">
        <is>
          <t>C</t>
        </is>
      </c>
      <c r="S3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24" t="inlineStr">
        <is>
          <t>C-205</t>
        </is>
      </c>
      <c r="U324" t="inlineStr">
        <is>
          <t>B下放·无邮箱（群发触达不到）</t>
        </is>
      </c>
      <c r="V324" t="inlineStr"/>
    </row>
    <row r="325">
      <c r="A325" t="inlineStr">
        <is>
          <t>Adnan RIHAN</t>
        </is>
      </c>
      <c r="B325" t="inlineStr">
        <is>
          <t>法国</t>
        </is>
      </c>
      <c r="C325" t="inlineStr">
        <is>
          <t>Paris</t>
        </is>
      </c>
      <c r="D325" t="inlineStr"/>
      <c r="E325" t="inlineStr">
        <is>
          <t>集成商/顾问（MikroTik 认证）</t>
        </is>
      </c>
      <c r="F325" t="inlineStr">
        <is>
          <t>MikroTik 认证顾问，持 MTCNA / MTCIPv6E；IPv6 方向有专证</t>
        </is>
      </c>
      <c r="G325" t="inlineStr">
        <is>
          <t>否</t>
        </is>
      </c>
      <c r="H325" t="inlineStr">
        <is>
          <t>MikroTik 生态切入</t>
        </is>
      </c>
      <c r="I325" t="inlineStr">
        <is>
          <t>LT-S8328GP-4GX24GT-S</t>
        </is>
      </c>
      <c r="J325" t="inlineStr">
        <is>
          <t>adnan+mikrotik@rihan.fr；+33 6 78 62 26 20</t>
        </is>
      </c>
      <c r="K325" t="inlineStr">
        <is>
          <t>★★★</t>
        </is>
      </c>
      <c r="L325" t="inlineStr">
        <is>
          <t>未触达</t>
        </is>
      </c>
      <c r="M325" t="inlineStr">
        <is>
          <t>MikroTik 官方认证顾问名录</t>
        </is>
      </c>
      <c r="N325" t="inlineStr"/>
      <c r="O325" t="inlineStr"/>
      <c r="P325" t="inlineStr"/>
      <c r="Q325" t="inlineStr">
        <is>
          <t>【2026-09-23】MikroTik 官方认证顾问名录（mikrotik.com/consultants）收录，含证书等级与直接联系方式。法国仅 2 位上榜顾问之一，驻巴黎。</t>
        </is>
      </c>
      <c r="R325" t="inlineStr">
        <is>
          <t>B</t>
        </is>
      </c>
      <c r="S325" t="inlineStr">
        <is>
          <t>通用分销商信号，无差异化切入点，慢慢跟</t>
        </is>
      </c>
      <c r="T325" t="inlineStr">
        <is>
          <t>B-233</t>
        </is>
      </c>
      <c r="U325" t="inlineStr"/>
      <c r="V325" t="inlineStr"/>
    </row>
    <row r="326">
      <c r="A326" t="inlineStr">
        <is>
          <t>Adnan Rihan</t>
        </is>
      </c>
      <c r="B326" t="inlineStr">
        <is>
          <t>法国</t>
        </is>
      </c>
      <c r="C326" t="inlineStr">
        <is>
          <t>Paris</t>
        </is>
      </c>
      <c r="D326" t="inlineStr">
        <is>
          <t>rihan.fr</t>
        </is>
      </c>
      <c r="E326" t="inlineStr">
        <is>
          <t>集成商/顾问（MikroTik 认证）</t>
        </is>
      </c>
      <c r="F326" t="inlineStr">
        <is>
          <t>MikroTik 认证顾问 MTCNA+MTCIPv6E</t>
        </is>
      </c>
      <c r="G326" t="inlineStr">
        <is>
          <t>否</t>
        </is>
      </c>
      <c r="H326" t="inlineStr">
        <is>
          <t>MikroTik 认证顾问：自己做方案/集成/运维并自行采购设备 → 用 ERPS/IGMP/VLAN/CLI/MIB 这类技术语言切入，不打价格战</t>
        </is>
      </c>
      <c r="I326" t="inlineStr">
        <is>
          <t>LT-S8328G-4XS24GT-S</t>
        </is>
      </c>
      <c r="J326" t="inlineStr">
        <is>
          <t>+33 6 78 62 26 20 / adnan+mikrotik@rihan.fr</t>
        </is>
      </c>
      <c r="K326" t="inlineStr">
        <is>
          <t>★★</t>
        </is>
      </c>
      <c r="L326" t="inlineStr">
        <is>
          <t>未触达</t>
        </is>
      </c>
      <c r="M326" t="inlineStr">
        <is>
          <t>2026-09-22</t>
        </is>
      </c>
      <c r="N326" t="inlineStr"/>
      <c r="O326" t="inlineStr"/>
      <c r="P326" t="inlineStr"/>
      <c r="Q326" t="inlineStr"/>
      <c r="R326" t="inlineStr">
        <is>
          <t>B</t>
        </is>
      </c>
      <c r="S326" t="inlineStr">
        <is>
          <t>通用分销商信号，无差异化切入点，慢慢跟</t>
        </is>
      </c>
      <c r="T326" t="inlineStr">
        <is>
          <t>B-234</t>
        </is>
      </c>
      <c r="U326" t="inlineStr"/>
      <c r="V326" t="inlineStr"/>
    </row>
    <row r="327">
      <c r="A327" t="inlineStr">
        <is>
          <t>Audin</t>
        </is>
      </c>
      <c r="B327" t="inlineStr">
        <is>
          <t>法国</t>
        </is>
      </c>
      <c r="C327" t="inlineStr">
        <is>
          <t>St Brice Courcelles (Reims)</t>
        </is>
      </c>
      <c r="D327" t="inlineStr">
        <is>
          <t>shop-audin.fr</t>
        </is>
      </c>
      <c r="E327" t="inlineStr">
        <is>
          <t>分销（HMS/N-Tron·Red Lion 渠道）</t>
        </is>
      </c>
      <c r="F327" t="inlineStr">
        <is>
          <t>N-Tron + Red Lion</t>
        </is>
      </c>
      <c r="G327" t="inlineStr">
        <is>
          <t>否</t>
        </is>
      </c>
      <c r="H327" t="inlineStr">
        <is>
          <t>卖 N-Tron/Red Lion 工业交换机（8口非网管约 $500+）→ 中性货同规格 LT-IS6310G 约 $91，做第二供应商，价差 5 倍</t>
        </is>
      </c>
      <c r="I327" t="inlineStr">
        <is>
          <t>LT-IS6310G</t>
        </is>
      </c>
      <c r="J327" t="inlineStr">
        <is>
          <t>官网联系页（HMS 名录只公开地址与网址）</t>
        </is>
      </c>
      <c r="K327" t="inlineStr">
        <is>
          <t>★★★</t>
        </is>
      </c>
      <c r="L327" t="inlineStr">
        <is>
          <t>未触达</t>
        </is>
      </c>
      <c r="M327" t="inlineStr">
        <is>
          <t>2026-09-22</t>
        </is>
      </c>
      <c r="N327" t="inlineStr"/>
      <c r="O327" t="inlineStr"/>
      <c r="P327" t="inlineStr"/>
      <c r="Q327" t="inlineStr">
        <is>
          <t>自有电商站 shop-audin.fr，可谈线上</t>
        </is>
      </c>
      <c r="R327" t="inlineStr">
        <is>
          <t>C</t>
        </is>
      </c>
      <c r="S3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7" t="inlineStr">
        <is>
          <t>C-206</t>
        </is>
      </c>
      <c r="U327" t="inlineStr">
        <is>
          <t>B下放·无邮箱（群发触达不到）</t>
        </is>
      </c>
      <c r="V327" t="inlineStr"/>
    </row>
    <row r="328">
      <c r="A328" t="inlineStr">
        <is>
          <t>Azurtem</t>
        </is>
      </c>
      <c r="B328" t="inlineStr">
        <is>
          <t>法国</t>
        </is>
      </c>
      <c r="C328" t="inlineStr"/>
      <c r="D328" t="inlineStr">
        <is>
          <t>shop.azurtem.com</t>
        </is>
      </c>
      <c r="E328" t="inlineStr">
        <is>
          <t>分销（MikroTik 官方）</t>
        </is>
      </c>
      <c r="F328" t="inlineStr">
        <is>
          <t>MikroTik（Master+VAD）</t>
        </is>
      </c>
      <c r="G328" t="inlineStr">
        <is>
          <t>否</t>
        </is>
      </c>
      <c r="H328" t="inlineStr">
        <is>
          <t>卖 MikroTik 但缺工业/ERPS/PoE++ → 用同价位工业线补他的产品缺口</t>
        </is>
      </c>
      <c r="I328" t="inlineStr">
        <is>
          <t>LT-IS6312XGP-4XS8GT</t>
        </is>
      </c>
      <c r="J328" t="inlineStr">
        <is>
          <t>+33 6 88 20 00 04 / shop@azurtem.com</t>
        </is>
      </c>
      <c r="K328" t="inlineStr">
        <is>
          <t>★★★</t>
        </is>
      </c>
      <c r="L328" t="inlineStr">
        <is>
          <t>未触达</t>
        </is>
      </c>
      <c r="M328" t="inlineStr">
        <is>
          <t>2026-09-22</t>
        </is>
      </c>
      <c r="N328" t="inlineStr"/>
      <c r="O328" t="inlineStr"/>
      <c r="P328" t="inlineStr"/>
      <c r="Q328" t="inlineStr">
        <is>
          <t>Nice</t>
        </is>
      </c>
      <c r="R328" t="inlineStr">
        <is>
          <t>B</t>
        </is>
      </c>
      <c r="S328" t="inlineStr">
        <is>
          <t>通用分销商信号，无差异化切入点，慢慢跟</t>
        </is>
      </c>
      <c r="T328" t="inlineStr">
        <is>
          <t>B-236</t>
        </is>
      </c>
      <c r="U328" t="inlineStr"/>
      <c r="V328" t="inlineStr"/>
    </row>
    <row r="329">
      <c r="A329" t="inlineStr">
        <is>
          <t>E.V.D.I.</t>
        </is>
      </c>
      <c r="B329" t="inlineStr">
        <is>
          <t>法国</t>
        </is>
      </c>
      <c r="C329" t="inlineStr"/>
      <c r="D329" t="inlineStr">
        <is>
          <t>evdi.fr</t>
        </is>
      </c>
      <c r="E329" t="inlineStr">
        <is>
          <t>分销（ComNet 授权）</t>
        </is>
      </c>
      <c r="F329" t="inlineStr">
        <is>
          <t>ComNet</t>
        </is>
      </c>
      <c r="G329" t="inlineStr">
        <is>
          <t>否</t>
        </is>
      </c>
      <c r="H329" t="inlineStr">
        <is>
          <t>CCTV/PoE 同规格第二供应源</t>
        </is>
      </c>
      <c r="I329" t="inlineStr">
        <is>
          <t>LT-IS6310GP-2GX8GT</t>
        </is>
      </c>
      <c r="J329" t="inlineStr">
        <is>
          <t>evdi.fr</t>
        </is>
      </c>
      <c r="K329" t="inlineStr">
        <is>
          <t>★★</t>
        </is>
      </c>
      <c r="L329" t="inlineStr">
        <is>
          <t>未触达</t>
        </is>
      </c>
      <c r="M329" t="inlineStr">
        <is>
          <t>2026-09-22</t>
        </is>
      </c>
      <c r="N329" t="inlineStr"/>
      <c r="O329" t="inlineStr"/>
      <c r="P329" t="inlineStr"/>
      <c r="Q329" t="inlineStr"/>
      <c r="R329" t="inlineStr">
        <is>
          <t>C</t>
        </is>
      </c>
      <c r="S32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29" t="inlineStr">
        <is>
          <t>C-207</t>
        </is>
      </c>
      <c r="U329" t="inlineStr">
        <is>
          <t>B下放·无邮箱（群发触达不到）</t>
        </is>
      </c>
      <c r="V329" t="inlineStr"/>
    </row>
    <row r="330">
      <c r="A330" t="inlineStr">
        <is>
          <t>EDOX SAS</t>
        </is>
      </c>
      <c r="B330" t="inlineStr">
        <is>
          <t>法国</t>
        </is>
      </c>
      <c r="C330" t="inlineStr"/>
      <c r="D330" t="inlineStr">
        <is>
          <t>edox.com</t>
        </is>
      </c>
      <c r="E330" t="inlineStr">
        <is>
          <t>分销（MikroTik 官方）</t>
        </is>
      </c>
      <c r="F330" t="inlineStr">
        <is>
          <t>MikroTik（Master）</t>
        </is>
      </c>
      <c r="G330" t="inlineStr">
        <is>
          <t>否</t>
        </is>
      </c>
      <c r="H330" t="inlineStr">
        <is>
          <t>MikroTik 官方分销，商用线可直接比价，工业线为零 → 新品类增量</t>
        </is>
      </c>
      <c r="I330" t="inlineStr">
        <is>
          <t>LT-S8328XG-4XS8GT-S</t>
        </is>
      </c>
      <c r="J330" t="inlineStr">
        <is>
          <t>03 89 310 620 / commercial@edox.com</t>
        </is>
      </c>
      <c r="K330" t="inlineStr">
        <is>
          <t>★★★</t>
        </is>
      </c>
      <c r="L330" t="inlineStr">
        <is>
          <t>未触达</t>
        </is>
      </c>
      <c r="M330" t="inlineStr">
        <is>
          <t>2026-09-22</t>
        </is>
      </c>
      <c r="N330" t="inlineStr"/>
      <c r="O330" t="inlineStr"/>
      <c r="P330" t="inlineStr"/>
      <c r="Q330" t="inlineStr">
        <is>
          <t>Burnhaupt le Haut</t>
        </is>
      </c>
      <c r="R330" t="inlineStr">
        <is>
          <t>B</t>
        </is>
      </c>
      <c r="S330" t="inlineStr">
        <is>
          <t>通用分销商信号，无差异化切入点，慢慢跟</t>
        </is>
      </c>
      <c r="T330" t="inlineStr">
        <is>
          <t>B-238</t>
        </is>
      </c>
      <c r="U330" t="inlineStr"/>
      <c r="V330" t="inlineStr"/>
    </row>
    <row r="331">
      <c r="A331" t="inlineStr">
        <is>
          <t>Equipements Scientifiques</t>
        </is>
      </c>
      <c r="B331" t="inlineStr">
        <is>
          <t>法国</t>
        </is>
      </c>
      <c r="C331" t="inlineStr"/>
      <c r="D331" t="inlineStr">
        <is>
          <t>es-france.com</t>
        </is>
      </c>
      <c r="E331" t="inlineStr">
        <is>
          <t>分销（ORing 授权）</t>
        </is>
      </c>
      <c r="F331" t="inlineStr">
        <is>
          <t>ORing</t>
        </is>
      </c>
      <c r="G331" t="inlineStr">
        <is>
          <t>否</t>
        </is>
      </c>
      <c r="H331" t="inlineStr">
        <is>
          <t>法国分销</t>
        </is>
      </c>
      <c r="I331" t="inlineStr">
        <is>
          <t>LT-IS6312XG-4XS8GT</t>
        </is>
      </c>
      <c r="J331" t="inlineStr">
        <is>
          <t>+33 1 47 95 99 81</t>
        </is>
      </c>
      <c r="K331" t="inlineStr">
        <is>
          <t>★★★</t>
        </is>
      </c>
      <c r="L331" t="inlineStr">
        <is>
          <t>未触达</t>
        </is>
      </c>
      <c r="M331" t="inlineStr">
        <is>
          <t>ORing经销商名录/2026-09</t>
        </is>
      </c>
      <c r="N331" t="inlineStr"/>
      <c r="O331" t="inlineStr"/>
      <c r="P331" t="inlineStr"/>
      <c r="Q3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31" t="inlineStr">
        <is>
          <t>C</t>
        </is>
      </c>
      <c r="S3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1" t="inlineStr">
        <is>
          <t>C-208</t>
        </is>
      </c>
      <c r="U331" t="inlineStr">
        <is>
          <t>B下放·无邮箱（群发触达不到）</t>
        </is>
      </c>
      <c r="V331" t="inlineStr"/>
    </row>
    <row r="332">
      <c r="A332" t="inlineStr">
        <is>
          <t>FGET International</t>
        </is>
      </c>
      <c r="B332" t="inlineStr">
        <is>
          <t>法国</t>
        </is>
      </c>
      <c r="C332" t="inlineStr">
        <is>
          <t>Genas (Lyon)</t>
        </is>
      </c>
      <c r="D332" t="inlineStr">
        <is>
          <t>fget.fr</t>
        </is>
      </c>
      <c r="E332" t="inlineStr">
        <is>
          <t>分销（HMS/N-Tron·Red Lion 渠道）</t>
        </is>
      </c>
      <c r="F332" t="inlineStr">
        <is>
          <t>N-Tron + Red Lion + Anybus + Ewon</t>
        </is>
      </c>
      <c r="G332" t="inlineStr">
        <is>
          <t>否</t>
        </is>
      </c>
      <c r="H332" t="inlineStr">
        <is>
          <t>卖 N-Tron/Red Lion 工业交换机（8口非网管约 $500+）→ 中性货同规格 LT-IS6310G 约 $91，做第二供应商，价差 5 倍</t>
        </is>
      </c>
      <c r="I332" t="inlineStr">
        <is>
          <t>LT-IS6312XGP-4XS8GT</t>
        </is>
      </c>
      <c r="J332" t="inlineStr">
        <is>
          <t>官网联系页（HMS 名录只公开地址与网址）</t>
        </is>
      </c>
      <c r="K332" t="inlineStr">
        <is>
          <t>★★★</t>
        </is>
      </c>
      <c r="L332" t="inlineStr">
        <is>
          <t>未触达</t>
        </is>
      </c>
      <c r="M332" t="inlineStr">
        <is>
          <t>2026-09-22</t>
        </is>
      </c>
      <c r="N332" t="inlineStr"/>
      <c r="O332" t="inlineStr"/>
      <c r="P332" t="inlineStr"/>
      <c r="Q332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332" t="inlineStr">
        <is>
          <t>C</t>
        </is>
      </c>
      <c r="S33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2" t="inlineStr">
        <is>
          <t>C-209</t>
        </is>
      </c>
      <c r="U332" t="inlineStr">
        <is>
          <t>B下放·无邮箱（群发触达不到）</t>
        </is>
      </c>
      <c r="V332" t="inlineStr"/>
    </row>
    <row r="333">
      <c r="A333" t="inlineStr">
        <is>
          <t>GROUPE CONVERGENCE SAS</t>
        </is>
      </c>
      <c r="B333" t="inlineStr">
        <is>
          <t>法国</t>
        </is>
      </c>
      <c r="C333" t="inlineStr"/>
      <c r="D333" t="inlineStr">
        <is>
          <t>convergence.direct</t>
        </is>
      </c>
      <c r="E333" t="inlineStr">
        <is>
          <t>分销（MikroTik 官方）</t>
        </is>
      </c>
      <c r="F333" t="inlineStr">
        <is>
          <t>MikroTik（Master+VAD）</t>
        </is>
      </c>
      <c r="G333" t="inlineStr">
        <is>
          <t>否</t>
        </is>
      </c>
      <c r="H333" t="inlineStr">
        <is>
          <t>卖 MikroTik 但缺工业/ERPS/PoE++ → 用同价位工业线补他的产品缺口</t>
        </is>
      </c>
      <c r="I333" t="inlineStr">
        <is>
          <t>LT-IS6312XG-4XS8GT</t>
        </is>
      </c>
      <c r="J333" t="inlineStr">
        <is>
          <t>05 49 67 30 75 / contact@convergence.direct</t>
        </is>
      </c>
      <c r="K333" t="inlineStr">
        <is>
          <t>★★★</t>
        </is>
      </c>
      <c r="L333" t="inlineStr">
        <is>
          <t>未触达</t>
        </is>
      </c>
      <c r="M333" t="inlineStr">
        <is>
          <t>2026-09-22</t>
        </is>
      </c>
      <c r="N333" t="inlineStr"/>
      <c r="O333" t="inlineStr"/>
      <c r="P333" t="inlineStr"/>
      <c r="Q333" t="inlineStr">
        <is>
          <t>Thouars</t>
        </is>
      </c>
      <c r="R333" t="inlineStr">
        <is>
          <t>B</t>
        </is>
      </c>
      <c r="S333" t="inlineStr">
        <is>
          <t>通用分销商信号，无差异化切入点，慢慢跟</t>
        </is>
      </c>
      <c r="T333" t="inlineStr">
        <is>
          <t>B-241</t>
        </is>
      </c>
      <c r="U333" t="inlineStr"/>
      <c r="V333" t="inlineStr"/>
    </row>
    <row r="334">
      <c r="A334" t="inlineStr">
        <is>
          <t>HD Technology</t>
        </is>
      </c>
      <c r="B334" t="inlineStr">
        <is>
          <t>法国</t>
        </is>
      </c>
      <c r="C334" t="inlineStr">
        <is>
          <t>Bron (Lyon)</t>
        </is>
      </c>
      <c r="D334" t="inlineStr">
        <is>
          <t>hdtechnology.com</t>
        </is>
      </c>
      <c r="E334" t="inlineStr">
        <is>
          <t>分销（HMS/N-Tron·Red Lion 渠道）</t>
        </is>
      </c>
      <c r="F334" t="inlineStr">
        <is>
          <t>N-Tron + Red Lion</t>
        </is>
      </c>
      <c r="G334" t="inlineStr">
        <is>
          <t>否</t>
        </is>
      </c>
      <c r="H334" t="inlineStr">
        <is>
          <t>卖 N-Tron/Red Lion 工业交换机（8口非网管约 $500+）→ 中性货同规格 LT-IS6310G 约 $91，做第二供应商，价差 5 倍</t>
        </is>
      </c>
      <c r="I334" t="inlineStr">
        <is>
          <t>LT-IS6310G</t>
        </is>
      </c>
      <c r="J334" t="inlineStr">
        <is>
          <t>官网联系页（HMS 名录只公开地址与网址）</t>
        </is>
      </c>
      <c r="K334" t="inlineStr">
        <is>
          <t>★★★</t>
        </is>
      </c>
      <c r="L334" t="inlineStr">
        <is>
          <t>未触达</t>
        </is>
      </c>
      <c r="M334" t="inlineStr">
        <is>
          <t>2026-09-22</t>
        </is>
      </c>
      <c r="N334" t="inlineStr"/>
      <c r="O334" t="inlineStr"/>
      <c r="P334" t="inlineStr"/>
      <c r="Q334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334" t="inlineStr">
        <is>
          <t>C</t>
        </is>
      </c>
      <c r="S33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34" t="inlineStr">
        <is>
          <t>C-210</t>
        </is>
      </c>
      <c r="U334" t="inlineStr">
        <is>
          <t>B下放·无邮箱（群发触达不到）</t>
        </is>
      </c>
      <c r="V334" t="inlineStr"/>
    </row>
    <row r="335">
      <c r="A335" t="inlineStr">
        <is>
          <t>Habib Kanso</t>
        </is>
      </c>
      <c r="B335" t="inlineStr">
        <is>
          <t>法国</t>
        </is>
      </c>
      <c r="C335" t="inlineStr">
        <is>
          <t>Toulouse</t>
        </is>
      </c>
      <c r="D335" t="inlineStr"/>
      <c r="E335" t="inlineStr">
        <is>
          <t>集成商/顾问（MikroTik 认证）</t>
        </is>
      </c>
      <c r="F335" t="inlineStr">
        <is>
          <t>MikroTik 认证顾问 MTCNA+MTCRE+MTCTCE+MTCINE+MTCSE</t>
        </is>
      </c>
      <c r="G335" t="inlineStr">
        <is>
          <t>否</t>
        </is>
      </c>
      <c r="H335" t="inlineStr">
        <is>
          <t>MikroTik 认证顾问：自己做方案/集成/运维并自行采购设备 → 用 ERPS/IGMP/VLAN/CLI/MIB 这类技术语言切入，不打价格战</t>
        </is>
      </c>
      <c r="I335" t="inlineStr">
        <is>
          <t>LT-S8328XGP-4XS24GT-S</t>
        </is>
      </c>
      <c r="J335" t="inlineStr">
        <is>
          <t>+33 7 55 26 73 43 / habibkanso@gmail.com</t>
        </is>
      </c>
      <c r="K335" t="inlineStr">
        <is>
          <t>★★★</t>
        </is>
      </c>
      <c r="L335" t="inlineStr">
        <is>
          <t>未触达</t>
        </is>
      </c>
      <c r="M335" t="inlineStr">
        <is>
          <t>2026-09-22</t>
        </is>
      </c>
      <c r="N335" t="inlineStr"/>
      <c r="O335" t="inlineStr"/>
      <c r="P335" t="inlineStr"/>
      <c r="Q335" t="inlineStr">
        <is>
          <t>自述专长为「企业核心网络架构与技术」，含 MTCINE（ISP 互联）+ MTCTCE（流量控制）+ MTCSE（安全）</t>
        </is>
      </c>
      <c r="R335" t="inlineStr">
        <is>
          <t>B</t>
        </is>
      </c>
      <c r="S335" t="inlineStr">
        <is>
          <t>有信号（ISP/骨干）但需先验证需求或联系人不具体</t>
        </is>
      </c>
      <c r="T335" t="inlineStr">
        <is>
          <t>B-243</t>
        </is>
      </c>
      <c r="U335" t="inlineStr"/>
      <c r="V335" t="inlineStr"/>
    </row>
    <row r="336">
      <c r="A336" t="inlineStr">
        <is>
          <t>Inmac Wstore</t>
        </is>
      </c>
      <c r="B336" t="inlineStr">
        <is>
          <t>法国</t>
        </is>
      </c>
      <c r="C336" t="inlineStr"/>
      <c r="D336" t="inlineStr">
        <is>
          <t>inmac-wstore.com</t>
        </is>
      </c>
      <c r="E336" t="inlineStr">
        <is>
          <t>B2B IT分销</t>
        </is>
      </c>
      <c r="F336" t="inlineStr">
        <is>
          <t>STONET/PLANET/TRENDnet/Moxa/StarTech</t>
        </is>
      </c>
      <c r="G336" t="inlineStr">
        <is>
          <t>否</t>
        </is>
      </c>
      <c r="H336" t="inlineStr">
        <is>
          <t>上架/中性货，SKU多</t>
        </is>
      </c>
      <c r="I336" t="inlineStr">
        <is>
          <t>LT-IS6312XGP-4XS8GT</t>
        </is>
      </c>
      <c r="J336" t="inlineStr">
        <is>
          <t>官网</t>
        </is>
      </c>
      <c r="K336" t="inlineStr">
        <is>
          <t>★★★</t>
        </is>
      </c>
      <c r="L336" t="inlineStr">
        <is>
          <t>未触达</t>
        </is>
      </c>
      <c r="M336" t="inlineStr">
        <is>
          <t>反向信号/2026-09</t>
        </is>
      </c>
      <c r="N336" t="inlineStr"/>
      <c r="O336" t="inlineStr"/>
      <c r="P336" t="inlineStr"/>
      <c r="Q336" t="inlineStr">
        <is>
          <t>Moxa EDS-G308 €298</t>
        </is>
      </c>
      <c r="R336" t="inlineStr">
        <is>
          <t>C</t>
        </is>
      </c>
      <c r="S33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36" t="inlineStr">
        <is>
          <t>C-211</t>
        </is>
      </c>
      <c r="U336" t="inlineStr">
        <is>
          <t>B下放·无邮箱（群发触达不到）</t>
        </is>
      </c>
      <c r="V336" t="inlineStr"/>
    </row>
    <row r="337">
      <c r="A337" t="inlineStr">
        <is>
          <t>MHz Wireless</t>
        </is>
      </c>
      <c r="B337" t="inlineStr">
        <is>
          <t>法国</t>
        </is>
      </c>
      <c r="C337" t="inlineStr"/>
      <c r="D337" t="inlineStr">
        <is>
          <t>mhzshop.com</t>
        </is>
      </c>
      <c r="E337" t="inlineStr">
        <is>
          <t>分销（MikroTik 官方）</t>
        </is>
      </c>
      <c r="F337" t="inlineStr">
        <is>
          <t>MikroTik（Master）</t>
        </is>
      </c>
      <c r="G337" t="inlineStr">
        <is>
          <t>否</t>
        </is>
      </c>
      <c r="H337" t="inlineStr">
        <is>
          <t>卖 MikroTik 但缺工业/ERPS/PoE++ → 用同价位工业线补他的产品缺口</t>
        </is>
      </c>
      <c r="I337" t="inlineStr">
        <is>
          <t>LT-IS6312XGP-4XS8GT</t>
        </is>
      </c>
      <c r="J337" t="inlineStr">
        <is>
          <t>+33 486688330 / info@mhzshop.com</t>
        </is>
      </c>
      <c r="K337" t="inlineStr">
        <is>
          <t>★★★</t>
        </is>
      </c>
      <c r="L337" t="inlineStr">
        <is>
          <t>未触达</t>
        </is>
      </c>
      <c r="M337" t="inlineStr">
        <is>
          <t>2026-09-22</t>
        </is>
      </c>
      <c r="N337" t="inlineStr"/>
      <c r="O337" t="inlineStr"/>
      <c r="P337" t="inlineStr"/>
      <c r="Q337" t="inlineStr">
        <is>
          <t>Marquixanes；WISP 渠道</t>
        </is>
      </c>
      <c r="R337" t="inlineStr">
        <is>
          <t>B</t>
        </is>
      </c>
      <c r="S337" t="inlineStr">
        <is>
          <t>有信号（ISP/骨干）但需先验证需求或联系人不具体</t>
        </is>
      </c>
      <c r="T337" t="inlineStr">
        <is>
          <t>B-245</t>
        </is>
      </c>
      <c r="U337" t="inlineStr"/>
      <c r="V337" t="inlineStr"/>
    </row>
    <row r="338">
      <c r="A338" t="inlineStr">
        <is>
          <t>NETCOM GROUP</t>
        </is>
      </c>
      <c r="B338" t="inlineStr">
        <is>
          <t>法国</t>
        </is>
      </c>
      <c r="C338" t="inlineStr"/>
      <c r="D338" t="inlineStr">
        <is>
          <t>netcom-group.fr</t>
        </is>
      </c>
      <c r="E338" t="inlineStr">
        <is>
          <t>分销（MikroTik 官方）</t>
        </is>
      </c>
      <c r="F338" t="inlineStr">
        <is>
          <t>MikroTik（Reseller）</t>
        </is>
      </c>
      <c r="G338" t="inlineStr">
        <is>
          <t>否</t>
        </is>
      </c>
      <c r="H338" t="inlineStr">
        <is>
          <t>卖 MikroTik 但缺工业/ERPS/PoE++ → 用同价位工业线补他的产品缺口</t>
        </is>
      </c>
      <c r="I338" t="inlineStr">
        <is>
          <t>LT-IS6312XG-4XS8GT</t>
        </is>
      </c>
      <c r="J338" t="inlineStr">
        <is>
          <t>+33 826 10 56 05 / h.matri@netcom-group.fr</t>
        </is>
      </c>
      <c r="K338" t="inlineStr">
        <is>
          <t>★★</t>
        </is>
      </c>
      <c r="L338" t="inlineStr">
        <is>
          <t>未触达</t>
        </is>
      </c>
      <c r="M338" t="inlineStr">
        <is>
          <t>2026-09-22</t>
        </is>
      </c>
      <c r="N338" t="inlineStr"/>
      <c r="O338" t="inlineStr"/>
      <c r="P338" t="inlineStr"/>
      <c r="Q338" t="inlineStr">
        <is>
          <t>Pantin</t>
        </is>
      </c>
      <c r="R338" t="inlineStr">
        <is>
          <t>B</t>
        </is>
      </c>
      <c r="S338" t="inlineStr">
        <is>
          <t>通用分销商信号，无差异化切入点，慢慢跟</t>
        </is>
      </c>
      <c r="T338" t="inlineStr">
        <is>
          <t>B-246</t>
        </is>
      </c>
      <c r="U338" t="inlineStr"/>
      <c r="V338" t="inlineStr"/>
    </row>
    <row r="339">
      <c r="A339" t="inlineStr">
        <is>
          <t>NFTECH - WIFI France</t>
        </is>
      </c>
      <c r="B339" t="inlineStr">
        <is>
          <t>法国</t>
        </is>
      </c>
      <c r="C339" t="inlineStr"/>
      <c r="D339" t="inlineStr">
        <is>
          <t>wifi-france.com</t>
        </is>
      </c>
      <c r="E339" t="inlineStr">
        <is>
          <t>分销（MikroTik 官方）</t>
        </is>
      </c>
      <c r="F339" t="inlineStr">
        <is>
          <t>MikroTik（Reseller）</t>
        </is>
      </c>
      <c r="G339" t="inlineStr">
        <is>
          <t>否</t>
        </is>
      </c>
      <c r="H339" t="inlineStr">
        <is>
          <t>卖 MikroTik 但缺工业/ERPS/PoE++ → 用同价位工业线补他的产品缺口</t>
        </is>
      </c>
      <c r="I339" t="inlineStr">
        <is>
          <t>LT-IS6312XG-4XS8GT</t>
        </is>
      </c>
      <c r="J339" t="inlineStr">
        <is>
          <t>+33 3 72 39 08 63 / contact@wifi-france.com</t>
        </is>
      </c>
      <c r="K339" t="inlineStr">
        <is>
          <t>★★</t>
        </is>
      </c>
      <c r="L339" t="inlineStr">
        <is>
          <t>未触达</t>
        </is>
      </c>
      <c r="M339" t="inlineStr">
        <is>
          <t>2026-09-22</t>
        </is>
      </c>
      <c r="N339" t="inlineStr"/>
      <c r="O339" t="inlineStr"/>
      <c r="P339" t="inlineStr"/>
      <c r="Q339" t="inlineStr">
        <is>
          <t>Metz</t>
        </is>
      </c>
      <c r="R339" t="inlineStr">
        <is>
          <t>B</t>
        </is>
      </c>
      <c r="S339" t="inlineStr">
        <is>
          <t>通用分销商信号，无差异化切入点，慢慢跟</t>
        </is>
      </c>
      <c r="T339" t="inlineStr">
        <is>
          <t>B-247</t>
        </is>
      </c>
      <c r="U339" t="inlineStr"/>
      <c r="V339" t="inlineStr"/>
    </row>
    <row r="340">
      <c r="A340" t="inlineStr">
        <is>
          <t>Osmozis S.A.</t>
        </is>
      </c>
      <c r="B340" t="inlineStr">
        <is>
          <t>法国</t>
        </is>
      </c>
      <c r="C340" t="inlineStr"/>
      <c r="D340" t="inlineStr">
        <is>
          <t>osmozis.com</t>
        </is>
      </c>
      <c r="E340" t="inlineStr">
        <is>
          <t>分销（MikroTik 官方）</t>
        </is>
      </c>
      <c r="F340" t="inlineStr">
        <is>
          <t>MikroTik（Master）</t>
        </is>
      </c>
      <c r="G340" t="inlineStr">
        <is>
          <t>否</t>
        </is>
      </c>
      <c r="H340" t="inlineStr">
        <is>
          <t>卖 MikroTik 但缺工业/ERPS/PoE++ → 用同价位工业线补他的产品缺口</t>
        </is>
      </c>
      <c r="I340" t="inlineStr">
        <is>
          <t>LT-IS6312XG-4XS8GT</t>
        </is>
      </c>
      <c r="J340" t="inlineStr">
        <is>
          <t>+33 4 11 93 27 51 / support@osmozis.com</t>
        </is>
      </c>
      <c r="K340" t="inlineStr">
        <is>
          <t>★★</t>
        </is>
      </c>
      <c r="L340" t="inlineStr">
        <is>
          <t>未触达</t>
        </is>
      </c>
      <c r="M340" t="inlineStr">
        <is>
          <t>2026-09-22</t>
        </is>
      </c>
      <c r="N340" t="inlineStr"/>
      <c r="O340" t="inlineStr"/>
      <c r="P340" t="inlineStr"/>
      <c r="Q340" t="inlineStr">
        <is>
          <t>Clapiers</t>
        </is>
      </c>
      <c r="R340" t="inlineStr">
        <is>
          <t>B</t>
        </is>
      </c>
      <c r="S340" t="inlineStr">
        <is>
          <t>通用分销商信号，无差异化切入点，慢慢跟</t>
        </is>
      </c>
      <c r="T340" t="inlineStr">
        <is>
          <t>B-248</t>
        </is>
      </c>
      <c r="U340" t="inlineStr"/>
      <c r="V340" t="inlineStr"/>
    </row>
    <row r="341">
      <c r="A341" t="inlineStr">
        <is>
          <t>Phoebe IDF</t>
        </is>
      </c>
      <c r="B341" t="inlineStr">
        <is>
          <t>法国</t>
        </is>
      </c>
      <c r="C341" t="inlineStr"/>
      <c r="D341" t="inlineStr">
        <is>
          <t>distribution.phoebe.fr</t>
        </is>
      </c>
      <c r="E341" t="inlineStr">
        <is>
          <t>分销（ORing 授权）</t>
        </is>
      </c>
      <c r="F341" t="inlineStr">
        <is>
          <t>ORing</t>
        </is>
      </c>
      <c r="G341" t="inlineStr">
        <is>
          <t>否</t>
        </is>
      </c>
      <c r="H341" t="inlineStr">
        <is>
          <t>法国分销（distribution 部门）</t>
        </is>
      </c>
      <c r="I341" t="inlineStr">
        <is>
          <t>LT-IS6312XGP-4XS8GT</t>
        </is>
      </c>
      <c r="J341" t="inlineStr">
        <is>
          <t>+33 1 30 67 69 15</t>
        </is>
      </c>
      <c r="K341" t="inlineStr">
        <is>
          <t>★★★</t>
        </is>
      </c>
      <c r="L341" t="inlineStr">
        <is>
          <t>未触达</t>
        </is>
      </c>
      <c r="M341" t="inlineStr">
        <is>
          <t>ORing经销商名录/2026-09</t>
        </is>
      </c>
      <c r="N341" t="inlineStr"/>
      <c r="O341" t="inlineStr"/>
      <c r="P341" t="inlineStr"/>
      <c r="Q34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1" t="inlineStr">
        <is>
          <t>C</t>
        </is>
      </c>
      <c r="S3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1" t="inlineStr">
        <is>
          <t>C-212</t>
        </is>
      </c>
      <c r="U341" t="inlineStr">
        <is>
          <t>B下放·无邮箱（群发触达不到）</t>
        </is>
      </c>
      <c r="V341" t="inlineStr"/>
    </row>
    <row r="342">
      <c r="A342" t="inlineStr">
        <is>
          <t>QL3D</t>
        </is>
      </c>
      <c r="B342" t="inlineStr">
        <is>
          <t>法国</t>
        </is>
      </c>
      <c r="C342" t="inlineStr">
        <is>
          <t>Bazainville (Yvelines)</t>
        </is>
      </c>
      <c r="D342" t="inlineStr">
        <is>
          <t>ql3d.fr</t>
        </is>
      </c>
      <c r="E342" t="inlineStr">
        <is>
          <t>分销（HMS/N-Tron·Red Lion 渠道）</t>
        </is>
      </c>
      <c r="F342" t="inlineStr">
        <is>
          <t>N-Tron + Red Lion + Anybus + Ewon + Ixxat</t>
        </is>
      </c>
      <c r="G342" t="inlineStr">
        <is>
          <t>否</t>
        </is>
      </c>
      <c r="H342" t="inlineStr">
        <is>
          <t>卖 N-Tron/Red Lion 工业交换机（8口非网管约 $500+）→ 中性货同规格 LT-IS6310G 约 $91，做第二供应商，价差 5 倍</t>
        </is>
      </c>
      <c r="I342" t="inlineStr">
        <is>
          <t>LT-IS6312XG-4XS8GT</t>
        </is>
      </c>
      <c r="J342" t="inlineStr">
        <is>
          <t>官网联系页（HMS 名录只公开地址与网址）</t>
        </is>
      </c>
      <c r="K342" t="inlineStr">
        <is>
          <t>★★★</t>
        </is>
      </c>
      <c r="L342" t="inlineStr">
        <is>
          <t>未触达</t>
        </is>
      </c>
      <c r="M342" t="inlineStr">
        <is>
          <t>2026-09-22</t>
        </is>
      </c>
      <c r="N342" t="inlineStr"/>
      <c r="O342" t="inlineStr"/>
      <c r="P342" t="inlineStr"/>
      <c r="Q342" t="inlineStr">
        <is>
          <t>HMS 全品牌</t>
        </is>
      </c>
      <c r="R342" t="inlineStr">
        <is>
          <t>C</t>
        </is>
      </c>
      <c r="S3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42" t="inlineStr">
        <is>
          <t>C-213</t>
        </is>
      </c>
      <c r="U342" t="inlineStr">
        <is>
          <t>B下放·无邮箱（群发触达不到）</t>
        </is>
      </c>
      <c r="V342" t="inlineStr"/>
    </row>
    <row r="343">
      <c r="A343" t="inlineStr">
        <is>
          <t>Redvise</t>
        </is>
      </c>
      <c r="B343" t="inlineStr">
        <is>
          <t>法国</t>
        </is>
      </c>
      <c r="C343" t="inlineStr"/>
      <c r="D343" t="inlineStr">
        <is>
          <t>redvi.se</t>
        </is>
      </c>
      <c r="E343" t="inlineStr">
        <is>
          <t>分销（MikroTik 官方）</t>
        </is>
      </c>
      <c r="F343" t="inlineStr">
        <is>
          <t>MikroTik（Reseller）</t>
        </is>
      </c>
      <c r="G343" t="inlineStr">
        <is>
          <t>否</t>
        </is>
      </c>
      <c r="H343" t="inlineStr">
        <is>
          <t>卖 MikroTik 但缺工业/ERPS/PoE++ → 用同价位工业线补他的产品缺口</t>
        </is>
      </c>
      <c r="I343" t="inlineStr">
        <is>
          <t>LT-IS6312XG-4XS8GT</t>
        </is>
      </c>
      <c r="J343" t="inlineStr">
        <is>
          <t>+33 7 66 00 07 63 / shop@redvi.se</t>
        </is>
      </c>
      <c r="K343" t="inlineStr">
        <is>
          <t>★★</t>
        </is>
      </c>
      <c r="L343" t="inlineStr">
        <is>
          <t>未触达</t>
        </is>
      </c>
      <c r="M343" t="inlineStr">
        <is>
          <t>2026-09-22</t>
        </is>
      </c>
      <c r="N343" t="inlineStr"/>
      <c r="O343" t="inlineStr"/>
      <c r="P343" t="inlineStr"/>
      <c r="Q343" t="inlineStr">
        <is>
          <t>Paris（瑞典系）</t>
        </is>
      </c>
      <c r="R343" t="inlineStr">
        <is>
          <t>B</t>
        </is>
      </c>
      <c r="S343" t="inlineStr">
        <is>
          <t>通用分销商信号，无差异化切入点，慢慢跟</t>
        </is>
      </c>
      <c r="T343" t="inlineStr">
        <is>
          <t>B-251</t>
        </is>
      </c>
      <c r="U343" t="inlineStr"/>
      <c r="V343" t="inlineStr"/>
    </row>
    <row r="344">
      <c r="A344" t="inlineStr">
        <is>
          <t>SEWAN</t>
        </is>
      </c>
      <c r="B344" t="inlineStr">
        <is>
          <t>法国</t>
        </is>
      </c>
      <c r="C344" t="inlineStr"/>
      <c r="D344" t="inlineStr">
        <is>
          <t>sewan.fr</t>
        </is>
      </c>
      <c r="E344" t="inlineStr">
        <is>
          <t>分销（MikroTik 官方）</t>
        </is>
      </c>
      <c r="F344" t="inlineStr">
        <is>
          <t>MikroTik（Master）</t>
        </is>
      </c>
      <c r="G344" t="inlineStr">
        <is>
          <t>否</t>
        </is>
      </c>
      <c r="H344" t="inlineStr">
        <is>
          <t>MikroTik 官方分销，商用线可直接比价，工业线为零 → 新品类增量</t>
        </is>
      </c>
      <c r="I344" t="inlineStr">
        <is>
          <t>LT-S8328XG-4XS8GT-S</t>
        </is>
      </c>
      <c r="J344" t="inlineStr">
        <is>
          <t>+33 1 76 21 00 00 / contact@sewan.fr</t>
        </is>
      </c>
      <c r="K344" t="inlineStr">
        <is>
          <t>★★★</t>
        </is>
      </c>
      <c r="L344" t="inlineStr">
        <is>
          <t>未触达</t>
        </is>
      </c>
      <c r="M344" t="inlineStr">
        <is>
          <t>2026-09-22</t>
        </is>
      </c>
      <c r="N344" t="inlineStr"/>
      <c r="O344" t="inlineStr"/>
      <c r="P344" t="inlineStr"/>
      <c r="Q344" t="inlineStr">
        <is>
          <t>Paris；运营商级分销</t>
        </is>
      </c>
      <c r="R344" t="inlineStr">
        <is>
          <t>B</t>
        </is>
      </c>
      <c r="S344" t="inlineStr">
        <is>
          <t>有信号（ISP/骨干）但需先验证需求或联系人不具体</t>
        </is>
      </c>
      <c r="T344" t="inlineStr">
        <is>
          <t>B-252</t>
        </is>
      </c>
      <c r="U344" t="inlineStr"/>
      <c r="V344" t="inlineStr"/>
    </row>
    <row r="345">
      <c r="A345" t="inlineStr">
        <is>
          <t>Sphinx France</t>
        </is>
      </c>
      <c r="B345" t="inlineStr">
        <is>
          <t>法国</t>
        </is>
      </c>
      <c r="C345" t="inlineStr"/>
      <c r="D345" t="inlineStr">
        <is>
          <t>sphinxfrance.com</t>
        </is>
      </c>
      <c r="E345" t="inlineStr">
        <is>
          <t>专业分销</t>
        </is>
      </c>
      <c r="F345" t="inlineStr">
        <is>
          <t>Moxa/Advantech/Perle/Terz</t>
        </is>
      </c>
      <c r="G345" t="inlineStr">
        <is>
          <t>否</t>
        </is>
      </c>
      <c r="H345" t="inlineStr">
        <is>
          <t>第二供应源，48h交付+技术支持</t>
        </is>
      </c>
      <c r="I345" t="inlineStr">
        <is>
          <t>LT-IS6328XGP-4XS24GT</t>
        </is>
      </c>
      <c r="J345" t="inlineStr">
        <is>
          <t>官网</t>
        </is>
      </c>
      <c r="K345" t="inlineStr">
        <is>
          <t>★★★</t>
        </is>
      </c>
      <c r="L345" t="inlineStr">
        <is>
          <t>未触达</t>
        </is>
      </c>
      <c r="M345" t="inlineStr">
        <is>
          <t>反向信号/2026-09</t>
        </is>
      </c>
      <c r="N345" t="inlineStr"/>
      <c r="O345" t="inlineStr"/>
      <c r="P345" t="inlineStr"/>
      <c r="Q345" t="inlineStr">
        <is>
          <t>【待补】本行由分销商名录批量导入，三星依据仅为渠道等级（专业分销）与「Moxa/Advantech/Perle/Terz」，尚无人工核实。建议先查证其是否已有工业交换机 / PoE++ 产品线，再定切入型号；【2026-09-22 补】经 Moxa 渠道名录确认同时为 Moxa 法国官方分销商（NPort 串口服务器、工业交换机），主打 OT 网络与 IEC 62443-4-2 SL2 合规。</t>
        </is>
      </c>
      <c r="R345" t="inlineStr">
        <is>
          <t>C</t>
        </is>
      </c>
      <c r="S3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5" t="inlineStr">
        <is>
          <t>C-214</t>
        </is>
      </c>
      <c r="U345" t="inlineStr">
        <is>
          <t>B下放·无邮箱（群发触达不到）</t>
        </is>
      </c>
      <c r="V345" t="inlineStr"/>
    </row>
    <row r="346">
      <c r="A346" t="inlineStr">
        <is>
          <t>VODENN SAS</t>
        </is>
      </c>
      <c r="B346" t="inlineStr">
        <is>
          <t>法国</t>
        </is>
      </c>
      <c r="C346" t="inlineStr"/>
      <c r="D346" t="inlineStr">
        <is>
          <t>vodenn.fr</t>
        </is>
      </c>
      <c r="E346" t="inlineStr">
        <is>
          <t>分销（MikroTik 官方）</t>
        </is>
      </c>
      <c r="F346" t="inlineStr">
        <is>
          <t>MikroTik（Master）</t>
        </is>
      </c>
      <c r="G346" t="inlineStr">
        <is>
          <t>否</t>
        </is>
      </c>
      <c r="H346" t="inlineStr">
        <is>
          <t>vodenn.fr/swos 专页 → SwOS 机型主推者，最懂你的对标产品</t>
        </is>
      </c>
      <c r="I346" t="inlineStr">
        <is>
          <t>LT-S8328XG-4XS8GT-S</t>
        </is>
      </c>
      <c r="J346" t="inlineStr">
        <is>
          <t>+33 6 37 71 53 66 / contact@vodenn.fr</t>
        </is>
      </c>
      <c r="K346" t="inlineStr">
        <is>
          <t>★★★</t>
        </is>
      </c>
      <c r="L346" t="inlineStr">
        <is>
          <t>未触达</t>
        </is>
      </c>
      <c r="M346" t="inlineStr">
        <is>
          <t>2026-09-22</t>
        </is>
      </c>
      <c r="N346" t="inlineStr"/>
      <c r="O346" t="inlineStr"/>
      <c r="P346" t="inlineStr"/>
      <c r="Q346" t="inlineStr">
        <is>
          <t>La Farlède</t>
        </is>
      </c>
      <c r="R346" t="inlineStr">
        <is>
          <t>B</t>
        </is>
      </c>
      <c r="S346" t="inlineStr">
        <is>
          <t>通用分销商信号，无差异化切入点，慢慢跟</t>
        </is>
      </c>
      <c r="T346" t="inlineStr">
        <is>
          <t>B-254</t>
        </is>
      </c>
      <c r="U346" t="inlineStr"/>
      <c r="V346" t="inlineStr"/>
    </row>
    <row r="347">
      <c r="A347" t="inlineStr">
        <is>
          <t>Aenet.pl（alfaextranet.pl）</t>
        </is>
      </c>
      <c r="B347" t="inlineStr">
        <is>
          <t>波兰</t>
        </is>
      </c>
      <c r="C347" t="inlineStr"/>
      <c r="D347" t="inlineStr">
        <is>
          <t>alfaextranet.pl</t>
        </is>
      </c>
      <c r="E347" t="inlineStr">
        <is>
          <t>分销（MikroTik 官方）</t>
        </is>
      </c>
      <c r="F347" t="inlineStr">
        <is>
          <t>MikroTik（Master）</t>
        </is>
      </c>
      <c r="G347" t="inlineStr">
        <is>
          <t>否</t>
        </is>
      </c>
      <c r="H347" t="inlineStr">
        <is>
          <t>卖 MikroTik 但缺工业/ERPS/PoE++ → 用同价位工业线补他的产品缺口</t>
        </is>
      </c>
      <c r="I347" t="inlineStr">
        <is>
          <t>LT-IS6312XGP-4XS8GT</t>
        </is>
      </c>
      <c r="J347" t="inlineStr">
        <is>
          <t>+48 608 376 100 / mciesielski@alfaextranet.pl</t>
        </is>
      </c>
      <c r="K347" t="inlineStr">
        <is>
          <t>★★</t>
        </is>
      </c>
      <c r="L347" t="inlineStr">
        <is>
          <t>未触达</t>
        </is>
      </c>
      <c r="M347" t="inlineStr">
        <is>
          <t>2026-09-22</t>
        </is>
      </c>
      <c r="N347" t="inlineStr"/>
      <c r="O347" t="inlineStr"/>
      <c r="P347" t="inlineStr"/>
      <c r="Q347" t="inlineStr">
        <is>
          <t>Częstochowa</t>
        </is>
      </c>
      <c r="R347" t="inlineStr">
        <is>
          <t>B</t>
        </is>
      </c>
      <c r="S347" t="inlineStr">
        <is>
          <t>通用分销商信号，无差异化切入点，慢慢跟</t>
        </is>
      </c>
      <c r="T347" t="inlineStr">
        <is>
          <t>B-255</t>
        </is>
      </c>
      <c r="U347" t="inlineStr"/>
      <c r="V347" t="inlineStr"/>
    </row>
    <row r="348">
      <c r="A348" t="inlineStr">
        <is>
          <t>Atel Electronics</t>
        </is>
      </c>
      <c r="B348" t="inlineStr">
        <is>
          <t>波兰</t>
        </is>
      </c>
      <c r="C348" t="inlineStr"/>
      <c r="D348" t="inlineStr">
        <is>
          <t>atel.com.pl</t>
        </is>
      </c>
      <c r="E348" t="inlineStr">
        <is>
          <t>分销（ORing 授权）</t>
        </is>
      </c>
      <c r="F348" t="inlineStr">
        <is>
          <t>ORing</t>
        </is>
      </c>
      <c r="G348" t="inlineStr">
        <is>
          <t>否</t>
        </is>
      </c>
      <c r="H348" t="inlineStr">
        <is>
          <t>波兰 T1，第二供应源</t>
        </is>
      </c>
      <c r="I348" t="inlineStr">
        <is>
          <t>LT-IS6312XGP-4XS8GT</t>
        </is>
      </c>
      <c r="J348" t="inlineStr">
        <is>
          <t>+48 77 455 60 76</t>
        </is>
      </c>
      <c r="K348" t="inlineStr">
        <is>
          <t>★★★</t>
        </is>
      </c>
      <c r="L348" t="inlineStr">
        <is>
          <t>未触达</t>
        </is>
      </c>
      <c r="M348" t="inlineStr">
        <is>
          <t>ORing经销商名录/2026-09</t>
        </is>
      </c>
      <c r="N348" t="inlineStr"/>
      <c r="O348" t="inlineStr"/>
      <c r="P348" t="inlineStr"/>
      <c r="Q34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48" t="inlineStr">
        <is>
          <t>C</t>
        </is>
      </c>
      <c r="S34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48" t="inlineStr">
        <is>
          <t>C-215</t>
        </is>
      </c>
      <c r="U348" t="inlineStr">
        <is>
          <t>B下放·无邮箱（群发触达不到）</t>
        </is>
      </c>
      <c r="V348" t="inlineStr"/>
    </row>
    <row r="349">
      <c r="A349" t="inlineStr">
        <is>
          <t>Bartłomiej Maliszewski</t>
        </is>
      </c>
      <c r="B349" t="inlineStr">
        <is>
          <t>波兰</t>
        </is>
      </c>
      <c r="C349" t="inlineStr">
        <is>
          <t>Maciejów</t>
        </is>
      </c>
      <c r="D349" t="inlineStr">
        <is>
          <t>maliszewski.pro</t>
        </is>
      </c>
      <c r="E349" t="inlineStr">
        <is>
          <t>集成商/顾问（MikroTik 认证）</t>
        </is>
      </c>
      <c r="F349" t="inlineStr">
        <is>
          <t>MikroTik 认证顾问 MTCNA+MTCRE+MTCSE+MTCEWE</t>
        </is>
      </c>
      <c r="G349" t="inlineStr">
        <is>
          <t>否</t>
        </is>
      </c>
      <c r="H349" t="inlineStr">
        <is>
          <t>MikroTik 认证顾问：自己做方案/集成/运维并自行采购设备 → 用 ERPS/IGMP/VLAN/CLI/MIB 这类技术语言切入，不打价格战</t>
        </is>
      </c>
      <c r="I349" t="inlineStr">
        <is>
          <t>LT-S8328XGP-4XS24GT-S</t>
        </is>
      </c>
      <c r="J349" t="inlineStr">
        <is>
          <t>+48 881 447 860 / bartlomiej@maliszewski.pro</t>
        </is>
      </c>
      <c r="K349" t="inlineStr">
        <is>
          <t>★★★</t>
        </is>
      </c>
      <c r="L349" t="inlineStr">
        <is>
          <t>未触达</t>
        </is>
      </c>
      <c r="M349" t="inlineStr">
        <is>
          <t>2026-09-22</t>
        </is>
      </c>
      <c r="N349" t="inlineStr"/>
      <c r="O349" t="inlineStr"/>
      <c r="P349" t="inlineStr"/>
      <c r="Q349" t="inlineStr">
        <is>
          <t>8 年网络经验，其中 5 年在 ISP；为服务商和企业搭建 RouterOS 环境</t>
        </is>
      </c>
      <c r="R349" t="inlineStr">
        <is>
          <t>B</t>
        </is>
      </c>
      <c r="S349" t="inlineStr">
        <is>
          <t>有信号（ISP/骨干）但需先验证需求或联系人不具体</t>
        </is>
      </c>
      <c r="T349" t="inlineStr">
        <is>
          <t>B-257</t>
        </is>
      </c>
      <c r="U349" t="inlineStr"/>
      <c r="V349" t="inlineStr"/>
    </row>
    <row r="350">
      <c r="A350" t="inlineStr">
        <is>
          <t>Batna（anteny24.pl）</t>
        </is>
      </c>
      <c r="B350" t="inlineStr">
        <is>
          <t>波兰</t>
        </is>
      </c>
      <c r="C350" t="inlineStr"/>
      <c r="D350" t="inlineStr">
        <is>
          <t>batna24.com</t>
        </is>
      </c>
      <c r="E350" t="inlineStr">
        <is>
          <t>分销（MikroTik 官方）</t>
        </is>
      </c>
      <c r="F350" t="inlineStr">
        <is>
          <t>MikroTik（Master+VAD）</t>
        </is>
      </c>
      <c r="G350" t="inlineStr">
        <is>
          <t>否</t>
        </is>
      </c>
      <c r="H350" t="inlineStr">
        <is>
          <t>卖 MikroTik 但缺工业/ERPS/PoE++ → 用同价位工业线补他的产品缺口</t>
        </is>
      </c>
      <c r="I350" t="inlineStr">
        <is>
          <t>LT-IS6312XGP-4XS8GT</t>
        </is>
      </c>
      <c r="J350" t="inlineStr">
        <is>
          <t>+48 34 3610 448 / lukasz@anteny24.pl</t>
        </is>
      </c>
      <c r="K350" t="inlineStr">
        <is>
          <t>★★★</t>
        </is>
      </c>
      <c r="L350" t="inlineStr">
        <is>
          <t>未触达</t>
        </is>
      </c>
      <c r="M350" t="inlineStr">
        <is>
          <t>2026-09-22</t>
        </is>
      </c>
      <c r="N350" t="inlineStr"/>
      <c r="O350" t="inlineStr"/>
      <c r="P350" t="inlineStr"/>
      <c r="Q350" t="inlineStr">
        <is>
          <t>Częstochowa；WISP 渠道</t>
        </is>
      </c>
      <c r="R350" t="inlineStr">
        <is>
          <t>B</t>
        </is>
      </c>
      <c r="S350" t="inlineStr">
        <is>
          <t>有信号（ISP/骨干）但需先验证需求或联系人不具体</t>
        </is>
      </c>
      <c r="T350" t="inlineStr">
        <is>
          <t>B-258</t>
        </is>
      </c>
      <c r="U350" t="inlineStr"/>
      <c r="V350" t="inlineStr"/>
    </row>
    <row r="351">
      <c r="A351" t="inlineStr">
        <is>
          <t>CDR P.S.A.</t>
        </is>
      </c>
      <c r="B351" t="inlineStr">
        <is>
          <t>波兰</t>
        </is>
      </c>
      <c r="C351" t="inlineStr"/>
      <c r="D351" t="inlineStr">
        <is>
          <t>cdr.pl</t>
        </is>
      </c>
      <c r="E351" t="inlineStr">
        <is>
          <t>分销（MikroTik 官方）</t>
        </is>
      </c>
      <c r="F351" t="inlineStr">
        <is>
          <t>MikroTik（Master+VAD）</t>
        </is>
      </c>
      <c r="G351" t="inlineStr">
        <is>
          <t>否</t>
        </is>
      </c>
      <c r="H351" t="inlineStr">
        <is>
          <t>MikroTik 官方分销，商用线可直接比价，工业线为零 → 新品类增量</t>
        </is>
      </c>
      <c r="I351" t="inlineStr">
        <is>
          <t>LT-S8328XG-4XS8GT-S</t>
        </is>
      </c>
      <c r="J351" t="inlineStr">
        <is>
          <t>+48 327505000 / sales@cdr.pl</t>
        </is>
      </c>
      <c r="K351" t="inlineStr">
        <is>
          <t>★★★</t>
        </is>
      </c>
      <c r="L351" t="inlineStr">
        <is>
          <t>未触达</t>
        </is>
      </c>
      <c r="M351" t="inlineStr">
        <is>
          <t>2026-09-22</t>
        </is>
      </c>
      <c r="N351" t="inlineStr"/>
      <c r="O351" t="inlineStr"/>
      <c r="P351" t="inlineStr"/>
      <c r="Q351" t="inlineStr">
        <is>
          <t>Żory</t>
        </is>
      </c>
      <c r="R351" t="inlineStr">
        <is>
          <t>B</t>
        </is>
      </c>
      <c r="S351" t="inlineStr">
        <is>
          <t>通用分销商信号，无差异化切入点，慢慢跟</t>
        </is>
      </c>
      <c r="T351" t="inlineStr">
        <is>
          <t>B-259</t>
        </is>
      </c>
      <c r="U351" t="inlineStr"/>
      <c r="V351" t="inlineStr"/>
    </row>
    <row r="352">
      <c r="A352" t="inlineStr">
        <is>
          <t>Cyberbajt</t>
        </is>
      </c>
      <c r="B352" t="inlineStr">
        <is>
          <t>波兰</t>
        </is>
      </c>
      <c r="C352" t="inlineStr"/>
      <c r="D352" t="inlineStr">
        <is>
          <t>cyberbajt.pl</t>
        </is>
      </c>
      <c r="E352" t="inlineStr">
        <is>
          <t>集成/分销</t>
        </is>
      </c>
      <c r="F352" t="inlineStr">
        <is>
          <t>Moxa 工业交换机</t>
        </is>
      </c>
      <c r="G352" t="inlineStr">
        <is>
          <t>否</t>
        </is>
      </c>
      <c r="H352" t="inlineStr">
        <is>
          <t>波兰T1，用LT-IS打价格</t>
        </is>
      </c>
      <c r="I352" t="inlineStr">
        <is>
          <t>LT-IS6312XGP-4XS8GT</t>
        </is>
      </c>
      <c r="J352" t="inlineStr">
        <is>
          <t>官网kontakt</t>
        </is>
      </c>
      <c r="K352" t="inlineStr">
        <is>
          <t>★★★</t>
        </is>
      </c>
      <c r="L352" t="inlineStr">
        <is>
          <t>未触达</t>
        </is>
      </c>
      <c r="M352" t="inlineStr">
        <is>
          <t>反向信号/2026-09</t>
        </is>
      </c>
      <c r="N352" t="inlineStr"/>
      <c r="O352" t="inlineStr"/>
      <c r="P352" t="inlineStr"/>
      <c r="Q352" t="inlineStr">
        <is>
          <t>【待补】本行由分销商名录批量导入，三星依据仅为渠道等级（集成/分销）与「Moxa 工业交换机」，尚无人工核实。建议先查证其是否已有工业交换机 / PoE++ 产品线，再定切入型号</t>
        </is>
      </c>
      <c r="R352" t="inlineStr">
        <is>
          <t>C</t>
        </is>
      </c>
      <c r="S3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52" t="inlineStr">
        <is>
          <t>C-216</t>
        </is>
      </c>
      <c r="U352" t="inlineStr">
        <is>
          <t>B下放·无邮箱（群发触达不到）</t>
        </is>
      </c>
      <c r="V352" t="inlineStr"/>
    </row>
    <row r="353">
      <c r="A353" t="inlineStr">
        <is>
          <t>Eptimo</t>
        </is>
      </c>
      <c r="B353" t="inlineStr">
        <is>
          <t>波兰</t>
        </is>
      </c>
      <c r="C353" t="inlineStr"/>
      <c r="D353" t="inlineStr">
        <is>
          <t>eptimo.pl</t>
        </is>
      </c>
      <c r="E353" t="inlineStr">
        <is>
          <t>分销（MikroTik 官方）</t>
        </is>
      </c>
      <c r="F353" t="inlineStr">
        <is>
          <t>MikroTik（Master Distributor）</t>
        </is>
      </c>
      <c r="G353" t="inlineStr">
        <is>
          <t>否</t>
        </is>
      </c>
      <c r="H353" t="inlineStr">
        <is>
          <t>MikroTik 官方分销，商用线可直接比价，工业线为零 → 新品类增量</t>
        </is>
      </c>
      <c r="I353" t="inlineStr">
        <is>
          <t>LT-S8328XG-4XS8GT-S</t>
        </is>
      </c>
      <c r="J353" t="inlineStr">
        <is>
          <t>+48 22 123 69 00</t>
        </is>
      </c>
      <c r="K353" t="inlineStr">
        <is>
          <t>★★★</t>
        </is>
      </c>
      <c r="L353" t="inlineStr">
        <is>
          <t>未触达</t>
        </is>
      </c>
      <c r="M353" t="inlineStr">
        <is>
          <t>2026-09-22</t>
        </is>
      </c>
      <c r="N353" t="inlineStr"/>
      <c r="O353" t="inlineStr"/>
      <c r="P353" t="inlineStr"/>
      <c r="Q353" t="inlineStr">
        <is>
          <t>Warszawa</t>
        </is>
      </c>
      <c r="R353" t="inlineStr">
        <is>
          <t>C</t>
        </is>
      </c>
      <c r="S35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53" t="inlineStr">
        <is>
          <t>C-217</t>
        </is>
      </c>
      <c r="U353" t="inlineStr">
        <is>
          <t>B下放·无邮箱（群发触达不到）</t>
        </is>
      </c>
      <c r="V353" t="inlineStr"/>
    </row>
    <row r="354">
      <c r="A354" t="inlineStr">
        <is>
          <t>FIBERM sp. z o.o.</t>
        </is>
      </c>
      <c r="B354" t="inlineStr">
        <is>
          <t>波兰</t>
        </is>
      </c>
      <c r="C354" t="inlineStr"/>
      <c r="D354" t="inlineStr">
        <is>
          <t>fiberm.pl</t>
        </is>
      </c>
      <c r="E354" t="inlineStr">
        <is>
          <t>分销（MikroTik 官方）</t>
        </is>
      </c>
      <c r="F354" t="inlineStr">
        <is>
          <t>MikroTik（Reseller）</t>
        </is>
      </c>
      <c r="G354" t="inlineStr">
        <is>
          <t>否</t>
        </is>
      </c>
      <c r="H354" t="inlineStr">
        <is>
          <t>卖 MikroTik 但缺工业/ERPS/PoE++ → 用同价位工业线补他的产品缺口</t>
        </is>
      </c>
      <c r="I354" t="inlineStr">
        <is>
          <t>LT-IS6312XG-4XS8GT</t>
        </is>
      </c>
      <c r="J354" t="inlineStr">
        <is>
          <t>+48 509-198-885 / sales@fiberm.pl</t>
        </is>
      </c>
      <c r="K354" t="inlineStr">
        <is>
          <t>★★</t>
        </is>
      </c>
      <c r="L354" t="inlineStr">
        <is>
          <t>未触达</t>
        </is>
      </c>
      <c r="M354" t="inlineStr">
        <is>
          <t>2026-09-22</t>
        </is>
      </c>
      <c r="N354" t="inlineStr"/>
      <c r="O354" t="inlineStr"/>
      <c r="P354" t="inlineStr"/>
      <c r="Q354" t="inlineStr">
        <is>
          <t>Kłobuck</t>
        </is>
      </c>
      <c r="R354" t="inlineStr">
        <is>
          <t>B</t>
        </is>
      </c>
      <c r="S354" t="inlineStr">
        <is>
          <t>通用分销商信号，无差异化切入点，慢慢跟</t>
        </is>
      </c>
      <c r="T354" t="inlineStr">
        <is>
          <t>B-262</t>
        </is>
      </c>
      <c r="U354" t="inlineStr"/>
      <c r="V354" t="inlineStr"/>
    </row>
    <row r="355">
      <c r="A355" t="inlineStr">
        <is>
          <t>FYR-SYSTEMS Sp. z o.o.</t>
        </is>
      </c>
      <c r="B355" t="inlineStr">
        <is>
          <t>波兰</t>
        </is>
      </c>
      <c r="C355" t="inlineStr"/>
      <c r="D355" t="inlineStr">
        <is>
          <t>fyr-systems.pl</t>
        </is>
      </c>
      <c r="E355" t="inlineStr">
        <is>
          <t>分销（MikroTik 官方）</t>
        </is>
      </c>
      <c r="F355" t="inlineStr">
        <is>
          <t>MikroTik（Reseller）</t>
        </is>
      </c>
      <c r="G355" t="inlineStr">
        <is>
          <t>否</t>
        </is>
      </c>
      <c r="H355" t="inlineStr">
        <is>
          <t>卖 MikroTik 但缺工业/ERPS/PoE++ → 用同价位工业线补他的产品缺口</t>
        </is>
      </c>
      <c r="I355" t="inlineStr">
        <is>
          <t>LT-IS6312XGP-4XS8GT</t>
        </is>
      </c>
      <c r="J355" t="inlineStr">
        <is>
          <t>+48 537 307 562 / mikrotik@fyr-systems.pl</t>
        </is>
      </c>
      <c r="K355" t="inlineStr">
        <is>
          <t>★★</t>
        </is>
      </c>
      <c r="L355" t="inlineStr">
        <is>
          <t>未触达</t>
        </is>
      </c>
      <c r="M355" t="inlineStr">
        <is>
          <t>2026-09-22</t>
        </is>
      </c>
      <c r="N355" t="inlineStr"/>
      <c r="O355" t="inlineStr"/>
      <c r="P355" t="inlineStr"/>
      <c r="Q355" t="inlineStr">
        <is>
          <t>Warszawa</t>
        </is>
      </c>
      <c r="R355" t="inlineStr">
        <is>
          <t>B</t>
        </is>
      </c>
      <c r="S355" t="inlineStr">
        <is>
          <t>通用分销商信号，无差异化切入点，慢慢跟</t>
        </is>
      </c>
      <c r="T355" t="inlineStr">
        <is>
          <t>B-263</t>
        </is>
      </c>
      <c r="U355" t="inlineStr"/>
      <c r="V355" t="inlineStr"/>
    </row>
    <row r="356">
      <c r="A356" t="inlineStr">
        <is>
          <t>Grzegorz Śliwiński</t>
        </is>
      </c>
      <c r="B356" t="inlineStr">
        <is>
          <t>波兰</t>
        </is>
      </c>
      <c r="C356" t="inlineStr">
        <is>
          <t>Szczecin</t>
        </is>
      </c>
      <c r="D356" t="inlineStr"/>
      <c r="E356" t="inlineStr">
        <is>
          <t>集成商/顾问（MikroTik 认证）</t>
        </is>
      </c>
      <c r="F356" t="inlineStr">
        <is>
          <t>MikroTik 认证顾问 MTCNA+MTCRE</t>
        </is>
      </c>
      <c r="G356" t="inlineStr">
        <is>
          <t>否</t>
        </is>
      </c>
      <c r="H356" t="inlineStr">
        <is>
          <t>MikroTik 认证顾问：自己做方案/集成/运维并自行采购设备 → 用 ERPS/IGMP/VLAN/CLI/MIB 这类技术语言切入，不打价格战</t>
        </is>
      </c>
      <c r="I356" t="inlineStr">
        <is>
          <t>LT-S8328XG-4XS24GT-S</t>
        </is>
      </c>
      <c r="J356" t="inlineStr">
        <is>
          <t>gsliwinski@zut.edu.pl（西波美拉尼亚理工大学）</t>
        </is>
      </c>
      <c r="K356" t="inlineStr">
        <is>
          <t>★★</t>
        </is>
      </c>
      <c r="L356" t="inlineStr">
        <is>
          <t>未触达</t>
        </is>
      </c>
      <c r="M356" t="inlineStr">
        <is>
          <t>2026-09-22</t>
        </is>
      </c>
      <c r="N356" t="inlineStr"/>
      <c r="O356" t="inlineStr"/>
      <c r="P356" t="inlineStr"/>
      <c r="Q356" t="inlineStr">
        <is>
          <t>26 年网络经验 + 高校教师，带过数千学生；运营 MikroTik Academy，做 MTCNA 培训 → 影响力型，可发展成渠道/讲师合作</t>
        </is>
      </c>
      <c r="R356" t="inlineStr">
        <is>
          <t>B</t>
        </is>
      </c>
      <c r="S356" t="inlineStr">
        <is>
          <t>通用分销商信号，无差异化切入点，慢慢跟</t>
        </is>
      </c>
      <c r="T356" t="inlineStr">
        <is>
          <t>B-264</t>
        </is>
      </c>
      <c r="U356" t="inlineStr"/>
      <c r="V356" t="inlineStr"/>
    </row>
    <row r="357">
      <c r="A357" t="inlineStr">
        <is>
          <t>Kacper Kisielewski</t>
        </is>
      </c>
      <c r="B357" t="inlineStr">
        <is>
          <t>波兰</t>
        </is>
      </c>
      <c r="C357" t="inlineStr">
        <is>
          <t>Nałęczów</t>
        </is>
      </c>
      <c r="D357" t="inlineStr"/>
      <c r="E357" t="inlineStr">
        <is>
          <t>集成商/顾问（MikroTik 认证）</t>
        </is>
      </c>
      <c r="F357" t="inlineStr">
        <is>
          <t>MikroTik 认证顾问 MTCNA+MTCRE</t>
        </is>
      </c>
      <c r="G357" t="inlineStr">
        <is>
          <t>否</t>
        </is>
      </c>
      <c r="H357" t="inlineStr">
        <is>
          <t>MikroTik 认证顾问：自己做方案/集成/运维并自行采购设备 → 用 ERPS/IGMP/VLAN/CLI/MIB 这类技术语言切入，不打价格战</t>
        </is>
      </c>
      <c r="I357" t="inlineStr">
        <is>
          <t>LT-S8328XG-4XS24GT-S</t>
        </is>
      </c>
      <c r="J357" t="inlineStr">
        <is>
          <t>+48 669 271 768 / kacperxawer.123@gmail.com</t>
        </is>
      </c>
      <c r="K357" t="inlineStr">
        <is>
          <t>★</t>
        </is>
      </c>
      <c r="L357" t="inlineStr">
        <is>
          <t>未触达</t>
        </is>
      </c>
      <c r="M357" t="inlineStr">
        <is>
          <t>2026-09-22</t>
        </is>
      </c>
      <c r="N357" t="inlineStr"/>
      <c r="O357" t="inlineStr"/>
      <c r="P357" t="inlineStr"/>
      <c r="Q357" t="inlineStr">
        <is>
          <t>个人邮箱（gmail），可能是个人兼职 → 低优先</t>
        </is>
      </c>
      <c r="R357" t="inlineStr">
        <is>
          <t>B</t>
        </is>
      </c>
      <c r="S357" t="inlineStr">
        <is>
          <t>通用分销商信号，无差异化切入点，慢慢跟</t>
        </is>
      </c>
      <c r="T357" t="inlineStr">
        <is>
          <t>B-265</t>
        </is>
      </c>
      <c r="U357" t="inlineStr"/>
      <c r="V357" t="inlineStr"/>
    </row>
    <row r="358">
      <c r="A358" t="inlineStr">
        <is>
          <t>Konsorcjum ATS</t>
        </is>
      </c>
      <c r="B358" t="inlineStr">
        <is>
          <t>波兰</t>
        </is>
      </c>
      <c r="C358" t="inlineStr"/>
      <c r="D358" t="inlineStr">
        <is>
          <t>wirelesslan.pl</t>
        </is>
      </c>
      <c r="E358" t="inlineStr">
        <is>
          <t>分销（MikroTik 官方）</t>
        </is>
      </c>
      <c r="F358" t="inlineStr">
        <is>
          <t>MikroTik（Reseller）</t>
        </is>
      </c>
      <c r="G358" t="inlineStr">
        <is>
          <t>否</t>
        </is>
      </c>
      <c r="H358" t="inlineStr">
        <is>
          <t>卖 MikroTik 但缺工业/ERPS/PoE++ → 用同价位工业线补他的产品缺口</t>
        </is>
      </c>
      <c r="I358" t="inlineStr">
        <is>
          <t>LT-IS6312XG-4XS8GT</t>
        </is>
      </c>
      <c r="J358" t="inlineStr">
        <is>
          <t>+48 48-366-00-30 / sklep@wirelesslan.pl</t>
        </is>
      </c>
      <c r="K358" t="inlineStr">
        <is>
          <t>★★</t>
        </is>
      </c>
      <c r="L358" t="inlineStr">
        <is>
          <t>未触达</t>
        </is>
      </c>
      <c r="M358" t="inlineStr">
        <is>
          <t>2026-09-22</t>
        </is>
      </c>
      <c r="N358" t="inlineStr"/>
      <c r="O358" t="inlineStr"/>
      <c r="P358" t="inlineStr"/>
      <c r="Q358" t="inlineStr">
        <is>
          <t>Radom</t>
        </is>
      </c>
      <c r="R358" t="inlineStr">
        <is>
          <t>B</t>
        </is>
      </c>
      <c r="S358" t="inlineStr">
        <is>
          <t>通用分销商信号，无差异化切入点，慢慢跟</t>
        </is>
      </c>
      <c r="T358" t="inlineStr">
        <is>
          <t>B-266</t>
        </is>
      </c>
      <c r="U358" t="inlineStr"/>
      <c r="V358" t="inlineStr"/>
    </row>
    <row r="359">
      <c r="A359" t="inlineStr">
        <is>
          <t>Krzysztof Dudek / Innored</t>
        </is>
      </c>
      <c r="B359" t="inlineStr">
        <is>
          <t>波兰</t>
        </is>
      </c>
      <c r="C359" t="inlineStr">
        <is>
          <t>Jelcz-Laskowice</t>
        </is>
      </c>
      <c r="D359" t="inlineStr">
        <is>
          <t>innored.pl</t>
        </is>
      </c>
      <c r="E359" t="inlineStr">
        <is>
          <t>集成商/顾问（MikroTik 认证）</t>
        </is>
      </c>
      <c r="F359" t="inlineStr">
        <is>
          <t>MikroTik 认证顾问 MTCNA+MTCSE</t>
        </is>
      </c>
      <c r="G359" t="inlineStr">
        <is>
          <t>否</t>
        </is>
      </c>
      <c r="H359" t="inlineStr">
        <is>
          <t>MikroTik 认证顾问：自己做方案/集成/运维并自行采购设备 → 用 ERPS/IGMP/VLAN/CLI/MIB 这类技术语言切入，不打价格战</t>
        </is>
      </c>
      <c r="I359" t="inlineStr">
        <is>
          <t>LT-S8328XGP-4XS24GT-S</t>
        </is>
      </c>
      <c r="J359" t="inlineStr">
        <is>
          <t>+48 533 376 662 / krzysztof.d@adar.net.pl</t>
        </is>
      </c>
      <c r="K359" t="inlineStr">
        <is>
          <t>★★★</t>
        </is>
      </c>
      <c r="L359" t="inlineStr">
        <is>
          <t>未触达</t>
        </is>
      </c>
      <c r="M359" t="inlineStr">
        <is>
          <t>2026-09-22</t>
        </is>
      </c>
      <c r="N359" t="inlineStr"/>
      <c r="O359" t="inlineStr"/>
      <c r="P359" t="inlineStr"/>
      <c r="Q359" t="inlineStr">
        <is>
          <t>含 MTCSE（安全）</t>
        </is>
      </c>
      <c r="R359" t="inlineStr">
        <is>
          <t>B</t>
        </is>
      </c>
      <c r="S359" t="inlineStr">
        <is>
          <t>通用分销商信号，无差异化切入点，慢慢跟</t>
        </is>
      </c>
      <c r="T359" t="inlineStr">
        <is>
          <t>B-267</t>
        </is>
      </c>
      <c r="U359" t="inlineStr"/>
      <c r="V359" t="inlineStr"/>
    </row>
    <row r="360">
      <c r="A360" t="inlineStr">
        <is>
          <t>Maritex Leszek Łosin Sp.j.</t>
        </is>
      </c>
      <c r="B360" t="inlineStr">
        <is>
          <t>波兰</t>
        </is>
      </c>
      <c r="C360" t="inlineStr"/>
      <c r="D360" t="inlineStr">
        <is>
          <t>maritex.eu</t>
        </is>
      </c>
      <c r="E360" t="inlineStr">
        <is>
          <t>分销（ORing 授权）</t>
        </is>
      </c>
      <c r="F360" t="inlineStr">
        <is>
          <t>ORing</t>
        </is>
      </c>
      <c r="G360" t="inlineStr">
        <is>
          <t>否</t>
        </is>
      </c>
      <c r="H360" t="inlineStr">
        <is>
          <t>波兰工业/电信分销</t>
        </is>
      </c>
      <c r="I360" t="inlineStr">
        <is>
          <t>LT-IS6320G-4GX16GT-D</t>
        </is>
      </c>
      <c r="J360" t="inlineStr">
        <is>
          <t>+48 58 622 89 00</t>
        </is>
      </c>
      <c r="K360" t="inlineStr">
        <is>
          <t>★★★</t>
        </is>
      </c>
      <c r="L360" t="inlineStr">
        <is>
          <t>未触达</t>
        </is>
      </c>
      <c r="M360" t="inlineStr">
        <is>
          <t>ORing经销商名录/2026-09</t>
        </is>
      </c>
      <c r="N360" t="inlineStr"/>
      <c r="O360" t="inlineStr"/>
      <c r="P360" t="inlineStr"/>
      <c r="Q360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60" t="inlineStr">
        <is>
          <t>C</t>
        </is>
      </c>
      <c r="S3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60" t="inlineStr">
        <is>
          <t>C-218</t>
        </is>
      </c>
      <c r="U360" t="inlineStr">
        <is>
          <t>B下放·无邮箱（群发触达不到）</t>
        </is>
      </c>
      <c r="V360" t="inlineStr"/>
    </row>
    <row r="361">
      <c r="A361" t="inlineStr">
        <is>
          <t>Piotr Maślak</t>
        </is>
      </c>
      <c r="B361" t="inlineStr">
        <is>
          <t>波兰</t>
        </is>
      </c>
      <c r="C361" t="inlineStr">
        <is>
          <t>Warszawa</t>
        </is>
      </c>
      <c r="D361" t="inlineStr">
        <is>
          <t>maslak.waw.pl</t>
        </is>
      </c>
      <c r="E361" t="inlineStr">
        <is>
          <t>集成商/顾问（MikroTik 认证）</t>
        </is>
      </c>
      <c r="F361" t="inlineStr">
        <is>
          <t>MikroTik 认证顾问 MTCNA+MTCRE+MTCINE</t>
        </is>
      </c>
      <c r="G361" t="inlineStr">
        <is>
          <t>否</t>
        </is>
      </c>
      <c r="H361" t="inlineStr">
        <is>
          <t>MikroTik 认证顾问：自己做方案/集成/运维并自行采购设备 → 用 ERPS/IGMP/VLAN/CLI/MIB 这类技术语言切入，不打价格战</t>
        </is>
      </c>
      <c r="I361" t="inlineStr">
        <is>
          <t>LT-S8328XG-4XS24GT-S</t>
        </is>
      </c>
      <c r="J361" t="inlineStr">
        <is>
          <t>+48 606 225 270 / piotr@maslak.waw.pl</t>
        </is>
      </c>
      <c r="K361" t="inlineStr">
        <is>
          <t>★★</t>
        </is>
      </c>
      <c r="L361" t="inlineStr">
        <is>
          <t>未触达</t>
        </is>
      </c>
      <c r="M361" t="inlineStr">
        <is>
          <t>2026-09-22</t>
        </is>
      </c>
      <c r="N361" t="inlineStr"/>
      <c r="O361" t="inlineStr"/>
      <c r="P361" t="inlineStr"/>
      <c r="Q361" t="inlineStr">
        <is>
          <t>含 MTCINE（ISP 互联）→ 运营商方向</t>
        </is>
      </c>
      <c r="R361" t="inlineStr">
        <is>
          <t>B</t>
        </is>
      </c>
      <c r="S361" t="inlineStr">
        <is>
          <t>通用分销商信号，无差异化切入点，慢慢跟</t>
        </is>
      </c>
      <c r="T361" t="inlineStr">
        <is>
          <t>B-269</t>
        </is>
      </c>
      <c r="U361" t="inlineStr"/>
      <c r="V361" t="inlineStr"/>
    </row>
    <row r="362">
      <c r="A362" t="inlineStr">
        <is>
          <t>Piotr Poniatowski</t>
        </is>
      </c>
      <c r="B362" t="inlineStr">
        <is>
          <t>波兰</t>
        </is>
      </c>
      <c r="C362" t="inlineStr">
        <is>
          <t>Miedzyrzec Podlaski</t>
        </is>
      </c>
      <c r="D362" t="inlineStr">
        <is>
          <t>poniatowski.pl</t>
        </is>
      </c>
      <c r="E362" t="inlineStr">
        <is>
          <t>集成商/顾问（MikroTik 认证）</t>
        </is>
      </c>
      <c r="F362" t="inlineStr">
        <is>
          <t>MikroTik 认证顾问 MTCNA+MTCRE+MTCUME+MTCSWE</t>
        </is>
      </c>
      <c r="G362" t="inlineStr">
        <is>
          <t>否</t>
        </is>
      </c>
      <c r="H362" t="inlineStr">
        <is>
          <t>MikroTik 认证顾问：自己做方案/集成/运维并自行采购设备 → 用 ERPS/IGMP/VLAN/CLI/MIB 这类技术语言切入，不打价格战</t>
        </is>
      </c>
      <c r="I362" t="inlineStr">
        <is>
          <t>LT-S8328XG-4XS24GT-S</t>
        </is>
      </c>
      <c r="J362" t="inlineStr">
        <is>
          <t>+48 501 337 777 / piotr@poniatowski.pl</t>
        </is>
      </c>
      <c r="K362" t="inlineStr">
        <is>
          <t>★★</t>
        </is>
      </c>
      <c r="L362" t="inlineStr">
        <is>
          <t>未触达</t>
        </is>
      </c>
      <c r="M362" t="inlineStr">
        <is>
          <t>2026-09-22</t>
        </is>
      </c>
      <c r="N362" t="inlineStr"/>
      <c r="O362" t="inlineStr"/>
      <c r="P362" t="inlineStr"/>
      <c r="Q362" t="inlineStr">
        <is>
          <t>含 MTCUME（用户管理）→ Hotspot/PPPoE 方向</t>
        </is>
      </c>
      <c r="R362" t="inlineStr">
        <is>
          <t>B</t>
        </is>
      </c>
      <c r="S362" t="inlineStr">
        <is>
          <t>有信号（交换认证 MTCSWE）但需先验证需求或联系人不具体</t>
        </is>
      </c>
      <c r="T362" t="inlineStr">
        <is>
          <t>B-270</t>
        </is>
      </c>
      <c r="U362" t="inlineStr"/>
      <c r="V362" t="inlineStr"/>
    </row>
    <row r="363">
      <c r="A363" t="inlineStr">
        <is>
          <t>Tekniska Polska</t>
        </is>
      </c>
      <c r="B363" t="inlineStr">
        <is>
          <t>波兰</t>
        </is>
      </c>
      <c r="C363" t="inlineStr"/>
      <c r="D363" t="inlineStr">
        <is>
          <t>tekniska.pl</t>
        </is>
      </c>
      <c r="E363" t="inlineStr">
        <is>
          <t>分销（Westermo Gold）</t>
        </is>
      </c>
      <c r="F363" t="inlineStr">
        <is>
          <t>Westermo</t>
        </is>
      </c>
      <c r="G363" t="inlineStr">
        <is>
          <t>否</t>
        </is>
      </c>
      <c r="H363" t="inlineStr">
        <is>
          <t>金牌分销 + 波兰 T1，体量大</t>
        </is>
      </c>
      <c r="I363" t="inlineStr">
        <is>
          <t>LT-IS6320G-4GX16GT-D</t>
        </is>
      </c>
      <c r="J363" t="inlineStr">
        <is>
          <t>+48 32 331 110 608</t>
        </is>
      </c>
      <c r="K363" t="inlineStr">
        <is>
          <t>★★★</t>
        </is>
      </c>
      <c r="L363" t="inlineStr">
        <is>
          <t>未触达</t>
        </is>
      </c>
      <c r="M363" t="inlineStr">
        <is>
          <t>2026-09-22</t>
        </is>
      </c>
      <c r="N363" t="inlineStr"/>
      <c r="O363" t="inlineStr"/>
      <c r="P363" t="inlineStr"/>
      <c r="Q363" t="inlineStr">
        <is>
          <t>波兰 T1</t>
        </is>
      </c>
      <c r="R363" t="inlineStr">
        <is>
          <t>C</t>
        </is>
      </c>
      <c r="S3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3" t="inlineStr">
        <is>
          <t>C-219</t>
        </is>
      </c>
      <c r="U363" t="inlineStr">
        <is>
          <t>B下放·无邮箱（群发触达不到）</t>
        </is>
      </c>
      <c r="V363" t="inlineStr"/>
    </row>
    <row r="364">
      <c r="A364" t="inlineStr">
        <is>
          <t>WISP.PL</t>
        </is>
      </c>
      <c r="B364" t="inlineStr">
        <is>
          <t>波兰</t>
        </is>
      </c>
      <c r="C364" t="inlineStr"/>
      <c r="D364" t="inlineStr">
        <is>
          <t>wisp.pl</t>
        </is>
      </c>
      <c r="E364" t="inlineStr">
        <is>
          <t>分销（MikroTik 官方）</t>
        </is>
      </c>
      <c r="F364" t="inlineStr">
        <is>
          <t>MikroTik（Master+VAD）</t>
        </is>
      </c>
      <c r="G364" t="inlineStr">
        <is>
          <t>否</t>
        </is>
      </c>
      <c r="H364" t="inlineStr">
        <is>
          <t>卖 MikroTik 但缺工业/ERPS/PoE++ → 用同价位工业线补他的产品缺口</t>
        </is>
      </c>
      <c r="I364" t="inlineStr">
        <is>
          <t>LT-IS6312XGP-4XS8GT</t>
        </is>
      </c>
      <c r="J364" t="inlineStr">
        <is>
          <t>+48 32 721 86 72 / sklep@wisp.pl</t>
        </is>
      </c>
      <c r="K364" t="inlineStr">
        <is>
          <t>★★★</t>
        </is>
      </c>
      <c r="L364" t="inlineStr">
        <is>
          <t>未触达</t>
        </is>
      </c>
      <c r="M364" t="inlineStr">
        <is>
          <t>2026-09-22</t>
        </is>
      </c>
      <c r="N364" t="inlineStr"/>
      <c r="O364" t="inlineStr"/>
      <c r="P364" t="inlineStr"/>
      <c r="Q364" t="inlineStr">
        <is>
          <t>Bełk</t>
        </is>
      </c>
      <c r="R364" t="inlineStr">
        <is>
          <t>B</t>
        </is>
      </c>
      <c r="S364" t="inlineStr">
        <is>
          <t>有信号（ISP/骨干）但需先验证需求或联系人不具体</t>
        </is>
      </c>
      <c r="T364" t="inlineStr">
        <is>
          <t>B-272</t>
        </is>
      </c>
      <c r="U364" t="inlineStr"/>
      <c r="V364" t="inlineStr"/>
    </row>
    <row r="365">
      <c r="A365" t="inlineStr">
        <is>
          <t>WiFi24</t>
        </is>
      </c>
      <c r="B365" t="inlineStr">
        <is>
          <t>波兰</t>
        </is>
      </c>
      <c r="C365" t="inlineStr"/>
      <c r="D365" t="inlineStr">
        <is>
          <t>store.wifi24.pl</t>
        </is>
      </c>
      <c r="E365" t="inlineStr">
        <is>
          <t>分销（MikroTik 官方）</t>
        </is>
      </c>
      <c r="F365" t="inlineStr">
        <is>
          <t>MikroTik（Master）</t>
        </is>
      </c>
      <c r="G365" t="inlineStr">
        <is>
          <t>否</t>
        </is>
      </c>
      <c r="H365" t="inlineStr">
        <is>
          <t>卖 MikroTik 但缺工业/ERPS/PoE++ → 用同价位工业线补他的产品缺口</t>
        </is>
      </c>
      <c r="I365" t="inlineStr">
        <is>
          <t>LT-IS6312XG-4XS8GT</t>
        </is>
      </c>
      <c r="J365" t="inlineStr">
        <is>
          <t>+48 503 00 24 24 / mbuchatskyy@wifi24.pl</t>
        </is>
      </c>
      <c r="K365" t="inlineStr">
        <is>
          <t>★★</t>
        </is>
      </c>
      <c r="L365" t="inlineStr">
        <is>
          <t>未触达</t>
        </is>
      </c>
      <c r="M365" t="inlineStr">
        <is>
          <t>2026-09-22</t>
        </is>
      </c>
      <c r="N365" t="inlineStr"/>
      <c r="O365" t="inlineStr"/>
      <c r="P365" t="inlineStr"/>
      <c r="Q365" t="inlineStr">
        <is>
          <t>Przemyśl</t>
        </is>
      </c>
      <c r="R365" t="inlineStr">
        <is>
          <t>B</t>
        </is>
      </c>
      <c r="S365" t="inlineStr">
        <is>
          <t>通用分销商信号，无差异化切入点，慢慢跟</t>
        </is>
      </c>
      <c r="T365" t="inlineStr">
        <is>
          <t>B-273</t>
        </is>
      </c>
      <c r="U365" t="inlineStr"/>
      <c r="V365" t="inlineStr"/>
    </row>
    <row r="366">
      <c r="A366" t="inlineStr">
        <is>
          <t>eltrox.pl</t>
        </is>
      </c>
      <c r="B366" t="inlineStr">
        <is>
          <t>波兰</t>
        </is>
      </c>
      <c r="C366" t="inlineStr"/>
      <c r="D366" t="inlineStr">
        <is>
          <t>eltrox.pl</t>
        </is>
      </c>
      <c r="E366" t="inlineStr">
        <is>
          <t>分销（MikroTik 官方）</t>
        </is>
      </c>
      <c r="F366" t="inlineStr">
        <is>
          <t>MikroTik（Master）</t>
        </is>
      </c>
      <c r="G366" t="inlineStr">
        <is>
          <t>否</t>
        </is>
      </c>
      <c r="H366" t="inlineStr">
        <is>
          <t>卖 MikroTik 但缺工业/ERPS/PoE++ → 用同价位工业线补他的产品缺口</t>
        </is>
      </c>
      <c r="I366" t="inlineStr">
        <is>
          <t>LT-IS6312XG-4XS8GT</t>
        </is>
      </c>
      <c r="J366" t="inlineStr">
        <is>
          <t>34 333 57 04 / sklep@eltrox.pl</t>
        </is>
      </c>
      <c r="K366" t="inlineStr">
        <is>
          <t>★★</t>
        </is>
      </c>
      <c r="L366" t="inlineStr">
        <is>
          <t>未触达</t>
        </is>
      </c>
      <c r="M366" t="inlineStr">
        <is>
          <t>2026-09-22</t>
        </is>
      </c>
      <c r="N366" t="inlineStr"/>
      <c r="O366" t="inlineStr"/>
      <c r="P366" t="inlineStr"/>
      <c r="Q366" t="inlineStr">
        <is>
          <t>Częstochowa</t>
        </is>
      </c>
      <c r="R366" t="inlineStr">
        <is>
          <t>B</t>
        </is>
      </c>
      <c r="S366" t="inlineStr">
        <is>
          <t>通用分销商信号，无差异化切入点，慢慢跟</t>
        </is>
      </c>
      <c r="T366" t="inlineStr">
        <is>
          <t>B-274</t>
        </is>
      </c>
      <c r="U366" t="inlineStr"/>
      <c r="V366" t="inlineStr"/>
    </row>
    <row r="367">
      <c r="A367" t="inlineStr">
        <is>
          <t>iWave Group S.A.</t>
        </is>
      </c>
      <c r="B367" t="inlineStr">
        <is>
          <t>波兰</t>
        </is>
      </c>
      <c r="C367" t="inlineStr"/>
      <c r="D367" t="inlineStr">
        <is>
          <t>mikrotik.org.pl</t>
        </is>
      </c>
      <c r="E367" t="inlineStr">
        <is>
          <t>分销（MikroTik 官方）</t>
        </is>
      </c>
      <c r="F367" t="inlineStr">
        <is>
          <t>MikroTik（Reseller）</t>
        </is>
      </c>
      <c r="G367" t="inlineStr">
        <is>
          <t>否</t>
        </is>
      </c>
      <c r="H367" t="inlineStr">
        <is>
          <t>域名 mikrotik.org.pl → 单品牌依赖最高</t>
        </is>
      </c>
      <c r="I367" t="inlineStr">
        <is>
          <t>LT-IS6312XGP-4XS8GT</t>
        </is>
      </c>
      <c r="J367" t="inlineStr">
        <is>
          <t>+48 71 346 50 60 / info@iwave.pl</t>
        </is>
      </c>
      <c r="K367" t="inlineStr">
        <is>
          <t>★★★</t>
        </is>
      </c>
      <c r="L367" t="inlineStr">
        <is>
          <t>未触达</t>
        </is>
      </c>
      <c r="M367" t="inlineStr">
        <is>
          <t>2026-09-22</t>
        </is>
      </c>
      <c r="N367" t="inlineStr"/>
      <c r="O367" t="inlineStr"/>
      <c r="P367" t="inlineStr"/>
      <c r="Q367" t="inlineStr">
        <is>
          <t>Wrocław</t>
        </is>
      </c>
      <c r="R367" t="inlineStr">
        <is>
          <t>B</t>
        </is>
      </c>
      <c r="S367" t="inlineStr">
        <is>
          <t>通用分销商信号，无差异化切入点，慢慢跟</t>
        </is>
      </c>
      <c r="T367" t="inlineStr">
        <is>
          <t>B-275</t>
        </is>
      </c>
      <c r="U367" t="inlineStr"/>
      <c r="V367" t="inlineStr"/>
    </row>
    <row r="368">
      <c r="A368" t="inlineStr">
        <is>
          <t>Avtera BH</t>
        </is>
      </c>
      <c r="B368" t="inlineStr">
        <is>
          <t>波黑</t>
        </is>
      </c>
      <c r="C368" t="inlineStr"/>
      <c r="D368" t="inlineStr">
        <is>
          <t>avtera.ba</t>
        </is>
      </c>
      <c r="E368" t="inlineStr">
        <is>
          <t>分销（Westermo Reseller）</t>
        </is>
      </c>
      <c r="F368" t="inlineStr">
        <is>
          <t>Westermo</t>
        </is>
      </c>
      <c r="G368" t="inlineStr">
        <is>
          <t>否</t>
        </is>
      </c>
      <c r="H368" t="inlineStr">
        <is>
          <t>工业/轨道同规格 1/3 价第二供应源</t>
        </is>
      </c>
      <c r="I368" t="inlineStr">
        <is>
          <t>LT-IS6312XG-4XS8GT</t>
        </is>
      </c>
      <c r="J368" t="inlineStr">
        <is>
          <t>+387 33 776 758</t>
        </is>
      </c>
      <c r="K368" t="inlineStr">
        <is>
          <t>★★</t>
        </is>
      </c>
      <c r="L368" t="inlineStr">
        <is>
          <t>未触达</t>
        </is>
      </c>
      <c r="M368" t="inlineStr">
        <is>
          <t>2026-09-22</t>
        </is>
      </c>
      <c r="N368" t="inlineStr"/>
      <c r="O368" t="inlineStr"/>
      <c r="P368" t="inlineStr"/>
      <c r="Q368" t="inlineStr"/>
      <c r="R368" t="inlineStr">
        <is>
          <t>C</t>
        </is>
      </c>
      <c r="S3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68" t="inlineStr">
        <is>
          <t>C-220</t>
        </is>
      </c>
      <c r="U368" t="inlineStr">
        <is>
          <t>B下放·无邮箱（群发触达不到）</t>
        </is>
      </c>
      <c r="V368" t="inlineStr"/>
    </row>
    <row r="369">
      <c r="A369" t="inlineStr">
        <is>
          <t>Samir Zildzic / Wirac</t>
        </is>
      </c>
      <c r="B369" t="inlineStr">
        <is>
          <t>波黑</t>
        </is>
      </c>
      <c r="C369" t="inlineStr">
        <is>
          <t>Gracanica</t>
        </is>
      </c>
      <c r="D369" t="inlineStr">
        <is>
          <t>wirac.ba</t>
        </is>
      </c>
      <c r="E369" t="inlineStr">
        <is>
          <t>集成商/顾问（MikroTik 认证）</t>
        </is>
      </c>
      <c r="F369" t="inlineStr">
        <is>
          <t>MikroTik 认证顾问 MTCNA+MTCTCE</t>
        </is>
      </c>
      <c r="G369" t="inlineStr">
        <is>
          <t>否</t>
        </is>
      </c>
      <c r="H369" t="inlineStr">
        <is>
          <t>MikroTik 认证顾问：自己做方案/集成/运维并自行采购设备 → 用 ERPS/IGMP/VLAN/CLI/MIB 这类技术语言切入，不打价格战</t>
        </is>
      </c>
      <c r="I369" t="inlineStr">
        <is>
          <t>LT-S8328G-4XS24GT-S</t>
        </is>
      </c>
      <c r="J369" t="inlineStr">
        <is>
          <t>+387 35 708 296 / samir@wirac.ba</t>
        </is>
      </c>
      <c r="K369" t="inlineStr">
        <is>
          <t>★★</t>
        </is>
      </c>
      <c r="L369" t="inlineStr">
        <is>
          <t>未触达</t>
        </is>
      </c>
      <c r="M369" t="inlineStr">
        <is>
          <t>2026-09-22</t>
        </is>
      </c>
      <c r="N369" t="inlineStr"/>
      <c r="O369" t="inlineStr"/>
      <c r="P369" t="inlineStr"/>
      <c r="Q369" t="inlineStr">
        <is>
          <t>波黑**唯一**认证顾问（稀缺）；MikroTik 路由器搭建配置、远程排障、无线、路由、VPN、OSPF；英德塞克波五语</t>
        </is>
      </c>
      <c r="R369" t="inlineStr">
        <is>
          <t>B</t>
        </is>
      </c>
      <c r="S369" t="inlineStr">
        <is>
          <t>通用分销商信号，无差异化切入点，慢慢跟</t>
        </is>
      </c>
      <c r="T369" t="inlineStr">
        <is>
          <t>B-277</t>
        </is>
      </c>
      <c r="U369" t="inlineStr"/>
      <c r="V369" t="inlineStr"/>
    </row>
    <row r="370">
      <c r="A370" t="inlineStr">
        <is>
          <t>ATC Automation（L.E.D. Lighting &amp; Electrical Distribution）</t>
        </is>
      </c>
      <c r="B370" t="inlineStr">
        <is>
          <t>爱尔兰</t>
        </is>
      </c>
      <c r="C370" t="inlineStr">
        <is>
          <t>Dublin 12</t>
        </is>
      </c>
      <c r="D370" t="inlineStr">
        <is>
          <t>atcautomation.ie</t>
        </is>
      </c>
      <c r="E370" t="inlineStr">
        <is>
          <t>分销（HMS/N-Tron·Red Lion 渠道）</t>
        </is>
      </c>
      <c r="F370" t="inlineStr">
        <is>
          <t>N-Tron + Red Lion + Anybus + Ewon</t>
        </is>
      </c>
      <c r="G370" t="inlineStr">
        <is>
          <t>否</t>
        </is>
      </c>
      <c r="H370" t="inlineStr">
        <is>
          <t>卖 N-Tron/Red Lion 工业交换机（8口非网管约 $500+）→ 中性货同规格 LT-IS6310G 约 $91，做第二供应商/替换，价差 5 倍</t>
        </is>
      </c>
      <c r="I370" t="inlineStr">
        <is>
          <t>LT-IS6312XGP-4XS8GT</t>
        </is>
      </c>
      <c r="J370" t="inlineStr">
        <is>
          <t>官网联系页（HMS 名录只公开地址与网址）</t>
        </is>
      </c>
      <c r="K370" t="inlineStr">
        <is>
          <t>★★★</t>
        </is>
      </c>
      <c r="L370" t="inlineStr">
        <is>
          <t>未触达</t>
        </is>
      </c>
      <c r="M370" t="inlineStr">
        <is>
          <t>2026-09-22</t>
        </is>
      </c>
      <c r="N370" t="inlineStr"/>
      <c r="O370" t="inlineStr"/>
      <c r="P370" t="inlineStr"/>
      <c r="Q370" t="inlineStr">
        <is>
          <t>英爱两地</t>
        </is>
      </c>
      <c r="R370" t="inlineStr">
        <is>
          <t>C</t>
        </is>
      </c>
      <c r="S37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0" t="inlineStr">
        <is>
          <t>C-221</t>
        </is>
      </c>
      <c r="U370" t="inlineStr">
        <is>
          <t>B下放·无邮箱（群发触达不到）</t>
        </is>
      </c>
      <c r="V370" t="inlineStr"/>
    </row>
    <row r="371">
      <c r="A371" t="inlineStr">
        <is>
          <t>Irish Wireless</t>
        </is>
      </c>
      <c r="B371" t="inlineStr">
        <is>
          <t>爱尔兰</t>
        </is>
      </c>
      <c r="C371" t="inlineStr"/>
      <c r="D371" t="inlineStr">
        <is>
          <t>irishwireless.net</t>
        </is>
      </c>
      <c r="E371" t="inlineStr">
        <is>
          <t>分销（MikroTik 官方）</t>
        </is>
      </c>
      <c r="F371" t="inlineStr">
        <is>
          <t>MikroTik（Reseller）</t>
        </is>
      </c>
      <c r="G371" t="inlineStr">
        <is>
          <t>否</t>
        </is>
      </c>
      <c r="H371" t="inlineStr">
        <is>
          <t>卖 MikroTik 但缺工业/ERPS/PoE++ → 用同价位工业线补他的产品缺口</t>
        </is>
      </c>
      <c r="I371" t="inlineStr">
        <is>
          <t>LT-IS6312XG-4XS8GT</t>
        </is>
      </c>
      <c r="J371" t="inlineStr">
        <is>
          <t>+353 61 514444 / sales@irishwireless.net</t>
        </is>
      </c>
      <c r="K371" t="inlineStr">
        <is>
          <t>★★★</t>
        </is>
      </c>
      <c r="L371" t="inlineStr">
        <is>
          <t>未触达</t>
        </is>
      </c>
      <c r="M371" t="inlineStr">
        <is>
          <t>2026-09-22</t>
        </is>
      </c>
      <c r="N371" t="inlineStr"/>
      <c r="O371" t="inlineStr"/>
      <c r="P371" t="inlineStr"/>
      <c r="Q371" t="inlineStr">
        <is>
          <t>Co. Clare</t>
        </is>
      </c>
      <c r="R371" t="inlineStr">
        <is>
          <t>B</t>
        </is>
      </c>
      <c r="S371" t="inlineStr">
        <is>
          <t>通用分销商信号，无差异化切入点，慢慢跟</t>
        </is>
      </c>
      <c r="T371" t="inlineStr">
        <is>
          <t>B-279</t>
        </is>
      </c>
      <c r="U371" t="inlineStr"/>
      <c r="V371" t="inlineStr"/>
    </row>
    <row r="372">
      <c r="A372" t="inlineStr">
        <is>
          <t>Oskar Siejk</t>
        </is>
      </c>
      <c r="B372" t="inlineStr">
        <is>
          <t>爱尔兰</t>
        </is>
      </c>
      <c r="C372" t="inlineStr">
        <is>
          <t>Saggart (Dublin)</t>
        </is>
      </c>
      <c r="D372" t="inlineStr">
        <is>
          <t>vit.ie</t>
        </is>
      </c>
      <c r="E372" t="inlineStr">
        <is>
          <t>集成商/顾问（MikroTik 认证）</t>
        </is>
      </c>
      <c r="F372" t="inlineStr">
        <is>
          <t>MikroTik 认证顾问 MTCNA+MTCRE</t>
        </is>
      </c>
      <c r="G372" t="inlineStr">
        <is>
          <t>否</t>
        </is>
      </c>
      <c r="H372" t="inlineStr">
        <is>
          <t>MikroTik 认证顾问：自己做方案/集成/运维并自行采购设备 → 用 ERPS/IGMP/VLAN/CLI/MIB 这类技术语言切入，不打价格战</t>
        </is>
      </c>
      <c r="I372" t="inlineStr">
        <is>
          <t>LT-S8328G-4XS24GT-S</t>
        </is>
      </c>
      <c r="J372" t="inlineStr">
        <is>
          <t>+353 85 157 7369 / oskar@vit.ie</t>
        </is>
      </c>
      <c r="K372" t="inlineStr">
        <is>
          <t>★★</t>
        </is>
      </c>
      <c r="L372" t="inlineStr">
        <is>
          <t>未触达</t>
        </is>
      </c>
      <c r="M372" t="inlineStr">
        <is>
          <t>2026-09-22</t>
        </is>
      </c>
      <c r="N372" t="inlineStr"/>
      <c r="O372" t="inlineStr"/>
      <c r="P372" t="inlineStr"/>
      <c r="Q372" t="inlineStr">
        <is>
          <t>英波双语</t>
        </is>
      </c>
      <c r="R372" t="inlineStr">
        <is>
          <t>B</t>
        </is>
      </c>
      <c r="S372" t="inlineStr">
        <is>
          <t>通用分销商信号，无差异化切入点，慢慢跟</t>
        </is>
      </c>
      <c r="T372" t="inlineStr">
        <is>
          <t>B-280</t>
        </is>
      </c>
      <c r="U372" t="inlineStr"/>
      <c r="V372" t="inlineStr"/>
    </row>
    <row r="373">
      <c r="A373" t="inlineStr">
        <is>
          <t>Profibus Ireland Ltd</t>
        </is>
      </c>
      <c r="B373" t="inlineStr">
        <is>
          <t>爱尔兰</t>
        </is>
      </c>
      <c r="C373" t="inlineStr">
        <is>
          <t>Limerick</t>
        </is>
      </c>
      <c r="D373" t="inlineStr">
        <is>
          <t>profibus.ie</t>
        </is>
      </c>
      <c r="E373" t="inlineStr">
        <is>
          <t>分销（HMS/N-Tron·Red Lion 渠道）</t>
        </is>
      </c>
      <c r="F373" t="inlineStr">
        <is>
          <t>N-Tron + Red Lion + Anybus + Ewon + Ixxat + Intesis</t>
        </is>
      </c>
      <c r="G373" t="inlineStr">
        <is>
          <t>否</t>
        </is>
      </c>
      <c r="H373" t="inlineStr">
        <is>
          <t>卖 N-Tron/Red Lion 工业交换机（8口非网管约 $500+）→ 中性货同规格 LT-IS6310G 约 $91，做第二供应商，价差 5 倍</t>
        </is>
      </c>
      <c r="I373" t="inlineStr">
        <is>
          <t>LT-IS6312XG-4XS8GT</t>
        </is>
      </c>
      <c r="J373" t="inlineStr">
        <is>
          <t>官网联系页（HMS 名录只公开地址与网址）</t>
        </is>
      </c>
      <c r="K373" t="inlineStr">
        <is>
          <t>★★★</t>
        </is>
      </c>
      <c r="L373" t="inlineStr">
        <is>
          <t>未触达</t>
        </is>
      </c>
      <c r="M373" t="inlineStr">
        <is>
          <t>2026-09-22</t>
        </is>
      </c>
      <c r="N373" t="inlineStr"/>
      <c r="O373" t="inlineStr"/>
      <c r="P373" t="inlineStr"/>
      <c r="Q373" t="inlineStr">
        <is>
          <t>HMS 全品牌 → 爱尔兰现场总线专业户</t>
        </is>
      </c>
      <c r="R373" t="inlineStr">
        <is>
          <t>C</t>
        </is>
      </c>
      <c r="S37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3" t="inlineStr">
        <is>
          <t>C-222</t>
        </is>
      </c>
      <c r="U373" t="inlineStr">
        <is>
          <t>B下放·无邮箱（群发触达不到）</t>
        </is>
      </c>
      <c r="V373" t="inlineStr"/>
    </row>
    <row r="374">
      <c r="A374" t="inlineStr">
        <is>
          <t>Winncom Technologies（Dublin）</t>
        </is>
      </c>
      <c r="B374" t="inlineStr">
        <is>
          <t>爱尔兰</t>
        </is>
      </c>
      <c r="C374" t="inlineStr"/>
      <c r="D374" t="inlineStr">
        <is>
          <t>winncom.com</t>
        </is>
      </c>
      <c r="E374" t="inlineStr">
        <is>
          <t>分销（MikroTik 官方）</t>
        </is>
      </c>
      <c r="F374" t="inlineStr">
        <is>
          <t>MikroTik（Master+VAD）</t>
        </is>
      </c>
      <c r="G374" t="inlineStr">
        <is>
          <t>否</t>
        </is>
      </c>
      <c r="H374" t="inlineStr">
        <is>
          <t>Winncom 是跨国无线分销集团（美/欧/独联体）</t>
        </is>
      </c>
      <c r="I374" t="inlineStr">
        <is>
          <t>LT-IS6312XGP-4XS8GT</t>
        </is>
      </c>
      <c r="J374" t="inlineStr">
        <is>
          <t>+44 203 002 8410 / sales.emea@winncom.com</t>
        </is>
      </c>
      <c r="K374" t="inlineStr">
        <is>
          <t>★★★</t>
        </is>
      </c>
      <c r="L374" t="inlineStr">
        <is>
          <t>未触达</t>
        </is>
      </c>
      <c r="M374" t="inlineStr">
        <is>
          <t>2026-09-22</t>
        </is>
      </c>
      <c r="N374" t="inlineStr"/>
      <c r="O374" t="inlineStr"/>
      <c r="P374" t="inlineStr"/>
      <c r="Q374" t="inlineStr">
        <is>
          <t>Dublin；EMEA 总部</t>
        </is>
      </c>
      <c r="R374" t="inlineStr">
        <is>
          <t>B</t>
        </is>
      </c>
      <c r="S374" t="inlineStr">
        <is>
          <t>通用分销商信号，无差异化切入点，慢慢跟</t>
        </is>
      </c>
      <c r="T374" t="inlineStr">
        <is>
          <t>B-282</t>
        </is>
      </c>
      <c r="U374" t="inlineStr"/>
      <c r="V374" t="inlineStr"/>
    </row>
    <row r="375">
      <c r="A375" t="inlineStr">
        <is>
          <t>gCnTech Limited</t>
        </is>
      </c>
      <c r="B375" t="inlineStr">
        <is>
          <t>爱尔兰</t>
        </is>
      </c>
      <c r="C375" t="inlineStr"/>
      <c r="D375" t="inlineStr">
        <is>
          <t>gcntech.ie</t>
        </is>
      </c>
      <c r="E375" t="inlineStr">
        <is>
          <t>分销（MikroTik 官方）</t>
        </is>
      </c>
      <c r="F375" t="inlineStr">
        <is>
          <t>MikroTik（Reseller）</t>
        </is>
      </c>
      <c r="G375" t="inlineStr">
        <is>
          <t>否</t>
        </is>
      </c>
      <c r="H375" t="inlineStr">
        <is>
          <t>卖 MikroTik 但缺工业/ERPS/PoE++ → 用同价位工业线补他的产品缺口</t>
        </is>
      </c>
      <c r="I375" t="inlineStr">
        <is>
          <t>LT-IS6312XGP-4XS8GT</t>
        </is>
      </c>
      <c r="J375" t="inlineStr">
        <is>
          <t>+353 1 282 0458 / greg@gcntech.ie</t>
        </is>
      </c>
      <c r="K375" t="inlineStr">
        <is>
          <t>★★</t>
        </is>
      </c>
      <c r="L375" t="inlineStr">
        <is>
          <t>未触达</t>
        </is>
      </c>
      <c r="M375" t="inlineStr">
        <is>
          <t>2026-09-22</t>
        </is>
      </c>
      <c r="N375" t="inlineStr"/>
      <c r="O375" t="inlineStr"/>
      <c r="P375" t="inlineStr"/>
      <c r="Q375" t="inlineStr">
        <is>
          <t>Dublin</t>
        </is>
      </c>
      <c r="R375" t="inlineStr">
        <is>
          <t>B</t>
        </is>
      </c>
      <c r="S375" t="inlineStr">
        <is>
          <t>通用分销商信号，无差异化切入点，慢慢跟</t>
        </is>
      </c>
      <c r="T375" t="inlineStr">
        <is>
          <t>B-283</t>
        </is>
      </c>
      <c r="U375" t="inlineStr"/>
      <c r="V375" t="inlineStr"/>
    </row>
    <row r="376">
      <c r="A376" t="inlineStr">
        <is>
          <t>DataLink Communications</t>
        </is>
      </c>
      <c r="B376" t="inlineStr">
        <is>
          <t>爱尔兰/英国</t>
        </is>
      </c>
      <c r="C376" t="inlineStr"/>
      <c r="D376" t="inlineStr">
        <is>
          <t>datalinkcom.net</t>
        </is>
      </c>
      <c r="E376" t="inlineStr">
        <is>
          <t>分销（ORing 授权）</t>
        </is>
      </c>
      <c r="F376" t="inlineStr">
        <is>
          <t>ORing</t>
        </is>
      </c>
      <c r="G376" t="inlineStr">
        <is>
          <t>否</t>
        </is>
      </c>
      <c r="H376" t="inlineStr">
        <is>
          <t>爱尔兰 + 英国双覆盖</t>
        </is>
      </c>
      <c r="I376" t="inlineStr">
        <is>
          <t>LT-IS6312XGP-4XS8GT</t>
        </is>
      </c>
      <c r="J376" t="inlineStr">
        <is>
          <t>+353-91-840838 / UK +01214680041</t>
        </is>
      </c>
      <c r="K376" t="inlineStr">
        <is>
          <t>★★★</t>
        </is>
      </c>
      <c r="L376" t="inlineStr">
        <is>
          <t>未触达</t>
        </is>
      </c>
      <c r="M376" t="inlineStr">
        <is>
          <t>ORing经销商名录/2026-09</t>
        </is>
      </c>
      <c r="N376" t="inlineStr"/>
      <c r="O376" t="inlineStr"/>
      <c r="P376" t="inlineStr"/>
      <c r="Q376" t="inlineStr">
        <is>
          <t>【待补】本行由分销商名录批量导入，三星依据仅为渠道等级（分销（ORing 授权））与「ORing」，尚无人工核实。建议先查证其是否已有工业交换机 / PoE++ 产品线，再定切入型号 【范围外】不在本次目标区域（欧洲+美加）内，暂不触达，留档备用</t>
        </is>
      </c>
      <c r="R376" t="inlineStr">
        <is>
          <t>C</t>
        </is>
      </c>
      <c r="S3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76" t="inlineStr">
        <is>
          <t>C-223</t>
        </is>
      </c>
      <c r="U376" t="inlineStr">
        <is>
          <t>B下放·无邮箱（群发触达不到）</t>
        </is>
      </c>
      <c r="V376" t="inlineStr"/>
    </row>
    <row r="377">
      <c r="A377" t="inlineStr">
        <is>
          <t>ELKO Eesti OÜ</t>
        </is>
      </c>
      <c r="B377" t="inlineStr">
        <is>
          <t>爱沙尼亚</t>
        </is>
      </c>
      <c r="C377" t="inlineStr"/>
      <c r="D377" t="inlineStr">
        <is>
          <t>elko.ee</t>
        </is>
      </c>
      <c r="E377" t="inlineStr">
        <is>
          <t>分销（MikroTik 官方）</t>
        </is>
      </c>
      <c r="F377" t="inlineStr">
        <is>
          <t>MikroTik（Master+VAD）</t>
        </is>
      </c>
      <c r="G377" t="inlineStr">
        <is>
          <t>否</t>
        </is>
      </c>
      <c r="H377" t="inlineStr">
        <is>
          <t>ELKO 集团爱沙尼亚站</t>
        </is>
      </c>
      <c r="I377" t="inlineStr">
        <is>
          <t>LT-S8328GP-4GX24GT</t>
        </is>
      </c>
      <c r="J377" t="inlineStr">
        <is>
          <t>+372 658 1378 / info@elko.ee</t>
        </is>
      </c>
      <c r="K377" t="inlineStr">
        <is>
          <t>★★★</t>
        </is>
      </c>
      <c r="L377" t="inlineStr">
        <is>
          <t>未触达</t>
        </is>
      </c>
      <c r="M377" t="inlineStr">
        <is>
          <t>2026-09-22</t>
        </is>
      </c>
      <c r="N377" t="inlineStr"/>
      <c r="O377" t="inlineStr"/>
      <c r="P377" t="inlineStr"/>
      <c r="Q377" t="inlineStr">
        <is>
          <t>Tallinn</t>
        </is>
      </c>
      <c r="R377" t="inlineStr">
        <is>
          <t>B</t>
        </is>
      </c>
      <c r="S377" t="inlineStr">
        <is>
          <t>通用分销商信号，无差异化切入点，慢慢跟</t>
        </is>
      </c>
      <c r="T377" t="inlineStr">
        <is>
          <t>B-285</t>
        </is>
      </c>
      <c r="U377" t="inlineStr"/>
      <c r="V377" t="inlineStr"/>
    </row>
    <row r="378">
      <c r="A378" t="inlineStr">
        <is>
          <t>Electrobit</t>
        </is>
      </c>
      <c r="B378" t="inlineStr">
        <is>
          <t>爱沙尼亚</t>
        </is>
      </c>
      <c r="C378" t="inlineStr"/>
      <c r="D378" t="inlineStr">
        <is>
          <t>electrobit.ee</t>
        </is>
      </c>
      <c r="E378" t="inlineStr">
        <is>
          <t>分销（Westermo Reseller）</t>
        </is>
      </c>
      <c r="F378" t="inlineStr">
        <is>
          <t>Westermo</t>
        </is>
      </c>
      <c r="G378" t="inlineStr">
        <is>
          <t>否</t>
        </is>
      </c>
      <c r="H378" t="inlineStr">
        <is>
          <t>工业/轨道同规格 1/3 价第二供应源</t>
        </is>
      </c>
      <c r="I378" t="inlineStr">
        <is>
          <t>LT-IS6312XG-4XS8GT</t>
        </is>
      </c>
      <c r="J378" t="inlineStr">
        <is>
          <t>+372 6518 140</t>
        </is>
      </c>
      <c r="K378" t="inlineStr">
        <is>
          <t>★★</t>
        </is>
      </c>
      <c r="L378" t="inlineStr">
        <is>
          <t>未触达</t>
        </is>
      </c>
      <c r="M378" t="inlineStr">
        <is>
          <t>2026-09-22</t>
        </is>
      </c>
      <c r="N378" t="inlineStr"/>
      <c r="O378" t="inlineStr"/>
      <c r="P378" t="inlineStr"/>
      <c r="Q378" t="inlineStr">
        <is>
          <t>波罗的海</t>
        </is>
      </c>
      <c r="R378" t="inlineStr">
        <is>
          <t>C</t>
        </is>
      </c>
      <c r="S3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78" t="inlineStr">
        <is>
          <t>C-224</t>
        </is>
      </c>
      <c r="U378" t="inlineStr">
        <is>
          <t>B下放·无邮箱（群发触达不到）</t>
        </is>
      </c>
      <c r="V378" t="inlineStr"/>
    </row>
    <row r="379">
      <c r="A379" t="inlineStr">
        <is>
          <t>Kernel AS</t>
        </is>
      </c>
      <c r="B379" t="inlineStr">
        <is>
          <t>爱沙尼亚</t>
        </is>
      </c>
      <c r="C379" t="inlineStr"/>
      <c r="D379" t="inlineStr">
        <is>
          <t>kernel.ee</t>
        </is>
      </c>
      <c r="E379" t="inlineStr">
        <is>
          <t>分销（MikroTik 官方）</t>
        </is>
      </c>
      <c r="F379" t="inlineStr">
        <is>
          <t>MikroTik（Reseller）</t>
        </is>
      </c>
      <c r="G379" t="inlineStr">
        <is>
          <t>否</t>
        </is>
      </c>
      <c r="H379" t="inlineStr">
        <is>
          <t>MikroTik 官方分销，商用线可直接比价，工业线为零 → 新品类增量</t>
        </is>
      </c>
      <c r="I379" t="inlineStr">
        <is>
          <t>LT-S8328XG-4XS8GT-S</t>
        </is>
      </c>
      <c r="J379" t="inlineStr">
        <is>
          <t>+372 7 420 234 / info@kernel.ee</t>
        </is>
      </c>
      <c r="K379" t="inlineStr">
        <is>
          <t>★★</t>
        </is>
      </c>
      <c r="L379" t="inlineStr">
        <is>
          <t>未触达</t>
        </is>
      </c>
      <c r="M379" t="inlineStr">
        <is>
          <t>2026-09-22</t>
        </is>
      </c>
      <c r="N379" t="inlineStr"/>
      <c r="O379" t="inlineStr"/>
      <c r="P379" t="inlineStr"/>
      <c r="Q379" t="inlineStr">
        <is>
          <t>Tartu</t>
        </is>
      </c>
      <c r="R379" t="inlineStr">
        <is>
          <t>B</t>
        </is>
      </c>
      <c r="S379" t="inlineStr">
        <is>
          <t>通用分销商信号，无差异化切入点，慢慢跟</t>
        </is>
      </c>
      <c r="T379" t="inlineStr">
        <is>
          <t>B-287</t>
        </is>
      </c>
      <c r="U379" t="inlineStr"/>
      <c r="V379" t="inlineStr"/>
    </row>
    <row r="380">
      <c r="A380" t="inlineStr">
        <is>
          <t>Rein Podra</t>
        </is>
      </c>
      <c r="B380" t="inlineStr">
        <is>
          <t>爱沙尼亚</t>
        </is>
      </c>
      <c r="C380" t="inlineStr">
        <is>
          <t>Põltsamaa</t>
        </is>
      </c>
      <c r="D380" t="inlineStr">
        <is>
          <t>ccisrd.eu</t>
        </is>
      </c>
      <c r="E380" t="inlineStr">
        <is>
          <t>集成商/顾问（MikroTik 认证）</t>
        </is>
      </c>
      <c r="F380" t="inlineStr">
        <is>
          <t>MikroTik 认证顾问 MTCNA+MTCRE+MTCUME+MTCIPv6E+MTCSE</t>
        </is>
      </c>
      <c r="G380" t="inlineStr">
        <is>
          <t>否</t>
        </is>
      </c>
      <c r="H380" t="inlineStr">
        <is>
          <t>MikroTik 认证顾问：自己做方案/集成/运维并自行采购设备 → 用 ERPS/IGMP/VLAN/CLI/MIB 这类技术语言切入，不打价格战</t>
        </is>
      </c>
      <c r="I380" t="inlineStr">
        <is>
          <t>LT-S8328XGP-4XS24GT-S</t>
        </is>
      </c>
      <c r="J380" t="inlineStr">
        <is>
          <t>+372 505 1372 / rein.podra@ccisrd.eu</t>
        </is>
      </c>
      <c r="K380" t="inlineStr">
        <is>
          <t>★★★</t>
        </is>
      </c>
      <c r="L380" t="inlineStr">
        <is>
          <t>未触达</t>
        </is>
      </c>
      <c r="M380" t="inlineStr">
        <is>
          <t>2026-09-22</t>
        </is>
      </c>
      <c r="N380" t="inlineStr"/>
      <c r="O380" t="inlineStr"/>
      <c r="P380" t="inlineStr"/>
      <c r="Q380" t="inlineStr">
        <is>
          <t>有线无线全领域：路由、隧道、防火墙、无线、CAPsMAN、The Dude；网络设计与 MikroTik 认证培训</t>
        </is>
      </c>
      <c r="R380" t="inlineStr">
        <is>
          <t>B</t>
        </is>
      </c>
      <c r="S380" t="inlineStr">
        <is>
          <t>有信号（影响力/渠道）但需先验证需求或联系人不具体</t>
        </is>
      </c>
      <c r="T380" t="inlineStr">
        <is>
          <t>B-288</t>
        </is>
      </c>
      <c r="U380" t="inlineStr"/>
      <c r="V380" t="inlineStr"/>
    </row>
    <row r="381">
      <c r="A381" t="inlineStr">
        <is>
          <t>Sonictest OÜ</t>
        </is>
      </c>
      <c r="B381" t="inlineStr">
        <is>
          <t>爱沙尼亚</t>
        </is>
      </c>
      <c r="C381" t="inlineStr"/>
      <c r="D381" t="inlineStr">
        <is>
          <t>sonictest.ee</t>
        </is>
      </c>
      <c r="E381" t="inlineStr">
        <is>
          <t>分销（MikroTik 官方）</t>
        </is>
      </c>
      <c r="F381" t="inlineStr">
        <is>
          <t>MikroTik（Reseller）</t>
        </is>
      </c>
      <c r="G381" t="inlineStr">
        <is>
          <t>否</t>
        </is>
      </c>
      <c r="H381" t="inlineStr">
        <is>
          <t>卖 MikroTik 但缺工业/ERPS/PoE++ → 用同价位工业线补他的产品缺口</t>
        </is>
      </c>
      <c r="I381" t="inlineStr">
        <is>
          <t>LT-IS6312XG-4XS8GT</t>
        </is>
      </c>
      <c r="J381" t="inlineStr">
        <is>
          <t>+372 505 5961 / imre@sonictest.ee</t>
        </is>
      </c>
      <c r="K381" t="inlineStr">
        <is>
          <t>★★</t>
        </is>
      </c>
      <c r="L381" t="inlineStr">
        <is>
          <t>未触达</t>
        </is>
      </c>
      <c r="M381" t="inlineStr">
        <is>
          <t>2026-09-22</t>
        </is>
      </c>
      <c r="N381" t="inlineStr"/>
      <c r="O381" t="inlineStr"/>
      <c r="P381" t="inlineStr"/>
      <c r="Q381" t="inlineStr">
        <is>
          <t>Tartu</t>
        </is>
      </c>
      <c r="R381" t="inlineStr">
        <is>
          <t>B</t>
        </is>
      </c>
      <c r="S381" t="inlineStr">
        <is>
          <t>通用分销商信号，无差异化切入点，慢慢跟</t>
        </is>
      </c>
      <c r="T381" t="inlineStr">
        <is>
          <t>B-289</t>
        </is>
      </c>
      <c r="U381" t="inlineStr"/>
      <c r="V381" t="inlineStr"/>
    </row>
    <row r="382">
      <c r="A382" t="inlineStr">
        <is>
          <t>AxByte（netdist.se）</t>
        </is>
      </c>
      <c r="B382" t="inlineStr">
        <is>
          <t>瑞典</t>
        </is>
      </c>
      <c r="C382" t="inlineStr"/>
      <c r="D382" t="inlineStr">
        <is>
          <t>netdist.se</t>
        </is>
      </c>
      <c r="E382" t="inlineStr">
        <is>
          <t>分销（MikroTik 官方）</t>
        </is>
      </c>
      <c r="F382" t="inlineStr">
        <is>
          <t>MikroTik（Master+VAD）</t>
        </is>
      </c>
      <c r="G382" t="inlineStr">
        <is>
          <t>否</t>
        </is>
      </c>
      <c r="H382" t="inlineStr">
        <is>
          <t>卖 MikroTik 但缺工业/ERPS/PoE++ → 用同价位工业线补他的产品缺口</t>
        </is>
      </c>
      <c r="I382" t="inlineStr">
        <is>
          <t>LT-IS6312XG-4XS8GT</t>
        </is>
      </c>
      <c r="J382" t="inlineStr">
        <is>
          <t>08-586 195 00 / contact@axbyte.se</t>
        </is>
      </c>
      <c r="K382" t="inlineStr">
        <is>
          <t>★★★</t>
        </is>
      </c>
      <c r="L382" t="inlineStr">
        <is>
          <t>未触达</t>
        </is>
      </c>
      <c r="M382" t="inlineStr">
        <is>
          <t>2026-09-22</t>
        </is>
      </c>
      <c r="N382" t="inlineStr"/>
      <c r="O382" t="inlineStr"/>
      <c r="P382" t="inlineStr"/>
      <c r="Q382" t="inlineStr">
        <is>
          <t>Farsta</t>
        </is>
      </c>
      <c r="R382" t="inlineStr">
        <is>
          <t>B</t>
        </is>
      </c>
      <c r="S382" t="inlineStr">
        <is>
          <t>通用分销商信号，无差异化切入点，慢慢跟</t>
        </is>
      </c>
      <c r="T382" t="inlineStr">
        <is>
          <t>B-290</t>
        </is>
      </c>
      <c r="U382" t="inlineStr"/>
      <c r="V382" t="inlineStr"/>
    </row>
    <row r="383">
      <c r="A383" t="inlineStr">
        <is>
          <t>Dialect Skövde（evolvit.se）</t>
        </is>
      </c>
      <c r="B383" t="inlineStr">
        <is>
          <t>瑞典</t>
        </is>
      </c>
      <c r="C383" t="inlineStr"/>
      <c r="D383" t="inlineStr">
        <is>
          <t>shop.evolvit.se</t>
        </is>
      </c>
      <c r="E383" t="inlineStr">
        <is>
          <t>分销（MikroTik 官方）</t>
        </is>
      </c>
      <c r="F383" t="inlineStr">
        <is>
          <t>MikroTik（Reseller）</t>
        </is>
      </c>
      <c r="G383" t="inlineStr">
        <is>
          <t>否</t>
        </is>
      </c>
      <c r="H383" t="inlineStr">
        <is>
          <t>卖 MikroTik 但缺工业/ERPS/PoE++ → 用同价位工业线补他的产品缺口</t>
        </is>
      </c>
      <c r="I383" t="inlineStr">
        <is>
          <t>LT-IS6312XG-4XS8GT</t>
        </is>
      </c>
      <c r="J383" t="inlineStr">
        <is>
          <t>0500 105 300</t>
        </is>
      </c>
      <c r="K383" t="inlineStr">
        <is>
          <t>★★</t>
        </is>
      </c>
      <c r="L383" t="inlineStr">
        <is>
          <t>未触达</t>
        </is>
      </c>
      <c r="M383" t="inlineStr">
        <is>
          <t>2026-09-22</t>
        </is>
      </c>
      <c r="N383" t="inlineStr"/>
      <c r="O383" t="inlineStr"/>
      <c r="P383" t="inlineStr"/>
      <c r="Q383" t="inlineStr">
        <is>
          <t>Skövde</t>
        </is>
      </c>
      <c r="R383" t="inlineStr">
        <is>
          <t>C</t>
        </is>
      </c>
      <c r="S38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383" t="inlineStr">
        <is>
          <t>C-225</t>
        </is>
      </c>
      <c r="U383" t="inlineStr">
        <is>
          <t>B下放·无邮箱（群发触达不到）</t>
        </is>
      </c>
      <c r="V383" t="inlineStr"/>
    </row>
    <row r="384">
      <c r="A384" t="inlineStr">
        <is>
          <t>EG Electronics AB</t>
        </is>
      </c>
      <c r="B384" t="inlineStr">
        <is>
          <t>瑞典</t>
        </is>
      </c>
      <c r="C384" t="inlineStr">
        <is>
          <t>Spånga (Stockholm)</t>
        </is>
      </c>
      <c r="D384" t="inlineStr">
        <is>
          <t>egelectronics.com</t>
        </is>
      </c>
      <c r="E384" t="inlineStr">
        <is>
          <t>分销（HMS/N-Tron·Red Lion 渠道）</t>
        </is>
      </c>
      <c r="F384" t="inlineStr">
        <is>
          <t>N-Tron + Red Lion + Anybus</t>
        </is>
      </c>
      <c r="G384" t="inlineStr">
        <is>
          <t>否</t>
        </is>
      </c>
      <c r="H384" t="inlineStr">
        <is>
          <t>卖 N-Tron/Red Lion 工业交换机（8口非网管约 $500+）→ 中性货同规格 LT-IS6310G 约 $91，做第二供应商/替换，价差 5 倍</t>
        </is>
      </c>
      <c r="I384" t="inlineStr">
        <is>
          <t>LT-IS6312XG-4XS8GT</t>
        </is>
      </c>
      <c r="J384" t="inlineStr">
        <is>
          <t>官网联系页（HMS 名录只公开地址与网址）</t>
        </is>
      </c>
      <c r="K384" t="inlineStr">
        <is>
          <t>★★★</t>
        </is>
      </c>
      <c r="L384" t="inlineStr">
        <is>
          <t>未触达</t>
        </is>
      </c>
      <c r="M384" t="inlineStr">
        <is>
          <t>2026-09-22</t>
        </is>
      </c>
      <c r="N384" t="inlineStr"/>
      <c r="O384" t="inlineStr"/>
      <c r="P384" t="inlineStr"/>
      <c r="Q384" t="inlineStr">
        <is>
          <t>【待补】本行由分销商名录批量导入，三星依据仅为渠道等级（分销（HMS/N-Tron·Red Lion 渠道））与「N-Tron + Red Lion + Anybus」，尚无人工核实。建议先查证其是否已有工业交换机 / PoE++ 产品线，再定切入型号</t>
        </is>
      </c>
      <c r="R384" t="inlineStr">
        <is>
          <t>C</t>
        </is>
      </c>
      <c r="S3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4" t="inlineStr">
        <is>
          <t>C-226</t>
        </is>
      </c>
      <c r="U384" t="inlineStr">
        <is>
          <t>B下放·无邮箱（群发触达不到）</t>
        </is>
      </c>
      <c r="V384" t="inlineStr"/>
    </row>
    <row r="385">
      <c r="A385" t="inlineStr">
        <is>
          <t>Fredrik Soderblom / XPD</t>
        </is>
      </c>
      <c r="B385" t="inlineStr">
        <is>
          <t>瑞典</t>
        </is>
      </c>
      <c r="C385" t="inlineStr">
        <is>
          <t>Järfälla</t>
        </is>
      </c>
      <c r="D385" t="inlineStr">
        <is>
          <t>xpd.se</t>
        </is>
      </c>
      <c r="E385" t="inlineStr">
        <is>
          <t>集成商/顾问（MikroTik 认证）</t>
        </is>
      </c>
      <c r="F385" t="inlineStr">
        <is>
          <t>MikroTik 认证顾问 MTCNA+MTCTCE+MTCINE+MTCIPv6E</t>
        </is>
      </c>
      <c r="G385" t="inlineStr">
        <is>
          <t>否</t>
        </is>
      </c>
      <c r="H385" t="inlineStr">
        <is>
          <t>MikroTik 认证顾问：自己做方案/集成/运维并自行采购设备 → 用 ERPS/IGMP/VLAN/CLI/MIB 这类技术语言切入，不打价格战</t>
        </is>
      </c>
      <c r="I385" t="inlineStr">
        <is>
          <t>LT-S8328XG-4XS24GT-S</t>
        </is>
      </c>
      <c r="J385" t="inlineStr">
        <is>
          <t>+46 70 829 2140 / fredrik@xpd.se</t>
        </is>
      </c>
      <c r="K385" t="inlineStr">
        <is>
          <t>★★★</t>
        </is>
      </c>
      <c r="L385" t="inlineStr">
        <is>
          <t>未触达</t>
        </is>
      </c>
      <c r="M385" t="inlineStr">
        <is>
          <t>2026-09-22</t>
        </is>
      </c>
      <c r="N385" t="inlineStr"/>
      <c r="O385" t="inlineStr"/>
      <c r="P385" t="inlineStr"/>
      <c r="Q385" t="inlineStr">
        <is>
          <t>30+ 年 IT；1992 年就为惠普北欧设计实施第一套防火墙，后组建 HP 欧洲网络安全顾问组；在欧洲与美国做过大量边界安全方案与安全审计 → 资深安全专家，能听懂交换机安全特性</t>
        </is>
      </c>
      <c r="R385" t="inlineStr">
        <is>
          <t>B</t>
        </is>
      </c>
      <c r="S385" t="inlineStr">
        <is>
          <t>通用分销商信号，无差异化切入点，慢慢跟</t>
        </is>
      </c>
      <c r="T385" t="inlineStr">
        <is>
          <t>B-293</t>
        </is>
      </c>
      <c r="U385" t="inlineStr"/>
      <c r="V385" t="inlineStr"/>
    </row>
    <row r="386">
      <c r="A386" t="inlineStr">
        <is>
          <t>HighTech Nordic AB</t>
        </is>
      </c>
      <c r="B386" t="inlineStr">
        <is>
          <t>瑞典</t>
        </is>
      </c>
      <c r="C386" t="inlineStr"/>
      <c r="D386" t="inlineStr">
        <is>
          <t>hightechnordic.com</t>
        </is>
      </c>
      <c r="E386" t="inlineStr">
        <is>
          <t>分销（ORing 授权）</t>
        </is>
      </c>
      <c r="F386" t="inlineStr">
        <is>
          <t>ORing</t>
        </is>
      </c>
      <c r="G386" t="inlineStr">
        <is>
          <t>否</t>
        </is>
      </c>
      <c r="H386" t="inlineStr">
        <is>
          <t>瑞典工业分销</t>
        </is>
      </c>
      <c r="I386" t="inlineStr">
        <is>
          <t>LT-IS6312XG-4XS8GT</t>
        </is>
      </c>
      <c r="J386" t="inlineStr">
        <is>
          <t>+46 101775800</t>
        </is>
      </c>
      <c r="K386" t="inlineStr">
        <is>
          <t>★★★</t>
        </is>
      </c>
      <c r="L386" t="inlineStr">
        <is>
          <t>未触达</t>
        </is>
      </c>
      <c r="M386" t="inlineStr">
        <is>
          <t>ORing经销商名录/2026-09</t>
        </is>
      </c>
      <c r="N386" t="inlineStr"/>
      <c r="O386" t="inlineStr"/>
      <c r="P386" t="inlineStr"/>
      <c r="Q386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86" t="inlineStr">
        <is>
          <t>C</t>
        </is>
      </c>
      <c r="S3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86" t="inlineStr">
        <is>
          <t>C-227</t>
        </is>
      </c>
      <c r="U386" t="inlineStr">
        <is>
          <t>B下放·无邮箱（群发触达不到）</t>
        </is>
      </c>
      <c r="V386" t="inlineStr"/>
    </row>
    <row r="387">
      <c r="A387" t="inlineStr">
        <is>
          <t>OEM Automatic AB</t>
        </is>
      </c>
      <c r="B387" t="inlineStr">
        <is>
          <t>瑞典</t>
        </is>
      </c>
      <c r="C387" t="inlineStr">
        <is>
          <t>Tranås</t>
        </is>
      </c>
      <c r="D387" t="inlineStr">
        <is>
          <t>oemautomatic.se</t>
        </is>
      </c>
      <c r="E387" t="inlineStr">
        <is>
          <t>分销（HMS/N-Tron·Red Lion 渠道）</t>
        </is>
      </c>
      <c r="F387" t="inlineStr">
        <is>
          <t>N-Tron + Red Lion</t>
        </is>
      </c>
      <c r="G387" t="inlineStr">
        <is>
          <t>否</t>
        </is>
      </c>
      <c r="H387" t="inlineStr">
        <is>
          <t>卖 N-Tron/Red Lion 工业交换机（8口非网管约 $500+）→ 中性货同规格 LT-IS6310G 约 $91，做第二供应商/替换，价差 5 倍；北欧工业零部件大分销、自有品牌 → OEM 最优先</t>
        </is>
      </c>
      <c r="I387" t="inlineStr">
        <is>
          <t>LT-IS6312XGP-4XS8GT</t>
        </is>
      </c>
      <c r="J387" t="inlineStr">
        <is>
          <t>官网联系页（HMS 名录只公开地址与网址）</t>
        </is>
      </c>
      <c r="K387" t="inlineStr">
        <is>
          <t>★★★</t>
        </is>
      </c>
      <c r="L387" t="inlineStr">
        <is>
          <t>未触达</t>
        </is>
      </c>
      <c r="M387" t="inlineStr">
        <is>
          <t>2026-09-22</t>
        </is>
      </c>
      <c r="N387" t="inlineStr"/>
      <c r="O387" t="inlineStr"/>
      <c r="P387" t="inlineStr"/>
      <c r="Q387" t="inlineStr">
        <is>
          <t>波兰分公司已在名单第73行，有真实联系人：+48 22 863 27 22 / info@oemautomatic.pl（Antaira 授权）→ 从华沙打进去一次覆盖 SE/PL/CZ 【关联】同集团另一实体：OEM AUTOMATIC Sp. z o.o.（波兰）（oemautomatic.pl）</t>
        </is>
      </c>
      <c r="R387" t="inlineStr">
        <is>
          <t>B</t>
        </is>
      </c>
      <c r="S387" t="inlineStr">
        <is>
          <t>通用分销商信号，无差异化切入点，慢慢跟</t>
        </is>
      </c>
      <c r="T387" t="inlineStr">
        <is>
          <t>B-295</t>
        </is>
      </c>
      <c r="U387" t="inlineStr"/>
      <c r="V387" t="inlineStr"/>
    </row>
    <row r="388">
      <c r="A388" t="inlineStr">
        <is>
          <t>Sanuk Systems AB</t>
        </is>
      </c>
      <c r="B388" t="inlineStr">
        <is>
          <t>瑞典</t>
        </is>
      </c>
      <c r="C388" t="inlineStr"/>
      <c r="D388" t="inlineStr">
        <is>
          <t>sanuksystems.com</t>
        </is>
      </c>
      <c r="E388" t="inlineStr">
        <is>
          <t>分销（MikroTik 官方）</t>
        </is>
      </c>
      <c r="F388" t="inlineStr">
        <is>
          <t>MikroTik（Reseller）</t>
        </is>
      </c>
      <c r="G388" t="inlineStr">
        <is>
          <t>否</t>
        </is>
      </c>
      <c r="H388" t="inlineStr">
        <is>
          <t>卖 MikroTik 但缺工业/ERPS/PoE++ → 用同价位工业线补他的产品缺口</t>
        </is>
      </c>
      <c r="I388" t="inlineStr">
        <is>
          <t>LT-IS6312XGP-4XS8GT</t>
        </is>
      </c>
      <c r="J388" t="inlineStr">
        <is>
          <t>+46 70 696 66 60 / mail@sanuksystems.com</t>
        </is>
      </c>
      <c r="K388" t="inlineStr">
        <is>
          <t>★★</t>
        </is>
      </c>
      <c r="L388" t="inlineStr">
        <is>
          <t>未触达</t>
        </is>
      </c>
      <c r="M388" t="inlineStr">
        <is>
          <t>2026-09-22</t>
        </is>
      </c>
      <c r="N388" t="inlineStr"/>
      <c r="O388" t="inlineStr"/>
      <c r="P388" t="inlineStr"/>
      <c r="Q388" t="inlineStr">
        <is>
          <t>Älvsjö</t>
        </is>
      </c>
      <c r="R388" t="inlineStr">
        <is>
          <t>B</t>
        </is>
      </c>
      <c r="S388" t="inlineStr">
        <is>
          <t>通用分销商信号，无差异化切入点，慢慢跟</t>
        </is>
      </c>
      <c r="T388" t="inlineStr">
        <is>
          <t>B-296</t>
        </is>
      </c>
      <c r="U388" t="inlineStr"/>
      <c r="V388" t="inlineStr"/>
    </row>
    <row r="389">
      <c r="A389" t="inlineStr">
        <is>
          <t>Satellithuset i Limmared AB（routerboard.se）</t>
        </is>
      </c>
      <c r="B389" t="inlineStr">
        <is>
          <t>瑞典</t>
        </is>
      </c>
      <c r="C389" t="inlineStr"/>
      <c r="D389" t="inlineStr">
        <is>
          <t>routerboard.se</t>
        </is>
      </c>
      <c r="E389" t="inlineStr">
        <is>
          <t>分销（MikroTik 官方）</t>
        </is>
      </c>
      <c r="F389" t="inlineStr">
        <is>
          <t>MikroTik（Master）</t>
        </is>
      </c>
      <c r="G389" t="inlineStr">
        <is>
          <t>否</t>
        </is>
      </c>
      <c r="H389" t="inlineStr">
        <is>
          <t>域名 mikrotik.se + routerboard.se → 单品牌依赖最高档</t>
        </is>
      </c>
      <c r="I389" t="inlineStr">
        <is>
          <t>LT-IS6312XGP-4XS8GT</t>
        </is>
      </c>
      <c r="J389" t="inlineStr">
        <is>
          <t>+46 325 660 650 / info@mikrotik.se</t>
        </is>
      </c>
      <c r="K389" t="inlineStr">
        <is>
          <t>★★★</t>
        </is>
      </c>
      <c r="L389" t="inlineStr">
        <is>
          <t>未触达</t>
        </is>
      </c>
      <c r="M389" t="inlineStr">
        <is>
          <t>2026-09-22</t>
        </is>
      </c>
      <c r="N389" t="inlineStr"/>
      <c r="O389" t="inlineStr"/>
      <c r="P389" t="inlineStr"/>
      <c r="Q389" t="inlineStr">
        <is>
          <t>Limmared</t>
        </is>
      </c>
      <c r="R389" t="inlineStr">
        <is>
          <t>B</t>
        </is>
      </c>
      <c r="S389" t="inlineStr">
        <is>
          <t>通用分销商信号，无差异化切入点，慢慢跟</t>
        </is>
      </c>
      <c r="T389" t="inlineStr">
        <is>
          <t>B-297</t>
        </is>
      </c>
      <c r="U389" t="inlineStr"/>
      <c r="V389" t="inlineStr"/>
    </row>
    <row r="390">
      <c r="A390" t="inlineStr">
        <is>
          <t>Alltron AG</t>
        </is>
      </c>
      <c r="B390" t="inlineStr">
        <is>
          <t>瑞士</t>
        </is>
      </c>
      <c r="C390" t="inlineStr"/>
      <c r="D390" t="inlineStr">
        <is>
          <t>alltron.ch</t>
        </is>
      </c>
      <c r="E390" t="inlineStr">
        <is>
          <t>分销（MikroTik 官方）</t>
        </is>
      </c>
      <c r="F390" t="inlineStr">
        <is>
          <t>MikroTik（Reseller）</t>
        </is>
      </c>
      <c r="G390" t="inlineStr">
        <is>
          <t>否</t>
        </is>
      </c>
      <c r="H390" t="inlineStr">
        <is>
          <t>瑞士本土大型 IT 分销</t>
        </is>
      </c>
      <c r="I390" t="inlineStr">
        <is>
          <t>LT-S8328GP-4GX24GT</t>
        </is>
      </c>
      <c r="J390" t="inlineStr">
        <is>
          <t>062 889 88 88 / mail@alltron.ch</t>
        </is>
      </c>
      <c r="K390" t="inlineStr">
        <is>
          <t>★★★</t>
        </is>
      </c>
      <c r="L390" t="inlineStr">
        <is>
          <t>未触达</t>
        </is>
      </c>
      <c r="M390" t="inlineStr">
        <is>
          <t>2026-09-22</t>
        </is>
      </c>
      <c r="N390" t="inlineStr"/>
      <c r="O390" t="inlineStr"/>
      <c r="P390" t="inlineStr"/>
      <c r="Q390" t="inlineStr">
        <is>
          <t>Mägenwil</t>
        </is>
      </c>
      <c r="R390" t="inlineStr">
        <is>
          <t>B</t>
        </is>
      </c>
      <c r="S390" t="inlineStr">
        <is>
          <t>通用分销商信号，无差异化切入点，慢慢跟</t>
        </is>
      </c>
      <c r="T390" t="inlineStr">
        <is>
          <t>B-298</t>
        </is>
      </c>
      <c r="U390" t="inlineStr"/>
      <c r="V390" t="inlineStr"/>
    </row>
    <row r="391">
      <c r="A391" t="inlineStr">
        <is>
          <t>ENGITECH S.A.</t>
        </is>
      </c>
      <c r="B391" t="inlineStr">
        <is>
          <t>瑞士</t>
        </is>
      </c>
      <c r="C391" t="inlineStr"/>
      <c r="D391" t="inlineStr">
        <is>
          <t>engitech.ch</t>
        </is>
      </c>
      <c r="E391" t="inlineStr">
        <is>
          <t>分销（MikroTik 官方）</t>
        </is>
      </c>
      <c r="F391" t="inlineStr">
        <is>
          <t>MikroTik（Reseller）</t>
        </is>
      </c>
      <c r="G391" t="inlineStr">
        <is>
          <t>否</t>
        </is>
      </c>
      <c r="H391" t="inlineStr">
        <is>
          <t>卖 MikroTik 但缺工业/ERPS/PoE++ → 用同价位工业线补他的产品缺口</t>
        </is>
      </c>
      <c r="I391" t="inlineStr">
        <is>
          <t>LT-IS6312XG-4XS8GT</t>
        </is>
      </c>
      <c r="J391" t="inlineStr">
        <is>
          <t>+41 76 326 40 00 / office@engitech.ch</t>
        </is>
      </c>
      <c r="K391" t="inlineStr">
        <is>
          <t>★★★</t>
        </is>
      </c>
      <c r="L391" t="inlineStr">
        <is>
          <t>未触达</t>
        </is>
      </c>
      <c r="M391" t="inlineStr">
        <is>
          <t>2026-09-22</t>
        </is>
      </c>
      <c r="N391" t="inlineStr"/>
      <c r="O391" t="inlineStr"/>
      <c r="P391" t="inlineStr"/>
      <c r="Q391" t="inlineStr">
        <is>
          <t>Genève</t>
        </is>
      </c>
      <c r="R391" t="inlineStr">
        <is>
          <t>B</t>
        </is>
      </c>
      <c r="S391" t="inlineStr">
        <is>
          <t>通用分销商信号，无差异化切入点，慢慢跟</t>
        </is>
      </c>
      <c r="T391" t="inlineStr">
        <is>
          <t>B-299</t>
        </is>
      </c>
      <c r="U391" t="inlineStr"/>
      <c r="V391" t="inlineStr"/>
    </row>
    <row r="392">
      <c r="A392" t="inlineStr">
        <is>
          <t>INOVIS Live Automation AG</t>
        </is>
      </c>
      <c r="B392" t="inlineStr">
        <is>
          <t>瑞士</t>
        </is>
      </c>
      <c r="C392" t="inlineStr"/>
      <c r="D392" t="inlineStr">
        <is>
          <t>shop.inovis-group.com</t>
        </is>
      </c>
      <c r="E392" t="inlineStr">
        <is>
          <t>分销（MikroTik 官方）</t>
        </is>
      </c>
      <c r="F392" t="inlineStr">
        <is>
          <t>MikroTik（Reseller）</t>
        </is>
      </c>
      <c r="G392" t="inlineStr">
        <is>
          <t>否</t>
        </is>
      </c>
      <c r="H392" t="inlineStr">
        <is>
          <t>工业自动化分销 → 最贴你的工业线</t>
        </is>
      </c>
      <c r="I392" t="inlineStr">
        <is>
          <t>LT-IS6312XG-4XS8GT</t>
        </is>
      </c>
      <c r="J392" t="inlineStr">
        <is>
          <t>+41 55 253 44 88 / sales@inovis-group.com</t>
        </is>
      </c>
      <c r="K392" t="inlineStr">
        <is>
          <t>★★★</t>
        </is>
      </c>
      <c r="L392" t="inlineStr">
        <is>
          <t>未触达</t>
        </is>
      </c>
      <c r="M392" t="inlineStr">
        <is>
          <t>2026-09-22</t>
        </is>
      </c>
      <c r="N392" t="inlineStr"/>
      <c r="O392" t="inlineStr"/>
      <c r="P392" t="inlineStr"/>
      <c r="Q392" t="inlineStr">
        <is>
          <t>Bubikon/Zürich</t>
        </is>
      </c>
      <c r="R392" t="inlineStr">
        <is>
          <t>B</t>
        </is>
      </c>
      <c r="S392" t="inlineStr">
        <is>
          <t>通用分销商信号，无差异化切入点，慢慢跟</t>
        </is>
      </c>
      <c r="T392" t="inlineStr">
        <is>
          <t>B-300</t>
        </is>
      </c>
      <c r="U392" t="inlineStr"/>
      <c r="V392" t="inlineStr"/>
    </row>
    <row r="393">
      <c r="A393" t="inlineStr">
        <is>
          <t>MPI Technologies AG</t>
        </is>
      </c>
      <c r="B393" t="inlineStr">
        <is>
          <t>瑞士</t>
        </is>
      </c>
      <c r="C393" t="inlineStr"/>
      <c r="D393" t="inlineStr">
        <is>
          <t>mpi.ch</t>
        </is>
      </c>
      <c r="E393" t="inlineStr">
        <is>
          <t>分销（ORing 授权）</t>
        </is>
      </c>
      <c r="F393" t="inlineStr">
        <is>
          <t>ORing</t>
        </is>
      </c>
      <c r="G393" t="inlineStr">
        <is>
          <t>否</t>
        </is>
      </c>
      <c r="H393" t="inlineStr">
        <is>
          <t>瑞士工业网络分销</t>
        </is>
      </c>
      <c r="I393" t="inlineStr">
        <is>
          <t>LT-IS6312XGP-4XS8GT</t>
        </is>
      </c>
      <c r="J393" t="inlineStr">
        <is>
          <t>+41 564 83 34 44</t>
        </is>
      </c>
      <c r="K393" t="inlineStr">
        <is>
          <t>★★★</t>
        </is>
      </c>
      <c r="L393" t="inlineStr">
        <is>
          <t>未触达</t>
        </is>
      </c>
      <c r="M393" t="inlineStr">
        <is>
          <t>ORing经销商名录/2026-09</t>
        </is>
      </c>
      <c r="N393" t="inlineStr"/>
      <c r="O393" t="inlineStr"/>
      <c r="P393" t="inlineStr"/>
      <c r="Q393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393" t="inlineStr">
        <is>
          <t>C</t>
        </is>
      </c>
      <c r="S39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393" t="inlineStr">
        <is>
          <t>C-228</t>
        </is>
      </c>
      <c r="U393" t="inlineStr">
        <is>
          <t>B下放·无邮箱（群发触达不到）</t>
        </is>
      </c>
      <c r="V393" t="inlineStr"/>
    </row>
    <row r="394">
      <c r="A394" t="inlineStr">
        <is>
          <t>Philipp Marcel Albrecht / Portup</t>
        </is>
      </c>
      <c r="B394" t="inlineStr">
        <is>
          <t>瑞士</t>
        </is>
      </c>
      <c r="C394" t="inlineStr">
        <is>
          <t>Zürich</t>
        </is>
      </c>
      <c r="D394" t="inlineStr">
        <is>
          <t>portup.ch</t>
        </is>
      </c>
      <c r="E394" t="inlineStr">
        <is>
          <t>集成商/顾问（MikroTik 认证）</t>
        </is>
      </c>
      <c r="F394" t="inlineStr">
        <is>
          <t>MikroTik 认证顾问 MTCNA+MTCRE+MTCIPv6E+MTCEWE</t>
        </is>
      </c>
      <c r="G394" t="inlineStr">
        <is>
          <t>否</t>
        </is>
      </c>
      <c r="H394" t="inlineStr">
        <is>
          <t>MikroTik 认证顾问：自己做方案/集成/运维并自行采购设备 → 用 ERPS/IGMP/VLAN/CLI/MIB 这类技术语言切入，不打价格战</t>
        </is>
      </c>
      <c r="I394" t="inlineStr">
        <is>
          <t>LT-S8328G-4XS24GT-S</t>
        </is>
      </c>
      <c r="J394" t="inlineStr">
        <is>
          <t>+41 44 500 4699 / info@portup.ch</t>
        </is>
      </c>
      <c r="K394" t="inlineStr">
        <is>
          <t>★★★</t>
        </is>
      </c>
      <c r="L394" t="inlineStr">
        <is>
          <t>未触达</t>
        </is>
      </c>
      <c r="M394" t="inlineStr">
        <is>
          <t>2026-09-22</t>
        </is>
      </c>
      <c r="N394" t="inlineStr"/>
      <c r="O394" t="inlineStr"/>
      <c r="P394" t="inlineStr"/>
      <c r="Q394" t="inlineStr">
        <is>
          <t>含 MTCINE 方向外的路由与 IPv6、企业无线；英葡德三语</t>
        </is>
      </c>
      <c r="R394" t="inlineStr">
        <is>
          <t>B</t>
        </is>
      </c>
      <c r="S394" t="inlineStr">
        <is>
          <t>通用分销商信号，无差异化切入点，慢慢跟</t>
        </is>
      </c>
      <c r="T394" t="inlineStr">
        <is>
          <t>B-302</t>
        </is>
      </c>
      <c r="U394" t="inlineStr"/>
      <c r="V394" t="inlineStr"/>
    </row>
    <row r="395">
      <c r="A395" t="inlineStr">
        <is>
          <t>Wifx SA</t>
        </is>
      </c>
      <c r="B395" t="inlineStr">
        <is>
          <t>瑞士</t>
        </is>
      </c>
      <c r="C395" t="inlineStr"/>
      <c r="D395" t="inlineStr">
        <is>
          <t>shop.wifx.net</t>
        </is>
      </c>
      <c r="E395" t="inlineStr">
        <is>
          <t>分销（MikroTik 官方）</t>
        </is>
      </c>
      <c r="F395" t="inlineStr">
        <is>
          <t>MikroTik（Master）</t>
        </is>
      </c>
      <c r="G395" t="inlineStr">
        <is>
          <t>否</t>
        </is>
      </c>
      <c r="H395" t="inlineStr">
        <is>
          <t>卖 MikroTik 但缺工业/ERPS/PoE++ → 用同价位工业线补他的产品缺口</t>
        </is>
      </c>
      <c r="I395" t="inlineStr">
        <is>
          <t>LT-IS6312XGP-4XS8GT</t>
        </is>
      </c>
      <c r="J395" t="inlineStr">
        <is>
          <t>+41 24 550 01 70 / info@wifx.net</t>
        </is>
      </c>
      <c r="K395" t="inlineStr">
        <is>
          <t>★★★</t>
        </is>
      </c>
      <c r="L395" t="inlineStr">
        <is>
          <t>未触达</t>
        </is>
      </c>
      <c r="M395" t="inlineStr">
        <is>
          <t>2026-09-22</t>
        </is>
      </c>
      <c r="N395" t="inlineStr"/>
      <c r="O395" t="inlineStr"/>
      <c r="P395" t="inlineStr"/>
      <c r="Q395" t="inlineStr">
        <is>
          <t>Yverdon-les-Bains</t>
        </is>
      </c>
      <c r="R395" t="inlineStr">
        <is>
          <t>B</t>
        </is>
      </c>
      <c r="S395" t="inlineStr">
        <is>
          <t>通用分销商信号，无差异化切入点，慢慢跟</t>
        </is>
      </c>
      <c r="T395" t="inlineStr">
        <is>
          <t>B-303</t>
        </is>
      </c>
      <c r="U395" t="inlineStr"/>
      <c r="V395" t="inlineStr"/>
    </row>
    <row r="396">
      <c r="A396" t="inlineStr">
        <is>
          <t>H2 HOLDING LLC（fortshpejt.com）</t>
        </is>
      </c>
      <c r="B396" t="inlineStr">
        <is>
          <t>科索沃</t>
        </is>
      </c>
      <c r="C396" t="inlineStr"/>
      <c r="D396" t="inlineStr">
        <is>
          <t>fortshpejt.com</t>
        </is>
      </c>
      <c r="E396" t="inlineStr">
        <is>
          <t>分销（MikroTik 官方）</t>
        </is>
      </c>
      <c r="F396" t="inlineStr">
        <is>
          <t>MikroTik（Reseller）</t>
        </is>
      </c>
      <c r="G396" t="inlineStr">
        <is>
          <t>否</t>
        </is>
      </c>
      <c r="H396" t="inlineStr">
        <is>
          <t>卖 MikroTik 但缺工业/ERPS/PoE++ → 用同价位工业线补他的产品缺口</t>
        </is>
      </c>
      <c r="I396" t="inlineStr">
        <is>
          <t>LT-IS6312XG-4XS8GT</t>
        </is>
      </c>
      <c r="J396" t="inlineStr">
        <is>
          <t>+383 46 150 051 / info@fortshpejt.com</t>
        </is>
      </c>
      <c r="K396" t="inlineStr">
        <is>
          <t>★★</t>
        </is>
      </c>
      <c r="L396" t="inlineStr">
        <is>
          <t>未触达</t>
        </is>
      </c>
      <c r="M396" t="inlineStr">
        <is>
          <t>2026-09-22</t>
        </is>
      </c>
      <c r="N396" t="inlineStr"/>
      <c r="O396" t="inlineStr"/>
      <c r="P396" t="inlineStr"/>
      <c r="Q396" t="inlineStr">
        <is>
          <t>Prishtina</t>
        </is>
      </c>
      <c r="R396" t="inlineStr">
        <is>
          <t>B</t>
        </is>
      </c>
      <c r="S396" t="inlineStr">
        <is>
          <t>通用分销商信号，无差异化切入点，慢慢跟</t>
        </is>
      </c>
      <c r="T396" t="inlineStr">
        <is>
          <t>B-304</t>
        </is>
      </c>
      <c r="U396" t="inlineStr"/>
      <c r="V396" t="inlineStr"/>
    </row>
    <row r="397">
      <c r="A397" t="inlineStr">
        <is>
          <t>Jeton Syla</t>
        </is>
      </c>
      <c r="B397" t="inlineStr">
        <is>
          <t>科索沃</t>
        </is>
      </c>
      <c r="C397" t="inlineStr"/>
      <c r="D397" t="inlineStr"/>
      <c r="E397" t="inlineStr">
        <is>
          <t>集成商/顾问（MikroTik 认证）</t>
        </is>
      </c>
      <c r="F397" t="inlineStr">
        <is>
          <t xml:space="preserve">MikroTik 认证顾问 </t>
        </is>
      </c>
      <c r="G397" t="inlineStr">
        <is>
          <t>否</t>
        </is>
      </c>
      <c r="H397" t="inlineStr">
        <is>
          <t>MikroTik 认证顾问：自己做方案/集成/运维并自行采购设备 → 用 ERPS/IGMP/VLAN/CLI/MIB 这类技术语言切入，不打价格战</t>
        </is>
      </c>
      <c r="I397" t="inlineStr">
        <is>
          <t>LT-S8328G-4XS24GT-S</t>
        </is>
      </c>
      <c r="J397" t="inlineStr">
        <is>
          <t>+383 45 512 344 / jetoonsyla@gmail.com</t>
        </is>
      </c>
      <c r="K397" t="inlineStr">
        <is>
          <t>★★</t>
        </is>
      </c>
      <c r="L397" t="inlineStr">
        <is>
          <t>未触达</t>
        </is>
      </c>
      <c r="M397" t="inlineStr">
        <is>
          <t>2026-09-22</t>
        </is>
      </c>
      <c r="N397" t="inlineStr"/>
      <c r="O397" t="inlineStr"/>
      <c r="P397" t="inlineStr"/>
      <c r="Q397" t="inlineStr">
        <is>
          <t>科索沃**唯一**认证顾问（稀缺）</t>
        </is>
      </c>
      <c r="R397" t="inlineStr">
        <is>
          <t>B</t>
        </is>
      </c>
      <c r="S397" t="inlineStr">
        <is>
          <t>通用分销商信号，无差异化切入点，慢慢跟</t>
        </is>
      </c>
      <c r="T397" t="inlineStr">
        <is>
          <t>B-305</t>
        </is>
      </c>
      <c r="U397" t="inlineStr"/>
      <c r="V397" t="inlineStr"/>
    </row>
    <row r="398">
      <c r="A398" t="inlineStr">
        <is>
          <t>KosProd</t>
        </is>
      </c>
      <c r="B398" t="inlineStr">
        <is>
          <t>科索沃</t>
        </is>
      </c>
      <c r="C398" t="inlineStr"/>
      <c r="D398" t="inlineStr">
        <is>
          <t>kosprod.com</t>
        </is>
      </c>
      <c r="E398" t="inlineStr">
        <is>
          <t>分销（MikroTik 官方）</t>
        </is>
      </c>
      <c r="F398" t="inlineStr">
        <is>
          <t>MikroTik（Master）</t>
        </is>
      </c>
      <c r="G398" t="inlineStr">
        <is>
          <t>否</t>
        </is>
      </c>
      <c r="H398" t="inlineStr">
        <is>
          <t>卖 MikroTik 但缺工业/ERPS/PoE++ → 用同价位工业线补他的产品缺口</t>
        </is>
      </c>
      <c r="I398" t="inlineStr">
        <is>
          <t>LT-IS6312XGP-4XS8GT</t>
        </is>
      </c>
      <c r="J398" t="inlineStr">
        <is>
          <t>+377 45 607 000 / order@kosprod.com</t>
        </is>
      </c>
      <c r="K398" t="inlineStr">
        <is>
          <t>★★★</t>
        </is>
      </c>
      <c r="L398" t="inlineStr">
        <is>
          <t>未触达</t>
        </is>
      </c>
      <c r="M398" t="inlineStr">
        <is>
          <t>2026-09-22</t>
        </is>
      </c>
      <c r="N398" t="inlineStr"/>
      <c r="O398" t="inlineStr"/>
      <c r="P398" t="inlineStr"/>
      <c r="Q398" t="inlineStr">
        <is>
          <t>Fushë Kosovë</t>
        </is>
      </c>
      <c r="R398" t="inlineStr">
        <is>
          <t>B</t>
        </is>
      </c>
      <c r="S398" t="inlineStr">
        <is>
          <t>通用分销商信号，无差异化切入点，慢慢跟</t>
        </is>
      </c>
      <c r="T398" t="inlineStr">
        <is>
          <t>B-306</t>
        </is>
      </c>
      <c r="U398" t="inlineStr"/>
      <c r="V398" t="inlineStr"/>
    </row>
    <row r="399">
      <c r="A399" t="inlineStr">
        <is>
          <t>ACC Distribution UAB</t>
        </is>
      </c>
      <c r="B399" t="inlineStr">
        <is>
          <t>立陶宛</t>
        </is>
      </c>
      <c r="C399" t="inlineStr"/>
      <c r="D399" t="inlineStr">
        <is>
          <t>accdistribution.eu</t>
        </is>
      </c>
      <c r="E399" t="inlineStr">
        <is>
          <t>分销（MikroTik 官方）</t>
        </is>
      </c>
      <c r="F399" t="inlineStr">
        <is>
          <t>MikroTik（Master+VAD）</t>
        </is>
      </c>
      <c r="G399" t="inlineStr">
        <is>
          <t>否</t>
        </is>
      </c>
      <c r="H399" t="inlineStr">
        <is>
          <t>ACC Distribution 波罗的海集团（爱沙尼亚+立陶宛）</t>
        </is>
      </c>
      <c r="I399" t="inlineStr">
        <is>
          <t>LT-S8328XG-4XS8GT-S</t>
        </is>
      </c>
      <c r="J399" t="inlineStr">
        <is>
          <t>+370 37 33 39 33 / info@accdistribution.lt</t>
        </is>
      </c>
      <c r="K399" t="inlineStr">
        <is>
          <t>★★★</t>
        </is>
      </c>
      <c r="L399" t="inlineStr">
        <is>
          <t>未触达</t>
        </is>
      </c>
      <c r="M399" t="inlineStr">
        <is>
          <t>2026-09-22</t>
        </is>
      </c>
      <c r="N399" t="inlineStr"/>
      <c r="O399" t="inlineStr"/>
      <c r="P399" t="inlineStr"/>
      <c r="Q399" t="inlineStr">
        <is>
          <t>Kaunas</t>
        </is>
      </c>
      <c r="R399" t="inlineStr">
        <is>
          <t>B</t>
        </is>
      </c>
      <c r="S399" t="inlineStr">
        <is>
          <t>通用分销商信号，无差异化切入点，慢慢跟</t>
        </is>
      </c>
      <c r="T399" t="inlineStr">
        <is>
          <t>B-307</t>
        </is>
      </c>
      <c r="U399" t="inlineStr"/>
      <c r="V399" t="inlineStr"/>
    </row>
    <row r="400">
      <c r="A400" t="inlineStr">
        <is>
          <t>Automatikos centras, UAB</t>
        </is>
      </c>
      <c r="B400" t="inlineStr">
        <is>
          <t>立陶宛</t>
        </is>
      </c>
      <c r="C400" t="inlineStr"/>
      <c r="D400" t="inlineStr">
        <is>
          <t>automatikoscentras.lt</t>
        </is>
      </c>
      <c r="E400" t="inlineStr">
        <is>
          <t>分销（Westermo Reseller）</t>
        </is>
      </c>
      <c r="F400" t="inlineStr">
        <is>
          <t>Westermo</t>
        </is>
      </c>
      <c r="G400" t="inlineStr">
        <is>
          <t>否</t>
        </is>
      </c>
      <c r="H400" t="inlineStr">
        <is>
          <t>工业/轨道同规格 1/3 价第二供应源</t>
        </is>
      </c>
      <c r="I400" t="inlineStr">
        <is>
          <t>LT-IS6312XG-4XS8GT</t>
        </is>
      </c>
      <c r="J400" t="inlineStr">
        <is>
          <t>+370 37 262707</t>
        </is>
      </c>
      <c r="K400" t="inlineStr">
        <is>
          <t>★★</t>
        </is>
      </c>
      <c r="L400" t="inlineStr">
        <is>
          <t>未触达</t>
        </is>
      </c>
      <c r="M400" t="inlineStr">
        <is>
          <t>2026-09-22</t>
        </is>
      </c>
      <c r="N400" t="inlineStr"/>
      <c r="O400" t="inlineStr"/>
      <c r="P400" t="inlineStr"/>
      <c r="Q400" t="inlineStr">
        <is>
          <t>考纳斯</t>
        </is>
      </c>
      <c r="R400" t="inlineStr">
        <is>
          <t>C</t>
        </is>
      </c>
      <c r="S4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0" t="inlineStr">
        <is>
          <t>C-229</t>
        </is>
      </c>
      <c r="U400" t="inlineStr">
        <is>
          <t>B下放·无邮箱（群发触达不到）</t>
        </is>
      </c>
      <c r="V400" t="inlineStr"/>
    </row>
    <row r="401">
      <c r="A401" t="inlineStr">
        <is>
          <t>Dovydas Rimeisis</t>
        </is>
      </c>
      <c r="B401" t="inlineStr">
        <is>
          <t>立陶宛</t>
        </is>
      </c>
      <c r="C401" t="inlineStr">
        <is>
          <t>Vilnius</t>
        </is>
      </c>
      <c r="D401" t="inlineStr">
        <is>
          <t>atitic.eu</t>
        </is>
      </c>
      <c r="E401" t="inlineStr">
        <is>
          <t>集成商/顾问（MikroTik 认证）</t>
        </is>
      </c>
      <c r="F401" t="inlineStr">
        <is>
          <t>MikroTik 认证顾问 MTCNA+MTCRE</t>
        </is>
      </c>
      <c r="G401" t="inlineStr">
        <is>
          <t>否</t>
        </is>
      </c>
      <c r="H401" t="inlineStr">
        <is>
          <t>MikroTik 认证顾问：自己做方案/集成/运维并自行采购设备 → 用 ERPS/IGMP/VLAN/CLI/MIB 这类技术语言切入，不打价格战</t>
        </is>
      </c>
      <c r="I401" t="inlineStr">
        <is>
          <t>LT-S8328GP-4GX24GT-S</t>
        </is>
      </c>
      <c r="J401" t="inlineStr">
        <is>
          <t>+370 623 74543 / dovydas.rimeisis@atitic.eu</t>
        </is>
      </c>
      <c r="K401" t="inlineStr">
        <is>
          <t>★★★</t>
        </is>
      </c>
      <c r="L401" t="inlineStr">
        <is>
          <t>未触达</t>
        </is>
      </c>
      <c r="M401" t="inlineStr">
        <is>
          <t>2026-09-22</t>
        </is>
      </c>
      <c r="N401" t="inlineStr"/>
      <c r="O401" t="inlineStr"/>
      <c r="P401" t="inlineStr"/>
      <c r="Q401" t="inlineStr">
        <is>
          <t>10+ 年 MikroTik 实操、15+ 年 IT 基础设施；做本地/混合/公有云融合的完整方案（网络+计算+云+安全协同），擅长 MikroTik 作为大架构一环的复杂环境</t>
        </is>
      </c>
      <c r="R401" t="inlineStr">
        <is>
          <t>B</t>
        </is>
      </c>
      <c r="S401" t="inlineStr">
        <is>
          <t>通用分销商信号，无差异化切入点，慢慢跟</t>
        </is>
      </c>
      <c r="T401" t="inlineStr">
        <is>
          <t>B-309</t>
        </is>
      </c>
      <c r="U401" t="inlineStr"/>
      <c r="V401" t="inlineStr"/>
    </row>
    <row r="402">
      <c r="A402" t="inlineStr">
        <is>
          <t>Frineta UAB</t>
        </is>
      </c>
      <c r="B402" t="inlineStr">
        <is>
          <t>立陶宛</t>
        </is>
      </c>
      <c r="C402" t="inlineStr"/>
      <c r="D402" t="inlineStr">
        <is>
          <t>frineta.lt</t>
        </is>
      </c>
      <c r="E402" t="inlineStr">
        <is>
          <t>分销（MikroTik 官方）</t>
        </is>
      </c>
      <c r="F402" t="inlineStr">
        <is>
          <t>MikroTik（Reseller）</t>
        </is>
      </c>
      <c r="G402" t="inlineStr">
        <is>
          <t>否</t>
        </is>
      </c>
      <c r="H402" t="inlineStr">
        <is>
          <t>卖 MikroTik 但缺工业/ERPS/PoE++ → 用同价位工业线补他的产品缺口</t>
        </is>
      </c>
      <c r="I402" t="inlineStr">
        <is>
          <t>LT-IS6312XG-4XS8GT</t>
        </is>
      </c>
      <c r="J402" t="inlineStr">
        <is>
          <t>+370 3730 0807</t>
        </is>
      </c>
      <c r="K402" t="inlineStr">
        <is>
          <t>★★</t>
        </is>
      </c>
      <c r="L402" t="inlineStr">
        <is>
          <t>未触达</t>
        </is>
      </c>
      <c r="M402" t="inlineStr">
        <is>
          <t>2026-09-22</t>
        </is>
      </c>
      <c r="N402" t="inlineStr"/>
      <c r="O402" t="inlineStr"/>
      <c r="P402" t="inlineStr"/>
      <c r="Q402" t="inlineStr">
        <is>
          <t>Kaunas</t>
        </is>
      </c>
      <c r="R402" t="inlineStr">
        <is>
          <t>C</t>
        </is>
      </c>
      <c r="S4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2" t="inlineStr">
        <is>
          <t>C-230</t>
        </is>
      </c>
      <c r="U402" t="inlineStr">
        <is>
          <t>B下放·无邮箱（群发触达不到）</t>
        </is>
      </c>
      <c r="V402" t="inlineStr"/>
    </row>
    <row r="403">
      <c r="A403" t="inlineStr">
        <is>
          <t>UAB ELKO Lietuva</t>
        </is>
      </c>
      <c r="B403" t="inlineStr">
        <is>
          <t>立陶宛</t>
        </is>
      </c>
      <c r="C403" t="inlineStr"/>
      <c r="D403" t="inlineStr">
        <is>
          <t>elko.lt</t>
        </is>
      </c>
      <c r="E403" t="inlineStr">
        <is>
          <t>分销（MikroTik 官方）</t>
        </is>
      </c>
      <c r="F403" t="inlineStr">
        <is>
          <t>MikroTik（Master+VAD）</t>
        </is>
      </c>
      <c r="G403" t="inlineStr">
        <is>
          <t>否</t>
        </is>
      </c>
      <c r="H403" t="inlineStr">
        <is>
          <t>ELKO 集团立陶宛站（集团总部在拉脱维亚，覆盖 5+ 国）</t>
        </is>
      </c>
      <c r="I403" t="inlineStr">
        <is>
          <t>LT-S8328GP-4GX24GT</t>
        </is>
      </c>
      <c r="J403" t="inlineStr">
        <is>
          <t>+370 37 302 450 / info@elko.lt</t>
        </is>
      </c>
      <c r="K403" t="inlineStr">
        <is>
          <t>★★★</t>
        </is>
      </c>
      <c r="L403" t="inlineStr">
        <is>
          <t>未触达</t>
        </is>
      </c>
      <c r="M403" t="inlineStr">
        <is>
          <t>2026-09-22</t>
        </is>
      </c>
      <c r="N403" t="inlineStr"/>
      <c r="O403" t="inlineStr"/>
      <c r="P403" t="inlineStr"/>
      <c r="Q403" t="inlineStr">
        <is>
          <t>Kaunas</t>
        </is>
      </c>
      <c r="R403" t="inlineStr">
        <is>
          <t>B</t>
        </is>
      </c>
      <c r="S403" t="inlineStr">
        <is>
          <t>通用分销商信号，无差异化切入点，慢慢跟</t>
        </is>
      </c>
      <c r="T403" t="inlineStr">
        <is>
          <t>B-311</t>
        </is>
      </c>
      <c r="U403" t="inlineStr"/>
      <c r="V403" t="inlineStr"/>
    </row>
    <row r="404">
      <c r="A404" t="inlineStr">
        <is>
          <t>ATYS-co Romania</t>
        </is>
      </c>
      <c r="B404" t="inlineStr">
        <is>
          <t>罗马尼亚</t>
        </is>
      </c>
      <c r="C404" t="inlineStr"/>
      <c r="D404" t="inlineStr">
        <is>
          <t>atysco.ro</t>
        </is>
      </c>
      <c r="E404" t="inlineStr">
        <is>
          <t>分销（Westermo）</t>
        </is>
      </c>
      <c r="F404" t="inlineStr">
        <is>
          <t>Westermo</t>
        </is>
      </c>
      <c r="G404" t="inlineStr">
        <is>
          <t>否</t>
        </is>
      </c>
      <c r="H404" t="inlineStr">
        <is>
          <t>工业/轨道同规格 1/3 价第二供应源</t>
        </is>
      </c>
      <c r="I404" t="inlineStr">
        <is>
          <t>LT-IS6312XG-4XS8GT</t>
        </is>
      </c>
      <c r="J404" t="inlineStr">
        <is>
          <t>+40 264 593 169</t>
        </is>
      </c>
      <c r="K404" t="inlineStr">
        <is>
          <t>★★</t>
        </is>
      </c>
      <c r="L404" t="inlineStr">
        <is>
          <t>未触达</t>
        </is>
      </c>
      <c r="M404" t="inlineStr">
        <is>
          <t>2026-09-22</t>
        </is>
      </c>
      <c r="N404" t="inlineStr"/>
      <c r="O404" t="inlineStr"/>
      <c r="P404" t="inlineStr"/>
      <c r="Q404" t="inlineStr"/>
      <c r="R404" t="inlineStr">
        <is>
          <t>C</t>
        </is>
      </c>
      <c r="S4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4" t="inlineStr">
        <is>
          <t>C-231</t>
        </is>
      </c>
      <c r="U404" t="inlineStr">
        <is>
          <t>B下放·无邮箱（群发触达不到）</t>
        </is>
      </c>
      <c r="V404" t="inlineStr"/>
    </row>
    <row r="405">
      <c r="A405" t="inlineStr">
        <is>
          <t>Dipol Connect SRL</t>
        </is>
      </c>
      <c r="B405" t="inlineStr">
        <is>
          <t>罗马尼亚</t>
        </is>
      </c>
      <c r="C405" t="inlineStr"/>
      <c r="D405" t="inlineStr">
        <is>
          <t>dipolnet.ro</t>
        </is>
      </c>
      <c r="E405" t="inlineStr">
        <is>
          <t>分销（MikroTik 官方）</t>
        </is>
      </c>
      <c r="F405" t="inlineStr">
        <is>
          <t>MikroTik（Reseller）</t>
        </is>
      </c>
      <c r="G405" t="inlineStr">
        <is>
          <t>否</t>
        </is>
      </c>
      <c r="H405" t="inlineStr">
        <is>
          <t>MikroTik 官方分销，商用线可直接比价，工业线为零 → 新品类增量</t>
        </is>
      </c>
      <c r="I405" t="inlineStr">
        <is>
          <t>LT-S8328XG-4XS8GT-S</t>
        </is>
      </c>
      <c r="J405" t="inlineStr">
        <is>
          <t>+40 742 145 758 / office@dipolnet.ro</t>
        </is>
      </c>
      <c r="K405" t="inlineStr">
        <is>
          <t>★★</t>
        </is>
      </c>
      <c r="L405" t="inlineStr">
        <is>
          <t>未触达</t>
        </is>
      </c>
      <c r="M405" t="inlineStr">
        <is>
          <t>2026-09-22</t>
        </is>
      </c>
      <c r="N405" t="inlineStr"/>
      <c r="O405" t="inlineStr"/>
      <c r="P405" t="inlineStr"/>
      <c r="Q405" t="inlineStr">
        <is>
          <t>București</t>
        </is>
      </c>
      <c r="R405" t="inlineStr">
        <is>
          <t>B</t>
        </is>
      </c>
      <c r="S405" t="inlineStr">
        <is>
          <t>通用分销商信号，无差异化切入点，慢慢跟</t>
        </is>
      </c>
      <c r="T405" t="inlineStr">
        <is>
          <t>B-313</t>
        </is>
      </c>
      <c r="U405" t="inlineStr"/>
      <c r="V405" t="inlineStr"/>
    </row>
    <row r="406">
      <c r="A406" t="inlineStr">
        <is>
          <t>Eltrec Power Srl</t>
        </is>
      </c>
      <c r="B406" t="inlineStr">
        <is>
          <t>罗马尼亚</t>
        </is>
      </c>
      <c r="C406" t="inlineStr">
        <is>
          <t>Bucharest（覆盖摩尔多瓦）</t>
        </is>
      </c>
      <c r="D406" t="inlineStr">
        <is>
          <t>eltrec.ro</t>
        </is>
      </c>
      <c r="E406" t="inlineStr">
        <is>
          <t>分销（HMS/N-Tron·Red Lion 渠道）</t>
        </is>
      </c>
      <c r="F406" t="inlineStr">
        <is>
          <t>N-Tron + Red Lion + Anybus + Ewon + Ixxat + Intesis</t>
        </is>
      </c>
      <c r="G406" t="inlineStr">
        <is>
          <t>否</t>
        </is>
      </c>
      <c r="H406" t="inlineStr">
        <is>
          <t>卖 N-Tron/Red Lion 工业交换机（8口非网管约 $500+）→ 中性货同规格 LT-IS6310G 约 $91，做第二供应商，价差 5 倍</t>
        </is>
      </c>
      <c r="I406" t="inlineStr">
        <is>
          <t>LT-IS6312XGP-4XS8GT</t>
        </is>
      </c>
      <c r="J406" t="inlineStr">
        <is>
          <t>官网联系页（HMS 名录只公开地址与网址）</t>
        </is>
      </c>
      <c r="K406" t="inlineStr">
        <is>
          <t>★★★</t>
        </is>
      </c>
      <c r="L406" t="inlineStr">
        <is>
          <t>未触达</t>
        </is>
      </c>
      <c r="M406" t="inlineStr">
        <is>
          <t>2026-09-22</t>
        </is>
      </c>
      <c r="N406" t="inlineStr"/>
      <c r="O406" t="inlineStr"/>
      <c r="P406" t="inlineStr"/>
      <c r="Q406" t="inlineStr">
        <is>
          <t>HMS 全品牌 → 罗马尼亚+摩尔多瓦</t>
        </is>
      </c>
      <c r="R406" t="inlineStr">
        <is>
          <t>C</t>
        </is>
      </c>
      <c r="S40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6" t="inlineStr">
        <is>
          <t>C-232</t>
        </is>
      </c>
      <c r="U406" t="inlineStr">
        <is>
          <t>B下放·无邮箱（群发触达不到）</t>
        </is>
      </c>
      <c r="V406" t="inlineStr"/>
    </row>
    <row r="407">
      <c r="A407" t="inlineStr">
        <is>
          <t>George Lupulescu</t>
        </is>
      </c>
      <c r="B407" t="inlineStr">
        <is>
          <t>罗马尼亚</t>
        </is>
      </c>
      <c r="C407" t="inlineStr">
        <is>
          <t>Constanța</t>
        </is>
      </c>
      <c r="D407" t="inlineStr"/>
      <c r="E407" t="inlineStr">
        <is>
          <t>集成商/顾问（MikroTik 认证）</t>
        </is>
      </c>
      <c r="F407" t="inlineStr">
        <is>
          <t>MikroTik 认证顾问 MTCNA+MTCRE</t>
        </is>
      </c>
      <c r="G407" t="inlineStr">
        <is>
          <t>否</t>
        </is>
      </c>
      <c r="H407" t="inlineStr">
        <is>
          <t>MikroTik 认证顾问：自己做方案/集成/运维并自行采购设备 → 用 ERPS/IGMP/VLAN/CLI/MIB 这类技术语言切入，不打价格战</t>
        </is>
      </c>
      <c r="I407" t="inlineStr">
        <is>
          <t>LT-S8328G-4XS24GT-S</t>
        </is>
      </c>
      <c r="J407" t="inlineStr">
        <is>
          <t>+40 771 607 498 / georgelupulescu@gmail.com</t>
        </is>
      </c>
      <c r="K407" t="inlineStr">
        <is>
          <t>★★</t>
        </is>
      </c>
      <c r="L407" t="inlineStr">
        <is>
          <t>未触达</t>
        </is>
      </c>
      <c r="M407" t="inlineStr">
        <is>
          <t>2026-09-22</t>
        </is>
      </c>
      <c r="N407" t="inlineStr"/>
      <c r="O407" t="inlineStr"/>
      <c r="P407" t="inlineStr"/>
      <c r="Q407" t="inlineStr">
        <is>
          <t>全栈网络工程师，15+ 年经验</t>
        </is>
      </c>
      <c r="R407" t="inlineStr">
        <is>
          <t>B</t>
        </is>
      </c>
      <c r="S407" t="inlineStr">
        <is>
          <t>通用分销商信号，无差异化切入点，慢慢跟</t>
        </is>
      </c>
      <c r="T407" t="inlineStr">
        <is>
          <t>B-315</t>
        </is>
      </c>
      <c r="U407" t="inlineStr"/>
      <c r="V407" t="inlineStr"/>
    </row>
    <row r="408">
      <c r="A408" t="inlineStr">
        <is>
          <t>IMPERIAL ELECTRIC S.A.</t>
        </is>
      </c>
      <c r="B408" t="inlineStr">
        <is>
          <t>罗马尼亚</t>
        </is>
      </c>
      <c r="C408" t="inlineStr"/>
      <c r="D408" t="inlineStr">
        <is>
          <t>imperialelectric.ro</t>
        </is>
      </c>
      <c r="E408" t="inlineStr">
        <is>
          <t>分销（ORing 授权）</t>
        </is>
      </c>
      <c r="F408" t="inlineStr">
        <is>
          <t>ORing</t>
        </is>
      </c>
      <c r="G408" t="inlineStr">
        <is>
          <t>否</t>
        </is>
      </c>
      <c r="H408" t="inlineStr">
        <is>
          <t>罗马尼亚电气/工业分销</t>
        </is>
      </c>
      <c r="I408" t="inlineStr">
        <is>
          <t>LT-IS6312XGP-4XS8GT</t>
        </is>
      </c>
      <c r="J408" t="inlineStr">
        <is>
          <t>+40 213240417</t>
        </is>
      </c>
      <c r="K408" t="inlineStr">
        <is>
          <t>★★</t>
        </is>
      </c>
      <c r="L408" t="inlineStr">
        <is>
          <t>未触达</t>
        </is>
      </c>
      <c r="M408" t="inlineStr">
        <is>
          <t>ORing经销商名录/2026-09</t>
        </is>
      </c>
      <c r="N408" t="inlineStr"/>
      <c r="O408" t="inlineStr"/>
      <c r="P408" t="inlineStr"/>
      <c r="Q408" t="inlineStr">
        <is>
          <t>中东欧增量市场</t>
        </is>
      </c>
      <c r="R408" t="inlineStr">
        <is>
          <t>C</t>
        </is>
      </c>
      <c r="S40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08" t="inlineStr">
        <is>
          <t>C-233</t>
        </is>
      </c>
      <c r="U408" t="inlineStr">
        <is>
          <t>B下放·无邮箱（群发触达不到）</t>
        </is>
      </c>
      <c r="V408" t="inlineStr"/>
    </row>
    <row r="409">
      <c r="A409" t="inlineStr">
        <is>
          <t>Mircea Enache</t>
        </is>
      </c>
      <c r="B409" t="inlineStr">
        <is>
          <t>罗马尼亚</t>
        </is>
      </c>
      <c r="C409" t="inlineStr">
        <is>
          <t>Chiajna, Ilfov</t>
        </is>
      </c>
      <c r="D409" t="inlineStr"/>
      <c r="E409" t="inlineStr">
        <is>
          <t>集成商/顾问（MikroTik 认证）</t>
        </is>
      </c>
      <c r="F409" t="inlineStr">
        <is>
          <t>MikroTik 认证顾问 MTCNA+MTCRE+MTCINE+MTCEWE</t>
        </is>
      </c>
      <c r="G409" t="inlineStr">
        <is>
          <t>否</t>
        </is>
      </c>
      <c r="H409" t="inlineStr">
        <is>
          <t>MikroTik 认证顾问：自己做方案/集成/运维并自行采购设备 → 用 ERPS/IGMP/VLAN/CLI/MIB 这类技术语言切入，不打价格战</t>
        </is>
      </c>
      <c r="I409" t="inlineStr">
        <is>
          <t>LT-S8328XGP-4XS24GT-S</t>
        </is>
      </c>
      <c r="J409" t="inlineStr">
        <is>
          <t>+40 763 698 949 / mircea.enache@outlook.com</t>
        </is>
      </c>
      <c r="K409" t="inlineStr">
        <is>
          <t>★★★</t>
        </is>
      </c>
      <c r="L409" t="inlineStr">
        <is>
          <t>未触达</t>
        </is>
      </c>
      <c r="M409" t="inlineStr">
        <is>
          <t>2026-09-22</t>
        </is>
      </c>
      <c r="N409" t="inlineStr"/>
      <c r="O409" t="inlineStr"/>
      <c r="P409" t="inlineStr"/>
      <c r="Q409" t="inlineStr">
        <is>
          <t>网络架构师，10+ 年经验；含 MTCINE（ISP 互联）+ MTCEWE（企业无线）；英德罗三语</t>
        </is>
      </c>
      <c r="R409" t="inlineStr">
        <is>
          <t>B</t>
        </is>
      </c>
      <c r="S409" t="inlineStr">
        <is>
          <t>有信号（ISP/骨干）但需先验证需求或联系人不具体</t>
        </is>
      </c>
      <c r="T409" t="inlineStr">
        <is>
          <t>B-317</t>
        </is>
      </c>
      <c r="U409" t="inlineStr"/>
      <c r="V409" t="inlineStr"/>
    </row>
    <row r="410">
      <c r="A410" t="inlineStr">
        <is>
          <t>Netter System SRL（mikrotik.ro）</t>
        </is>
      </c>
      <c r="B410" t="inlineStr">
        <is>
          <t>罗马尼亚</t>
        </is>
      </c>
      <c r="C410" t="inlineStr"/>
      <c r="D410" t="inlineStr">
        <is>
          <t>mikrotik.ro</t>
        </is>
      </c>
      <c r="E410" t="inlineStr">
        <is>
          <t>分销（MikroTik 官方）</t>
        </is>
      </c>
      <c r="F410" t="inlineStr">
        <is>
          <t>MikroTik（Master+VAD）</t>
        </is>
      </c>
      <c r="G410" t="inlineStr">
        <is>
          <t>否</t>
        </is>
      </c>
      <c r="H410" t="inlineStr">
        <is>
          <t>域名就是 mikrotik.ro → 单品牌依赖最高档</t>
        </is>
      </c>
      <c r="I410" t="inlineStr">
        <is>
          <t>LT-IS6312XGP-4XS8GT</t>
        </is>
      </c>
      <c r="J410" t="inlineStr">
        <is>
          <t>+40 744 334 260 / office@mikrotik.ro</t>
        </is>
      </c>
      <c r="K410" t="inlineStr">
        <is>
          <t>★★★</t>
        </is>
      </c>
      <c r="L410" t="inlineStr">
        <is>
          <t>未触达</t>
        </is>
      </c>
      <c r="M410" t="inlineStr">
        <is>
          <t>2026-09-22</t>
        </is>
      </c>
      <c r="N410" t="inlineStr"/>
      <c r="O410" t="inlineStr"/>
      <c r="P410" t="inlineStr"/>
      <c r="Q410" t="inlineStr">
        <is>
          <t>Cristuru Secuiesc</t>
        </is>
      </c>
      <c r="R410" t="inlineStr">
        <is>
          <t>B</t>
        </is>
      </c>
      <c r="S410" t="inlineStr">
        <is>
          <t>通用分销商信号，无差异化切入点，慢慢跟</t>
        </is>
      </c>
      <c r="T410" t="inlineStr">
        <is>
          <t>B-318</t>
        </is>
      </c>
      <c r="U410" t="inlineStr"/>
      <c r="V410" t="inlineStr"/>
    </row>
    <row r="411">
      <c r="A411" t="inlineStr">
        <is>
          <t>Octavian Nicolae Tolea / Newvision</t>
        </is>
      </c>
      <c r="B411" t="inlineStr">
        <is>
          <t>罗马尼亚</t>
        </is>
      </c>
      <c r="C411" t="inlineStr">
        <is>
          <t>București</t>
        </is>
      </c>
      <c r="D411" t="inlineStr">
        <is>
          <t>newvision.ro</t>
        </is>
      </c>
      <c r="E411" t="inlineStr">
        <is>
          <t>集成商/顾问（MikroTik 认证）</t>
        </is>
      </c>
      <c r="F411" t="inlineStr">
        <is>
          <t>MikroTik 认证顾问 MTCNA+MTCSE</t>
        </is>
      </c>
      <c r="G411" t="inlineStr">
        <is>
          <t>否</t>
        </is>
      </c>
      <c r="H411" t="inlineStr">
        <is>
          <t>MikroTik 认证顾问：自己做方案/集成/运维并自行采购设备 → 用 ERPS/IGMP/VLAN/CLI/MIB 这类技术语言切入，不打价格战</t>
        </is>
      </c>
      <c r="I411" t="inlineStr">
        <is>
          <t>LT-S8328GP-4GX24GT-S</t>
        </is>
      </c>
      <c r="J411" t="inlineStr">
        <is>
          <t>+40 724 039 489 / octavian.tolea@newvision.ro</t>
        </is>
      </c>
      <c r="K411" t="inlineStr">
        <is>
          <t>★★</t>
        </is>
      </c>
      <c r="L411" t="inlineStr">
        <is>
          <t>未触达</t>
        </is>
      </c>
      <c r="M411" t="inlineStr">
        <is>
          <t>2026-09-22</t>
        </is>
      </c>
      <c r="N411" t="inlineStr"/>
      <c r="O411" t="inlineStr"/>
      <c r="P411" t="inlineStr"/>
      <c r="Q411" t="inlineStr">
        <is>
          <t>中小企业/家庭办公网络设计实施与支持；无线设计与部署、PtP 链路、Hotspot 管理、站点间隧道与远程办公、网络安全</t>
        </is>
      </c>
      <c r="R411" t="inlineStr">
        <is>
          <t>B</t>
        </is>
      </c>
      <c r="S411" t="inlineStr">
        <is>
          <t>通用分销商信号，无差异化切入点，慢慢跟</t>
        </is>
      </c>
      <c r="T411" t="inlineStr">
        <is>
          <t>B-319</t>
        </is>
      </c>
      <c r="U411" t="inlineStr"/>
      <c r="V411" t="inlineStr"/>
    </row>
    <row r="412">
      <c r="A412" t="inlineStr">
        <is>
          <t>TELESYSTEM</t>
        </is>
      </c>
      <c r="B412" t="inlineStr">
        <is>
          <t>罗马尼亚</t>
        </is>
      </c>
      <c r="C412" t="inlineStr"/>
      <c r="D412" t="inlineStr">
        <is>
          <t>telesystem.ro</t>
        </is>
      </c>
      <c r="E412" t="inlineStr">
        <is>
          <t>分销（MikroTik 官方）</t>
        </is>
      </c>
      <c r="F412" t="inlineStr">
        <is>
          <t>MikroTik（Master+VAD）</t>
        </is>
      </c>
      <c r="G412" t="inlineStr">
        <is>
          <t>否</t>
        </is>
      </c>
      <c r="H412" t="inlineStr">
        <is>
          <t>卖 MikroTik 但缺工业/ERPS/PoE++ → 用同价位工业线补他的产品缺口</t>
        </is>
      </c>
      <c r="I412" t="inlineStr">
        <is>
          <t>LT-IS6312XG-4XS8GT</t>
        </is>
      </c>
      <c r="J412" t="inlineStr">
        <is>
          <t>+40 31 101 99 09 / comenzi@telesystem.ro</t>
        </is>
      </c>
      <c r="K412" t="inlineStr">
        <is>
          <t>★★★</t>
        </is>
      </c>
      <c r="L412" t="inlineStr">
        <is>
          <t>未触达</t>
        </is>
      </c>
      <c r="M412" t="inlineStr">
        <is>
          <t>2026-09-22</t>
        </is>
      </c>
      <c r="N412" t="inlineStr"/>
      <c r="O412" t="inlineStr"/>
      <c r="P412" t="inlineStr"/>
      <c r="Q412" t="inlineStr">
        <is>
          <t>Bacău / București / Iași</t>
        </is>
      </c>
      <c r="R412" t="inlineStr">
        <is>
          <t>B</t>
        </is>
      </c>
      <c r="S412" t="inlineStr">
        <is>
          <t>通用分销商信号，无差异化切入点，慢慢跟</t>
        </is>
      </c>
      <c r="T412" t="inlineStr">
        <is>
          <t>B-320</t>
        </is>
      </c>
      <c r="U412" t="inlineStr"/>
      <c r="V412" t="inlineStr"/>
    </row>
    <row r="413">
      <c r="A413" t="inlineStr">
        <is>
          <t>Wifimag.ro</t>
        </is>
      </c>
      <c r="B413" t="inlineStr">
        <is>
          <t>罗马尼亚</t>
        </is>
      </c>
      <c r="C413" t="inlineStr"/>
      <c r="D413" t="inlineStr">
        <is>
          <t>wifimag.ro</t>
        </is>
      </c>
      <c r="E413" t="inlineStr">
        <is>
          <t>分销（MikroTik 官方）</t>
        </is>
      </c>
      <c r="F413" t="inlineStr">
        <is>
          <t>MikroTik（Reseller）</t>
        </is>
      </c>
      <c r="G413" t="inlineStr">
        <is>
          <t>否</t>
        </is>
      </c>
      <c r="H413" t="inlineStr">
        <is>
          <t>卖 MikroTik 但缺工业/ERPS/PoE++ → 用同价位工业线补他的产品缺口</t>
        </is>
      </c>
      <c r="I413" t="inlineStr">
        <is>
          <t>LT-IS6312XG-4XS8GT</t>
        </is>
      </c>
      <c r="J413" t="inlineStr">
        <is>
          <t>+40 748 113 178 / mikrotik@wifimag.ro</t>
        </is>
      </c>
      <c r="K413" t="inlineStr">
        <is>
          <t>★★</t>
        </is>
      </c>
      <c r="L413" t="inlineStr">
        <is>
          <t>未触达</t>
        </is>
      </c>
      <c r="M413" t="inlineStr">
        <is>
          <t>2026-09-22</t>
        </is>
      </c>
      <c r="N413" t="inlineStr"/>
      <c r="O413" t="inlineStr"/>
      <c r="P413" t="inlineStr"/>
      <c r="Q413" t="inlineStr">
        <is>
          <t>Tulcea</t>
        </is>
      </c>
      <c r="R413" t="inlineStr">
        <is>
          <t>B</t>
        </is>
      </c>
      <c r="S413" t="inlineStr">
        <is>
          <t>通用分销商信号，无差异化切入点，慢慢跟</t>
        </is>
      </c>
      <c r="T413" t="inlineStr">
        <is>
          <t>B-321</t>
        </is>
      </c>
      <c r="U413" t="inlineStr"/>
      <c r="V413" t="inlineStr"/>
    </row>
    <row r="414">
      <c r="A414" t="inlineStr">
        <is>
          <t>4Net Networking, Corp.</t>
        </is>
      </c>
      <c r="B414" t="inlineStr">
        <is>
          <t>美国</t>
        </is>
      </c>
      <c r="C414" t="inlineStr">
        <is>
          <t>FL</t>
        </is>
      </c>
      <c r="D414" t="inlineStr">
        <is>
          <t>4netonline.com</t>
        </is>
      </c>
      <c r="E414" t="inlineStr">
        <is>
          <t>分销（MikroTik 官方）</t>
        </is>
      </c>
      <c r="F414" t="inlineStr">
        <is>
          <t>MikroTik（Master+VAD）</t>
        </is>
      </c>
      <c r="G414" t="inlineStr">
        <is>
          <t>否</t>
        </is>
      </c>
      <c r="H414" t="inlineStr">
        <is>
          <t>卖 MikroTik 但缺工业/ERPS/PoE++ → 用同价位工业线补他的产品缺口</t>
        </is>
      </c>
      <c r="I414" t="inlineStr">
        <is>
          <t>LT-IS6312XG-4XS8GT</t>
        </is>
      </c>
      <c r="J414" t="inlineStr">
        <is>
          <t>+1 305 599 0086 / sales@4netonline.com</t>
        </is>
      </c>
      <c r="K414" t="inlineStr">
        <is>
          <t>★★★</t>
        </is>
      </c>
      <c r="L414" t="inlineStr">
        <is>
          <t>未触达</t>
        </is>
      </c>
      <c r="M414" t="inlineStr">
        <is>
          <t>2026-09-22</t>
        </is>
      </c>
      <c r="N414" t="inlineStr"/>
      <c r="O414" t="inlineStr"/>
      <c r="P414" t="inlineStr"/>
      <c r="Q414" t="inlineStr">
        <is>
          <t>USMiami</t>
        </is>
      </c>
      <c r="R414" t="inlineStr">
        <is>
          <t>B</t>
        </is>
      </c>
      <c r="S414" t="inlineStr">
        <is>
          <t>通用分销商信号，无差异化切入点，慢慢跟</t>
        </is>
      </c>
      <c r="T414" t="inlineStr">
        <is>
          <t>B-322</t>
        </is>
      </c>
      <c r="U414" t="inlineStr"/>
      <c r="V414" t="inlineStr"/>
    </row>
    <row r="415">
      <c r="A415" t="inlineStr">
        <is>
          <t>ABP TECH</t>
        </is>
      </c>
      <c r="B415" t="inlineStr">
        <is>
          <t>美国</t>
        </is>
      </c>
      <c r="C415" t="inlineStr"/>
      <c r="D415" t="inlineStr">
        <is>
          <t>abptech.com</t>
        </is>
      </c>
      <c r="E415" t="inlineStr">
        <is>
          <t>分销（PLANET 授权）</t>
        </is>
      </c>
      <c r="F415" t="inlineStr">
        <is>
          <t>PLANET（台厂工业/商用交换机）</t>
        </is>
      </c>
      <c r="G415" t="inlineStr">
        <is>
          <t>否</t>
        </is>
      </c>
      <c r="H415" t="inlineStr">
        <is>
          <t>在售 PLANET 工业以太网全系（含 ERPS 环网 &lt;20ms、PoE、串口服务器）；达拉斯地区分销</t>
        </is>
      </c>
      <c r="I415" t="inlineStr">
        <is>
          <t>LT-IS6312XGP-4XS8GT</t>
        </is>
      </c>
      <c r="J415" t="inlineStr">
        <is>
          <t>官网 Contact 页</t>
        </is>
      </c>
      <c r="K415" t="inlineStr">
        <is>
          <t>★★</t>
        </is>
      </c>
      <c r="L415" t="inlineStr">
        <is>
          <t>未触达</t>
        </is>
      </c>
      <c r="M415" t="inlineStr">
        <is>
          <t>PLANET 经销商名录/2026-09</t>
        </is>
      </c>
      <c r="N415" t="inlineStr"/>
      <c r="O415" t="inlineStr"/>
      <c r="P415" t="inlineStr"/>
      <c r="Q415" t="inlineStr">
        <is>
          <t>【2026-09-22 新增】abptech.com 设 PLANET 专页，经销工业以太网/PoE/介质转换；站列联系电话 972.831.1600（德州达拉斯）。国家依据电话区号推定，待核实。</t>
        </is>
      </c>
      <c r="R415" t="inlineStr">
        <is>
          <t>C</t>
        </is>
      </c>
      <c r="S4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15" t="inlineStr">
        <is>
          <t>C-234</t>
        </is>
      </c>
      <c r="U415" t="inlineStr">
        <is>
          <t>B下放·无邮箱（群发触达不到）</t>
        </is>
      </c>
      <c r="V415" t="inlineStr"/>
    </row>
    <row r="416">
      <c r="A416" t="inlineStr">
        <is>
          <t>Adcon Engineering（ACD/Adcon）</t>
        </is>
      </c>
      <c r="B416" t="inlineStr">
        <is>
          <t>美国</t>
        </is>
      </c>
      <c r="C416" t="inlineStr">
        <is>
          <t>OH</t>
        </is>
      </c>
      <c r="D416" t="inlineStr">
        <is>
          <t>adconengineering.com</t>
        </is>
      </c>
      <c r="E416" t="inlineStr">
        <is>
          <t>分销（HMS/N-Tron·Red Lion 渠道）</t>
        </is>
      </c>
      <c r="F416" t="inlineStr">
        <is>
          <t>N-Tron + Red Lion + Ewon</t>
        </is>
      </c>
      <c r="G416" t="inlineStr">
        <is>
          <t>否</t>
        </is>
      </c>
      <c r="H416" t="inlineStr">
        <is>
          <t>卖 N-Tron/Red Lion 工业交换机（8口约 $500+）→ 中性货同规格 LT-IS6310G 约 $91，做第二供应商，价差 5 倍</t>
        </is>
      </c>
      <c r="I416" t="inlineStr">
        <is>
          <t>LT-IS6312XG-4XS8GT</t>
        </is>
      </c>
      <c r="J416" t="inlineStr">
        <is>
          <t>官网联系页（HMS 名录只公开地址与网址）</t>
        </is>
      </c>
      <c r="K416" t="inlineStr">
        <is>
          <t>★★★</t>
        </is>
      </c>
      <c r="L416" t="inlineStr">
        <is>
          <t>未触达</t>
        </is>
      </c>
      <c r="M416" t="inlineStr">
        <is>
          <t>2026-09-22</t>
        </is>
      </c>
      <c r="N416" t="inlineStr"/>
      <c r="O416" t="inlineStr"/>
      <c r="P416" t="inlineStr"/>
      <c r="Q416" t="inlineStr">
        <is>
          <t>只覆盖俄亥俄州；⚠️ 中国产地不能做 TAA/NDAA 政府/电力项目，只谈商业渠道</t>
        </is>
      </c>
      <c r="R416" t="inlineStr">
        <is>
          <t>C</t>
        </is>
      </c>
      <c r="S41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6" t="inlineStr">
        <is>
          <t>C-235</t>
        </is>
      </c>
      <c r="U416" t="inlineStr">
        <is>
          <t>B下放·无邮箱（群发触达不到）</t>
        </is>
      </c>
      <c r="V416" t="inlineStr"/>
    </row>
    <row r="417">
      <c r="A417" t="inlineStr">
        <is>
          <t>Agilix Solutions LLC</t>
        </is>
      </c>
      <c r="B417" t="inlineStr">
        <is>
          <t>美国</t>
        </is>
      </c>
      <c r="C417" t="inlineStr">
        <is>
          <t>MO</t>
        </is>
      </c>
      <c r="D417" t="inlineStr"/>
      <c r="E417" t="inlineStr">
        <is>
          <t>分销（HMS/N-Tron·Red Lion 渠道）</t>
        </is>
      </c>
      <c r="F417" t="inlineStr">
        <is>
          <t>N-Tron + Red Lion + Anybus + Ewon</t>
        </is>
      </c>
      <c r="G417" t="inlineStr">
        <is>
          <t>否</t>
        </is>
      </c>
      <c r="H417" t="inlineStr">
        <is>
          <t>卖 N-Tron/Red Lion 工业交换机（8口约 $500+）→ 中性货同规格 LT-IS6310G 约 $91，做第二供应商，价差 5 倍</t>
        </is>
      </c>
      <c r="I417" t="inlineStr">
        <is>
          <t>LT-IS6312XGP-4XS8GT</t>
        </is>
      </c>
      <c r="J417" t="inlineStr">
        <is>
          <t>官网联系页（HMS 名录只公开地址与网址）</t>
        </is>
      </c>
      <c r="K417" t="inlineStr">
        <is>
          <t>★★</t>
        </is>
      </c>
      <c r="L417" t="inlineStr">
        <is>
          <t>未触达</t>
        </is>
      </c>
      <c r="M417" t="inlineStr">
        <is>
          <t>2026-09-22</t>
        </is>
      </c>
      <c r="N417" t="inlineStr"/>
      <c r="O417" t="inlineStr"/>
      <c r="P417" t="inlineStr"/>
      <c r="Q417" t="inlineStr">
        <is>
          <t>覆盖 KS/MO；无公开网址，需 LinkedIn 找人；⚠️ 中国产地不能做 TAA/NDAA 政府/电力项目，只谈商业渠道</t>
        </is>
      </c>
      <c r="R417" t="inlineStr">
        <is>
          <t>C</t>
        </is>
      </c>
      <c r="S41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17" t="inlineStr">
        <is>
          <t>C-236</t>
        </is>
      </c>
      <c r="U417" t="inlineStr">
        <is>
          <t>B下放·无邮箱（群发触达不到）</t>
        </is>
      </c>
      <c r="V417" t="inlineStr"/>
    </row>
    <row r="418">
      <c r="A418" t="inlineStr">
        <is>
          <t>Altanet Corporation</t>
        </is>
      </c>
      <c r="B418" t="inlineStr">
        <is>
          <t>美国</t>
        </is>
      </c>
      <c r="C418" t="inlineStr">
        <is>
          <t>FL</t>
        </is>
      </c>
      <c r="D418" t="inlineStr">
        <is>
          <t>altanet-corp.com</t>
        </is>
      </c>
      <c r="E418" t="inlineStr">
        <is>
          <t>分销（MikroTik 官方）</t>
        </is>
      </c>
      <c r="F418" t="inlineStr">
        <is>
          <t>MikroTik（Reseller）</t>
        </is>
      </c>
      <c r="G418" t="inlineStr">
        <is>
          <t>否</t>
        </is>
      </c>
      <c r="H418" t="inlineStr">
        <is>
          <t>卖 MikroTik 但缺工业/ERPS/PoE++ → 用同价位工业线补他的产品缺口</t>
        </is>
      </c>
      <c r="I418" t="inlineStr">
        <is>
          <t>LT-IS6312XGP-4XS8GT</t>
        </is>
      </c>
      <c r="J418" t="inlineStr">
        <is>
          <t>+1 786 228 5758 / aeal@altanet-corp.com</t>
        </is>
      </c>
      <c r="K418" t="inlineStr">
        <is>
          <t>★★</t>
        </is>
      </c>
      <c r="L418" t="inlineStr">
        <is>
          <t>未触达</t>
        </is>
      </c>
      <c r="M418" t="inlineStr">
        <is>
          <t>2026-09-22</t>
        </is>
      </c>
      <c r="N418" t="inlineStr"/>
      <c r="O418" t="inlineStr"/>
      <c r="P418" t="inlineStr"/>
      <c r="Q418" t="inlineStr">
        <is>
          <t>USMiami</t>
        </is>
      </c>
      <c r="R418" t="inlineStr">
        <is>
          <t>B</t>
        </is>
      </c>
      <c r="S418" t="inlineStr">
        <is>
          <t>通用分销商信号，无差异化切入点，慢慢跟</t>
        </is>
      </c>
      <c r="T418" t="inlineStr">
        <is>
          <t>B-326</t>
        </is>
      </c>
      <c r="U418" t="inlineStr"/>
      <c r="V418" t="inlineStr"/>
    </row>
    <row r="419">
      <c r="A419" t="inlineStr">
        <is>
          <t>Andrei Zhernosek</t>
        </is>
      </c>
      <c r="B419" t="inlineStr">
        <is>
          <t>美国</t>
        </is>
      </c>
      <c r="C419" t="inlineStr">
        <is>
          <t>Newcastle, WA</t>
        </is>
      </c>
      <c r="D419" t="inlineStr"/>
      <c r="E419" t="inlineStr">
        <is>
          <t>集成商/顾问（MikroTik 认证）</t>
        </is>
      </c>
      <c r="F419" t="inlineStr">
        <is>
          <t>MikroTik 认证顾问 MTCNA+MTCRE+MTCWE+MTCTCE+MTCSE+MTCEWE</t>
        </is>
      </c>
      <c r="G419" t="inlineStr">
        <is>
          <t>否</t>
        </is>
      </c>
      <c r="H419" t="inlineStr">
        <is>
          <t>MikroTik 认证顾问：自己做方案/集成/运维并自行采购设备 → 用 ERPS/IGMP/VLAN/CLI/MIB 这类技术语言切入，不打价格战</t>
        </is>
      </c>
      <c r="I419" t="inlineStr">
        <is>
          <t>LT-S8328XG-4XS24GT-S</t>
        </is>
      </c>
      <c r="J419" t="inlineStr">
        <is>
          <t>+1 206 412 4111 / master226@gmail.com</t>
        </is>
      </c>
      <c r="K419" t="inlineStr">
        <is>
          <t>★★</t>
        </is>
      </c>
      <c r="L419" t="inlineStr">
        <is>
          <t>未触达</t>
        </is>
      </c>
      <c r="M419" t="inlineStr">
        <is>
          <t>2026-09-22</t>
        </is>
      </c>
      <c r="N419" t="inlineStr"/>
      <c r="O419" t="inlineStr"/>
      <c r="P419" t="inlineStr"/>
      <c r="Q419" t="inlineStr">
        <is>
          <t>MikroTik 认证讲师（TR0232），10+ 年 ISP 与企业网络设计实施排障；英俄双语</t>
        </is>
      </c>
      <c r="R419" t="inlineStr">
        <is>
          <t>B</t>
        </is>
      </c>
      <c r="S419" t="inlineStr">
        <is>
          <t>通用分销商信号，无差异化切入点，慢慢跟</t>
        </is>
      </c>
      <c r="T419" t="inlineStr">
        <is>
          <t>B-327</t>
        </is>
      </c>
      <c r="U419" t="inlineStr"/>
      <c r="V419" t="inlineStr"/>
    </row>
    <row r="420">
      <c r="A420" t="inlineStr">
        <is>
          <t>B&amp;K Electric Wholesale Co</t>
        </is>
      </c>
      <c r="B420" t="inlineStr">
        <is>
          <t>美国</t>
        </is>
      </c>
      <c r="C420" t="inlineStr">
        <is>
          <t>CA</t>
        </is>
      </c>
      <c r="D420" t="inlineStr">
        <is>
          <t>bk-electric.com</t>
        </is>
      </c>
      <c r="E420" t="inlineStr">
        <is>
          <t>分销（HMS/N-Tron·Red Lion 渠道）</t>
        </is>
      </c>
      <c r="F420" t="inlineStr">
        <is>
          <t>N-Tron + Red Lion + Anybus + Ewon</t>
        </is>
      </c>
      <c r="G420" t="inlineStr">
        <is>
          <t>否</t>
        </is>
      </c>
      <c r="H420" t="inlineStr">
        <is>
          <t>卖 N-Tron/Red Lion 工业交换机（8口约 $500+）→ 中性货同规格 LT-IS6310G 约 $91，做第二供应商，价差 5 倍</t>
        </is>
      </c>
      <c r="I420" t="inlineStr">
        <is>
          <t>LT-IS6310G</t>
        </is>
      </c>
      <c r="J420" t="inlineStr">
        <is>
          <t>官网联系页（HMS 名录只公开地址与网址）</t>
        </is>
      </c>
      <c r="K420" t="inlineStr">
        <is>
          <t>★★★</t>
        </is>
      </c>
      <c r="L420" t="inlineStr">
        <is>
          <t>未触达</t>
        </is>
      </c>
      <c r="M420" t="inlineStr">
        <is>
          <t>2026-09-22</t>
        </is>
      </c>
      <c r="N420" t="inlineStr"/>
      <c r="O420" t="inlineStr"/>
      <c r="P420" t="inlineStr"/>
      <c r="Q420" t="inlineStr">
        <is>
          <t>加州；有售前+售后支持；⚠️ 中国产地不能做 TAA/NDAA 政府/电力项目，只谈商业渠道</t>
        </is>
      </c>
      <c r="R420" t="inlineStr">
        <is>
          <t>C</t>
        </is>
      </c>
      <c r="S4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20" t="inlineStr">
        <is>
          <t>C-237</t>
        </is>
      </c>
      <c r="U420" t="inlineStr">
        <is>
          <t>B下放·无邮箱（群发触达不到）</t>
        </is>
      </c>
      <c r="V420" t="inlineStr"/>
    </row>
    <row r="421">
      <c r="A421" t="inlineStr">
        <is>
          <t>BIBAOnline</t>
        </is>
      </c>
      <c r="B421" t="inlineStr">
        <is>
          <t>美国</t>
        </is>
      </c>
      <c r="C421" t="inlineStr">
        <is>
          <t>VA</t>
        </is>
      </c>
      <c r="D421" t="inlineStr">
        <is>
          <t>bibaonline.com</t>
        </is>
      </c>
      <c r="E421" t="inlineStr">
        <is>
          <t>分销（MikroTik 官方）</t>
        </is>
      </c>
      <c r="F421" t="inlineStr">
        <is>
          <t>MikroTik（Reseller）</t>
        </is>
      </c>
      <c r="G421" t="inlineStr">
        <is>
          <t>否</t>
        </is>
      </c>
      <c r="H421" t="inlineStr">
        <is>
          <t>卖 MikroTik 但缺工业/ERPS/PoE++ → 用同价位工业线补他的产品缺口</t>
        </is>
      </c>
      <c r="I421" t="inlineStr">
        <is>
          <t>LT-IS6312XG-4XS8GT</t>
        </is>
      </c>
      <c r="J421" t="inlineStr">
        <is>
          <t>+1 571 249 2422 / info@biballc.com</t>
        </is>
      </c>
      <c r="K421" t="inlineStr">
        <is>
          <t>★★</t>
        </is>
      </c>
      <c r="L421" t="inlineStr">
        <is>
          <t>未触达</t>
        </is>
      </c>
      <c r="M421" t="inlineStr">
        <is>
          <t>2026-09-22</t>
        </is>
      </c>
      <c r="N421" t="inlineStr"/>
      <c r="O421" t="inlineStr"/>
      <c r="P421" t="inlineStr"/>
      <c r="Q421" t="inlineStr">
        <is>
          <t>USCentreville</t>
        </is>
      </c>
      <c r="R421" t="inlineStr">
        <is>
          <t>B</t>
        </is>
      </c>
      <c r="S421" t="inlineStr">
        <is>
          <t>通用分销商信号，无差异化切入点，慢慢跟</t>
        </is>
      </c>
      <c r="T421" t="inlineStr">
        <is>
          <t>B-329</t>
        </is>
      </c>
      <c r="U421" t="inlineStr"/>
      <c r="V421" t="inlineStr"/>
    </row>
    <row r="422">
      <c r="A422" t="inlineStr">
        <is>
          <t>Baltic Network</t>
        </is>
      </c>
      <c r="B422" t="inlineStr">
        <is>
          <t>美国</t>
        </is>
      </c>
      <c r="C422" t="inlineStr">
        <is>
          <t>IL</t>
        </is>
      </c>
      <c r="D422" t="inlineStr">
        <is>
          <t>balticnetworks.com</t>
        </is>
      </c>
      <c r="E422" t="inlineStr">
        <is>
          <t>分销（MikroTik 官方）</t>
        </is>
      </c>
      <c r="F422" t="inlineStr">
        <is>
          <t>MikroTik（Master+VAD）</t>
        </is>
      </c>
      <c r="G422" t="inlineStr">
        <is>
          <t>否</t>
        </is>
      </c>
      <c r="H422" t="inlineStr">
        <is>
          <t>卖 MikroTik 但缺工业/ERPS/PoE++ → 用同价位工业线补他的产品缺口</t>
        </is>
      </c>
      <c r="I422" t="inlineStr">
        <is>
          <t>LT-IS6312XGP-4XS8GT</t>
        </is>
      </c>
      <c r="J422" t="inlineStr">
        <is>
          <t>+1 630 929 3610 / hello@balticnetworks.com</t>
        </is>
      </c>
      <c r="K422" t="inlineStr">
        <is>
          <t>★★★</t>
        </is>
      </c>
      <c r="L422" t="inlineStr">
        <is>
          <t>未触达</t>
        </is>
      </c>
      <c r="M422" t="inlineStr">
        <is>
          <t>2026-09-22</t>
        </is>
      </c>
      <c r="N422" t="inlineStr"/>
      <c r="O422" t="inlineStr"/>
      <c r="P422" t="inlineStr"/>
      <c r="Q422" t="inlineStr">
        <is>
          <t>USChicago</t>
        </is>
      </c>
      <c r="R422" t="inlineStr">
        <is>
          <t>B</t>
        </is>
      </c>
      <c r="S422" t="inlineStr">
        <is>
          <t>通用分销商信号，无差异化切入点，慢慢跟</t>
        </is>
      </c>
      <c r="T422" t="inlineStr">
        <is>
          <t>B-330</t>
        </is>
      </c>
      <c r="U422" t="inlineStr"/>
      <c r="V422" t="inlineStr"/>
    </row>
    <row r="423">
      <c r="A423" t="inlineStr">
        <is>
          <t>Black Box</t>
        </is>
      </c>
      <c r="B423" t="inlineStr">
        <is>
          <t>美国</t>
        </is>
      </c>
      <c r="C423" t="inlineStr"/>
      <c r="D423" t="inlineStr">
        <is>
          <t>blackbox.com</t>
        </is>
      </c>
      <c r="E423" t="inlineStr">
        <is>
          <t>分销（PLANET 授权）</t>
        </is>
      </c>
      <c r="F423" t="inlineStr">
        <is>
          <t>PLANET（台厂工业/商用交换机）</t>
        </is>
      </c>
      <c r="G423" t="inlineStr">
        <is>
          <t>否</t>
        </is>
      </c>
      <c r="H423" t="inlineStr">
        <is>
          <t>PLANET 美国官网列出的授权分销商（账号 VEZRT47）</t>
        </is>
      </c>
      <c r="I423" t="inlineStr">
        <is>
          <t>LT-IS6312XGP-4XS8GT</t>
        </is>
      </c>
      <c r="J423" t="inlineStr">
        <is>
          <t>官网 Contact 页</t>
        </is>
      </c>
      <c r="K423" t="inlineStr">
        <is>
          <t>★★</t>
        </is>
      </c>
      <c r="L423" t="inlineStr">
        <is>
          <t>未触达</t>
        </is>
      </c>
      <c r="M423" t="inlineStr">
        <is>
          <t>PLANET 经销商名录/2026-09</t>
        </is>
      </c>
      <c r="N423" t="inlineStr"/>
      <c r="O423" t="inlineStr"/>
      <c r="P423" t="inlineStr"/>
      <c r="Q423" t="inlineStr">
        <is>
          <t>【2026-09-22 新增】planetechusa.com/where-to-buy 列 BLACKBOX 为 Distributor Account VEZRT47。</t>
        </is>
      </c>
      <c r="R423" t="inlineStr">
        <is>
          <t>C</t>
        </is>
      </c>
      <c r="S4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23" t="inlineStr">
        <is>
          <t>C-238</t>
        </is>
      </c>
      <c r="U423" t="inlineStr">
        <is>
          <t>B下放·无邮箱（群发触达不到）</t>
        </is>
      </c>
      <c r="V423" t="inlineStr"/>
    </row>
    <row r="424">
      <c r="A424" t="inlineStr">
        <is>
          <t>Branom Instrument Co</t>
        </is>
      </c>
      <c r="B424" t="inlineStr">
        <is>
          <t>美国</t>
        </is>
      </c>
      <c r="C424" t="inlineStr">
        <is>
          <t>WA</t>
        </is>
      </c>
      <c r="D424" t="inlineStr">
        <is>
          <t>branom.com</t>
        </is>
      </c>
      <c r="E424" t="inlineStr">
        <is>
          <t>分销（HMS/N-Tron·Red Lion 渠道）</t>
        </is>
      </c>
      <c r="F424" t="inlineStr">
        <is>
          <t>N-Tron + Red Lion</t>
        </is>
      </c>
      <c r="G424" t="inlineStr">
        <is>
          <t>否</t>
        </is>
      </c>
      <c r="H424" t="inlineStr">
        <is>
          <t>卖 N-Tron/Red Lion 工业交换机（8口约 $500+）→ 中性货同规格 LT-IS6310G 约 $91，做第二供应商，价差 5 倍</t>
        </is>
      </c>
      <c r="I424" t="inlineStr">
        <is>
          <t>LT-IS6312XGP-4XS8GT</t>
        </is>
      </c>
      <c r="J424" t="inlineStr">
        <is>
          <t>官网联系页（HMS 名录只公开地址与网址）</t>
        </is>
      </c>
      <c r="K424" t="inlineStr">
        <is>
          <t>★★★</t>
        </is>
      </c>
      <c r="L424" t="inlineStr">
        <is>
          <t>未触达</t>
        </is>
      </c>
      <c r="M424" t="inlineStr">
        <is>
          <t>2026-09-22</t>
        </is>
      </c>
      <c r="N424" t="inlineStr"/>
      <c r="O424" t="inlineStr"/>
      <c r="P424" t="inlineStr"/>
      <c r="Q424" t="inlineStr">
        <is>
          <t>覆盖 AK/ID/OR/WA 西北四州；仪表+自动化；⚠️ 中国产地不能做 TAA/NDAA 政府/电力项目，只谈商业渠道</t>
        </is>
      </c>
      <c r="R424" t="inlineStr">
        <is>
          <t>C</t>
        </is>
      </c>
      <c r="S42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4" t="inlineStr">
        <is>
          <t>C-239</t>
        </is>
      </c>
      <c r="U424" t="inlineStr">
        <is>
          <t>B下放·无邮箱（群发触达不到）</t>
        </is>
      </c>
      <c r="V424" t="inlineStr"/>
    </row>
    <row r="425">
      <c r="A425" t="inlineStr">
        <is>
          <t>Brenner Industrial Sales and Supply</t>
        </is>
      </c>
      <c r="B425" t="inlineStr">
        <is>
          <t>美国</t>
        </is>
      </c>
      <c r="C425" t="inlineStr">
        <is>
          <t>OH</t>
        </is>
      </c>
      <c r="D425" t="inlineStr">
        <is>
          <t>brenner-industrial.com</t>
        </is>
      </c>
      <c r="E425" t="inlineStr">
        <is>
          <t>分销（HMS/N-Tron·Red Lion 渠道）</t>
        </is>
      </c>
      <c r="F425" t="inlineStr">
        <is>
          <t>N-Tron + Red Lion + Anybus + Ewon</t>
        </is>
      </c>
      <c r="G425" t="inlineStr">
        <is>
          <t>否</t>
        </is>
      </c>
      <c r="H425" t="inlineStr">
        <is>
          <t>卖 N-Tron/Red Lion 工业交换机（8口约 $500+）→ 中性货同规格 LT-IS6310G 约 $91，做第二供应商，价差 5 倍</t>
        </is>
      </c>
      <c r="I425" t="inlineStr">
        <is>
          <t>LT-IS6312XG-4XS8GT</t>
        </is>
      </c>
      <c r="J425" t="inlineStr">
        <is>
          <t>官网联系页（HMS 名录只公开地址与网址）</t>
        </is>
      </c>
      <c r="K425" t="inlineStr">
        <is>
          <t>★★★</t>
        </is>
      </c>
      <c r="L425" t="inlineStr">
        <is>
          <t>未触达</t>
        </is>
      </c>
      <c r="M425" t="inlineStr">
        <is>
          <t>2026-09-22</t>
        </is>
      </c>
      <c r="N425" t="inlineStr"/>
      <c r="O425" t="inlineStr"/>
      <c r="P425" t="inlineStr"/>
      <c r="Q425" t="inlineStr">
        <is>
          <t>覆盖 OH/PA；⚠️ 中国产地不能做 TAA/NDAA 政府/电力项目，只谈商业渠道</t>
        </is>
      </c>
      <c r="R425" t="inlineStr">
        <is>
          <t>C</t>
        </is>
      </c>
      <c r="S42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5" t="inlineStr">
        <is>
          <t>C-240</t>
        </is>
      </c>
      <c r="U425" t="inlineStr">
        <is>
          <t>B下放·无邮箱（群发触达不到）</t>
        </is>
      </c>
      <c r="V425" t="inlineStr"/>
    </row>
    <row r="426">
      <c r="A426" t="inlineStr">
        <is>
          <t>Business Systems Connection, Inc.</t>
        </is>
      </c>
      <c r="B426" t="inlineStr">
        <is>
          <t>美国</t>
        </is>
      </c>
      <c r="C426" t="inlineStr">
        <is>
          <t>MO</t>
        </is>
      </c>
      <c r="D426" t="inlineStr">
        <is>
          <t>shop.bizsyscon.com</t>
        </is>
      </c>
      <c r="E426" t="inlineStr">
        <is>
          <t>分销（MikroTik 官方）</t>
        </is>
      </c>
      <c r="F426" t="inlineStr">
        <is>
          <t>MikroTik（Reseller）</t>
        </is>
      </c>
      <c r="G426" t="inlineStr">
        <is>
          <t>否</t>
        </is>
      </c>
      <c r="H426" t="inlineStr">
        <is>
          <t>卖 MikroTik 但缺工业/ERPS/PoE++ → 用同价位工业线补他的产品缺口</t>
        </is>
      </c>
      <c r="I426" t="inlineStr">
        <is>
          <t>LT-IS6312XGP-4XS8GT</t>
        </is>
      </c>
      <c r="J426" t="inlineStr">
        <is>
          <t>+1 636 600 1400 / sales@bizsyscon.com</t>
        </is>
      </c>
      <c r="K426" t="inlineStr">
        <is>
          <t>★★</t>
        </is>
      </c>
      <c r="L426" t="inlineStr">
        <is>
          <t>未触达</t>
        </is>
      </c>
      <c r="M426" t="inlineStr">
        <is>
          <t>2026-09-22</t>
        </is>
      </c>
      <c r="N426" t="inlineStr"/>
      <c r="O426" t="inlineStr"/>
      <c r="P426" t="inlineStr"/>
      <c r="Q426" t="inlineStr">
        <is>
          <t>USFenton</t>
        </is>
      </c>
      <c r="R426" t="inlineStr">
        <is>
          <t>B</t>
        </is>
      </c>
      <c r="S426" t="inlineStr">
        <is>
          <t>通用分销商信号，无差异化切入点，慢慢跟</t>
        </is>
      </c>
      <c r="T426" t="inlineStr">
        <is>
          <t>B-334</t>
        </is>
      </c>
      <c r="U426" t="inlineStr"/>
      <c r="V426" t="inlineStr"/>
    </row>
    <row r="427">
      <c r="A427" t="inlineStr">
        <is>
          <t>C&amp;E Advanced Technologies</t>
        </is>
      </c>
      <c r="B427" t="inlineStr">
        <is>
          <t>美国</t>
        </is>
      </c>
      <c r="C427" t="inlineStr">
        <is>
          <t>OH</t>
        </is>
      </c>
      <c r="D427" t="inlineStr"/>
      <c r="E427" t="inlineStr">
        <is>
          <t>分销（HMS/N-Tron·Red Lion 渠道）</t>
        </is>
      </c>
      <c r="F427" t="inlineStr">
        <is>
          <t>N-Tron + Red Lion + Anybus + Ewon</t>
        </is>
      </c>
      <c r="G427" t="inlineStr">
        <is>
          <t>否</t>
        </is>
      </c>
      <c r="H427" t="inlineStr">
        <is>
          <t>卖 N-Tron/Red Lion 工业交换机（8口约 $500+）→ 中性货同规格 LT-IS6310G 约 $91，做第二供应商，价差 5 倍</t>
        </is>
      </c>
      <c r="I427" t="inlineStr">
        <is>
          <t>LT-IS6312XGP-4XS8GT</t>
        </is>
      </c>
      <c r="J427" t="inlineStr">
        <is>
          <t>官网联系页（HMS 名录只公开地址与网址）</t>
        </is>
      </c>
      <c r="K427" t="inlineStr">
        <is>
          <t>★★</t>
        </is>
      </c>
      <c r="L427" t="inlineStr">
        <is>
          <t>未触达</t>
        </is>
      </c>
      <c r="M427" t="inlineStr">
        <is>
          <t>2026-09-22</t>
        </is>
      </c>
      <c r="N427" t="inlineStr"/>
      <c r="O427" t="inlineStr"/>
      <c r="P427" t="inlineStr"/>
      <c r="Q427" t="inlineStr">
        <is>
          <t>覆盖 IN/OH/TN；无公开网址；⚠️ 中国产地不能做 TAA/NDAA 政府/电力项目，只谈商业渠道</t>
        </is>
      </c>
      <c r="R427" t="inlineStr">
        <is>
          <t>C</t>
        </is>
      </c>
      <c r="S42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7" t="inlineStr">
        <is>
          <t>C-241</t>
        </is>
      </c>
      <c r="U427" t="inlineStr">
        <is>
          <t>B下放·无邮箱（群发触达不到）</t>
        </is>
      </c>
      <c r="V427" t="inlineStr"/>
    </row>
    <row r="428">
      <c r="A428" t="inlineStr">
        <is>
          <t>CBT Company</t>
        </is>
      </c>
      <c r="B428" t="inlineStr">
        <is>
          <t>美国</t>
        </is>
      </c>
      <c r="C428" t="inlineStr">
        <is>
          <t>OH</t>
        </is>
      </c>
      <c r="D428" t="inlineStr">
        <is>
          <t>cbtcompany.com</t>
        </is>
      </c>
      <c r="E428" t="inlineStr">
        <is>
          <t>分销（HMS/N-Tron·Red Lion 渠道）</t>
        </is>
      </c>
      <c r="F428" t="inlineStr">
        <is>
          <t>N-Tron + Red Lion + Anybus + Ewon</t>
        </is>
      </c>
      <c r="G428" t="inlineStr">
        <is>
          <t>否</t>
        </is>
      </c>
      <c r="H428" t="inlineStr">
        <is>
          <t>卖 N-Tron/Red Lion 工业交换机（8口约 $500+）→ 中性货同规格 LT-IS6310G 约 $91，做第二供应商，价差 5 倍</t>
        </is>
      </c>
      <c r="I428" t="inlineStr">
        <is>
          <t>LT-IS6312XGP-4XS8GT</t>
        </is>
      </c>
      <c r="J428" t="inlineStr">
        <is>
          <t>官网联系页（HMS 名录只公开地址与网址）</t>
        </is>
      </c>
      <c r="K428" t="inlineStr">
        <is>
          <t>★★★</t>
        </is>
      </c>
      <c r="L428" t="inlineStr">
        <is>
          <t>未触达</t>
        </is>
      </c>
      <c r="M428" t="inlineStr">
        <is>
          <t>2026-09-22</t>
        </is>
      </c>
      <c r="N428" t="inlineStr"/>
      <c r="O428" t="inlineStr"/>
      <c r="P428" t="inlineStr"/>
      <c r="Q428" t="inlineStr">
        <is>
          <t>俄亥俄 3 个点，动力传动+自动化分销；⚠️ 中国产地不能做 TAA/NDAA 政府/电力项目，只谈商业渠道</t>
        </is>
      </c>
      <c r="R428" t="inlineStr">
        <is>
          <t>C</t>
        </is>
      </c>
      <c r="S42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28" t="inlineStr">
        <is>
          <t>C-242</t>
        </is>
      </c>
      <c r="U428" t="inlineStr">
        <is>
          <t>B下放·无邮箱（群发触达不到）</t>
        </is>
      </c>
      <c r="V428" t="inlineStr"/>
    </row>
    <row r="429">
      <c r="A429" t="inlineStr">
        <is>
          <t>CTIconnect LLC</t>
        </is>
      </c>
      <c r="B429" t="inlineStr">
        <is>
          <t>美国</t>
        </is>
      </c>
      <c r="C429" t="inlineStr">
        <is>
          <t>FL</t>
        </is>
      </c>
      <c r="D429" t="inlineStr">
        <is>
          <t>cticonnect.com</t>
        </is>
      </c>
      <c r="E429" t="inlineStr">
        <is>
          <t>分销（MikroTik 官方）</t>
        </is>
      </c>
      <c r="F429" t="inlineStr">
        <is>
          <t>MikroTik（Reseller）</t>
        </is>
      </c>
      <c r="G429" t="inlineStr">
        <is>
          <t>否</t>
        </is>
      </c>
      <c r="H429" t="inlineStr">
        <is>
          <t>MikroTik 官方分销，商用线可直接比价，工业线为零 → 新品类增量</t>
        </is>
      </c>
      <c r="I429" t="inlineStr">
        <is>
          <t>LT-S8328XG-4XS8GT-S</t>
        </is>
      </c>
      <c r="J429" t="inlineStr">
        <is>
          <t>+1 561 295 7899 / sales@cticonnect.com</t>
        </is>
      </c>
      <c r="K429" t="inlineStr">
        <is>
          <t>★★</t>
        </is>
      </c>
      <c r="L429" t="inlineStr">
        <is>
          <t>未触达</t>
        </is>
      </c>
      <c r="M429" t="inlineStr">
        <is>
          <t>2026-09-22</t>
        </is>
      </c>
      <c r="N429" t="inlineStr"/>
      <c r="O429" t="inlineStr"/>
      <c r="P429" t="inlineStr"/>
      <c r="Q429" t="inlineStr">
        <is>
          <t>USRiviera Beach</t>
        </is>
      </c>
      <c r="R429" t="inlineStr">
        <is>
          <t>B</t>
        </is>
      </c>
      <c r="S429" t="inlineStr">
        <is>
          <t>通用分销商信号，无差异化切入点，慢慢跟</t>
        </is>
      </c>
      <c r="T429" t="inlineStr">
        <is>
          <t>B-337</t>
        </is>
      </c>
      <c r="U429" t="inlineStr"/>
      <c r="V429" t="inlineStr"/>
    </row>
    <row r="430">
      <c r="A430" t="inlineStr">
        <is>
          <t>Christopher Schiessl</t>
        </is>
      </c>
      <c r="B430" t="inlineStr">
        <is>
          <t>美国</t>
        </is>
      </c>
      <c r="C430" t="inlineStr">
        <is>
          <t>Minot, ND</t>
        </is>
      </c>
      <c r="D430" t="inlineStr"/>
      <c r="E430" t="inlineStr">
        <is>
          <t>集成商/顾问（MikroTik 认证）</t>
        </is>
      </c>
      <c r="F430" t="inlineStr">
        <is>
          <t>MikroTik 认证顾问 MTCNA+MTCRE+MTCTCE</t>
        </is>
      </c>
      <c r="G430" t="inlineStr">
        <is>
          <t>否</t>
        </is>
      </c>
      <c r="H430" t="inlineStr">
        <is>
          <t>MikroTik 认证顾问：自己做方案/集成/运维并自行采购设备 → 用 ERPS/IGMP/VLAN/CLI/MIB 这类技术语言切入，不打价格战</t>
        </is>
      </c>
      <c r="I430" t="inlineStr">
        <is>
          <t>LT-S8328G-4XS24GT-S</t>
        </is>
      </c>
      <c r="J430" t="inlineStr">
        <is>
          <t>+1 701 858 5464 / cschiessl@gmail.com</t>
        </is>
      </c>
      <c r="K430" t="inlineStr">
        <is>
          <t>★★</t>
        </is>
      </c>
      <c r="L430" t="inlineStr">
        <is>
          <t>未触达</t>
        </is>
      </c>
      <c r="M430" t="inlineStr">
        <is>
          <t>2026-09-22</t>
        </is>
      </c>
      <c r="N430" t="inlineStr"/>
      <c r="O430" t="inlineStr"/>
      <c r="P430" t="inlineStr"/>
      <c r="Q430" t="inlineStr"/>
      <c r="R430" t="inlineStr">
        <is>
          <t>B</t>
        </is>
      </c>
      <c r="S430" t="inlineStr">
        <is>
          <t>通用分销商信号，无差异化切入点，慢慢跟</t>
        </is>
      </c>
      <c r="T430" t="inlineStr">
        <is>
          <t>B-338</t>
        </is>
      </c>
      <c r="U430" t="inlineStr"/>
      <c r="V430" t="inlineStr"/>
    </row>
    <row r="431">
      <c r="A431" t="inlineStr">
        <is>
          <t>Clayton Engineering Company</t>
        </is>
      </c>
      <c r="B431" t="inlineStr">
        <is>
          <t>美国</t>
        </is>
      </c>
      <c r="C431" t="inlineStr">
        <is>
          <t>PA</t>
        </is>
      </c>
      <c r="D431" t="inlineStr">
        <is>
          <t>claytonengineering.com / clayeng.net</t>
        </is>
      </c>
      <c r="E431" t="inlineStr">
        <is>
          <t>分销（HMS/N-Tron·Red Lion 渠道）</t>
        </is>
      </c>
      <c r="F431" t="inlineStr">
        <is>
          <t>N-Tron + Red Lion + Anybus + Ewon</t>
        </is>
      </c>
      <c r="G431" t="inlineStr">
        <is>
          <t>否</t>
        </is>
      </c>
      <c r="H431" t="inlineStr">
        <is>
          <t>卖 N-Tron/Red Lion 工业交换机（8口约 $500+）→ 中性货同规格 LT-IS6310G 约 $91，做第二供应商，价差 5 倍</t>
        </is>
      </c>
      <c r="I431" t="inlineStr">
        <is>
          <t>LT-IS6312XGP-4XS8GT</t>
        </is>
      </c>
      <c r="J431" t="inlineStr">
        <is>
          <t>官网联系页（HMS 名录只公开地址与网址）</t>
        </is>
      </c>
      <c r="K431" t="inlineStr">
        <is>
          <t>★★★</t>
        </is>
      </c>
      <c r="L431" t="inlineStr">
        <is>
          <t>未触达</t>
        </is>
      </c>
      <c r="M431" t="inlineStr">
        <is>
          <t>2026-09-22</t>
        </is>
      </c>
      <c r="N431" t="inlineStr"/>
      <c r="O431" t="inlineStr"/>
      <c r="P431" t="inlineStr"/>
      <c r="Q431" t="inlineStr">
        <is>
          <t>两条重复记录已合并（同一家美国公司，两个域名 claytonengineering.com 与 clayeng.net）；覆盖 PA/OH/WV；有售前+售后支持；⚠️ 中国产地不能做 TAA/NDAA 政府/电力项目，只谈商业渠道</t>
        </is>
      </c>
      <c r="R431" t="inlineStr">
        <is>
          <t>C</t>
        </is>
      </c>
      <c r="S4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1" t="inlineStr">
        <is>
          <t>C-243</t>
        </is>
      </c>
      <c r="U431" t="inlineStr">
        <is>
          <t>B下放·无邮箱（群发触达不到）</t>
        </is>
      </c>
      <c r="V431" t="inlineStr"/>
    </row>
    <row r="432">
      <c r="A432" t="inlineStr">
        <is>
          <t>Controller Service and Sales</t>
        </is>
      </c>
      <c r="B432" t="inlineStr">
        <is>
          <t>美国</t>
        </is>
      </c>
      <c r="C432" t="inlineStr"/>
      <c r="D432" t="inlineStr">
        <is>
          <t>controllerservice.com</t>
        </is>
      </c>
      <c r="E432" t="inlineStr">
        <is>
          <t>分销（Moxa 授权）</t>
        </is>
      </c>
      <c r="F432" t="inlineStr">
        <is>
          <t>Moxa 授权分销商，Moxa SDS-3008 系列工业智能交换机用户手册扉页标注其为 Authorized Distributor</t>
        </is>
      </c>
      <c r="G432" t="inlineStr">
        <is>
          <t>否</t>
        </is>
      </c>
      <c r="H432" t="inlineStr">
        <is>
          <t>台厂渠道话术</t>
        </is>
      </c>
      <c r="I432" t="inlineStr">
        <is>
          <t>LT-IS6312XGP-4XS8GT</t>
        </is>
      </c>
      <c r="J432" t="inlineStr">
        <is>
          <t>官网联系页</t>
        </is>
      </c>
      <c r="K432" t="inlineStr">
        <is>
          <t>★★</t>
        </is>
      </c>
      <c r="L432" t="inlineStr">
        <is>
          <t>未触达</t>
        </is>
      </c>
      <c r="M432" t="inlineStr">
        <is>
          <t>Moxa 渠道名录（经销商定位法）</t>
        </is>
      </c>
      <c r="N432" t="inlineStr"/>
      <c r="O432" t="inlineStr"/>
      <c r="P432" t="inlineStr"/>
      <c r="Q432" t="inlineStr">
        <is>
          <t>sales@controllerservice.com；电话 (800) 584-5565。【2026-09-22 补】经 Moxa 渠道名录确认为 Moxa 官方分销商（台厂 Moxa 旗下欧洲/北美渠道）。</t>
        </is>
      </c>
      <c r="R432" t="inlineStr">
        <is>
          <t>B</t>
        </is>
      </c>
      <c r="S432" t="inlineStr">
        <is>
          <t>有信号（交换专长、工业/楼宇）但需先验证需求或联系人不具体</t>
        </is>
      </c>
      <c r="T432" t="inlineStr">
        <is>
          <t>B-340</t>
        </is>
      </c>
      <c r="U432" t="inlineStr"/>
      <c r="V432" t="inlineStr"/>
    </row>
    <row r="433">
      <c r="A433" t="inlineStr">
        <is>
          <t>Digi-Key Corporation</t>
        </is>
      </c>
      <c r="B433" t="inlineStr">
        <is>
          <t>美国</t>
        </is>
      </c>
      <c r="C433" t="inlineStr">
        <is>
          <t>Thief River Falls, MN</t>
        </is>
      </c>
      <c r="D433" t="inlineStr">
        <is>
          <t>digikey.com</t>
        </is>
      </c>
      <c r="E433" t="inlineStr">
        <is>
          <t>分销（HMS/N-Tron·Red Lion 渠道）</t>
        </is>
      </c>
      <c r="F433" t="inlineStr">
        <is>
          <t>N-Tron + Red Lion + Anybus + Ewon</t>
        </is>
      </c>
      <c r="G433" t="inlineStr">
        <is>
          <t>否</t>
        </is>
      </c>
      <c r="H433" t="inlineStr">
        <is>
          <t>卖 N-Tron/Red Lion 工业交换机（8口非网管约 $500+）→ 中性货同规格 LT-IS6310G 约 $91，做第二供应商/替换，价差 5 倍</t>
        </is>
      </c>
      <c r="I433" t="inlineStr">
        <is>
          <t>LT-IS6310G</t>
        </is>
      </c>
      <c r="J433" t="inlineStr">
        <is>
          <t>官网联系页（HMS 名录只公开地址与网址）</t>
        </is>
      </c>
      <c r="K433" t="inlineStr">
        <is>
          <t>★</t>
        </is>
      </c>
      <c r="L433" t="inlineStr">
        <is>
          <t>未触达</t>
        </is>
      </c>
      <c r="M433" t="inlineStr">
        <is>
          <t>2026-09-22</t>
        </is>
      </c>
      <c r="N433" t="inlineStr"/>
      <c r="O433" t="inlineStr"/>
      <c r="P433" t="inlineStr"/>
      <c r="Q433" t="inlineStr">
        <is>
          <t>全球目录分销，可谈线上寄售，不宜主攻</t>
        </is>
      </c>
      <c r="R433" t="inlineStr">
        <is>
          <t>C</t>
        </is>
      </c>
      <c r="S43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3" t="inlineStr">
        <is>
          <t>C-244</t>
        </is>
      </c>
      <c r="U433" t="inlineStr">
        <is>
          <t>B下放·无邮箱（群发触达不到）</t>
        </is>
      </c>
      <c r="V433" t="inlineStr"/>
    </row>
    <row r="434">
      <c r="A434" t="inlineStr">
        <is>
          <t>Digicomm International</t>
        </is>
      </c>
      <c r="B434" t="inlineStr">
        <is>
          <t>美国</t>
        </is>
      </c>
      <c r="C434" t="inlineStr">
        <is>
          <t>CO</t>
        </is>
      </c>
      <c r="D434" t="inlineStr">
        <is>
          <t>digicomm.com</t>
        </is>
      </c>
      <c r="E434" t="inlineStr">
        <is>
          <t>分销（MikroTik 官方）</t>
        </is>
      </c>
      <c r="F434" t="inlineStr">
        <is>
          <t>MikroTik（Master+VAD）</t>
        </is>
      </c>
      <c r="G434" t="inlineStr">
        <is>
          <t>否</t>
        </is>
      </c>
      <c r="H434" t="inlineStr">
        <is>
          <t>MikroTik 官方分销，商用线可直接比价，工业线为零 → 新品类增量</t>
        </is>
      </c>
      <c r="I434" t="inlineStr">
        <is>
          <t>LT-S8328XG-4XS8GT-S</t>
        </is>
      </c>
      <c r="J434" t="inlineStr">
        <is>
          <t>+1 303 799 3444 / sales@digicomm.com</t>
        </is>
      </c>
      <c r="K434" t="inlineStr">
        <is>
          <t>★★★</t>
        </is>
      </c>
      <c r="L434" t="inlineStr">
        <is>
          <t>未触达</t>
        </is>
      </c>
      <c r="M434" t="inlineStr">
        <is>
          <t>2026-09-22</t>
        </is>
      </c>
      <c r="N434" t="inlineStr"/>
      <c r="O434" t="inlineStr"/>
      <c r="P434" t="inlineStr"/>
      <c r="Q434" t="inlineStr">
        <is>
          <t>USEnglewood</t>
        </is>
      </c>
      <c r="R434" t="inlineStr">
        <is>
          <t>B</t>
        </is>
      </c>
      <c r="S434" t="inlineStr">
        <is>
          <t>通用分销商信号，无差异化切入点，慢慢跟</t>
        </is>
      </c>
      <c r="T434" t="inlineStr">
        <is>
          <t>B-342</t>
        </is>
      </c>
      <c r="U434" t="inlineStr"/>
      <c r="V434" t="inlineStr"/>
    </row>
    <row r="435">
      <c r="A435" t="inlineStr">
        <is>
          <t>Distrigo Inc.</t>
        </is>
      </c>
      <c r="B435" t="inlineStr">
        <is>
          <t>美国</t>
        </is>
      </c>
      <c r="C435" t="inlineStr">
        <is>
          <t>FL</t>
        </is>
      </c>
      <c r="D435" t="inlineStr">
        <is>
          <t>distrigoinc.com</t>
        </is>
      </c>
      <c r="E435" t="inlineStr">
        <is>
          <t>分销（MikroTik 官方）</t>
        </is>
      </c>
      <c r="F435" t="inlineStr">
        <is>
          <t>MikroTik（Reseller）</t>
        </is>
      </c>
      <c r="G435" t="inlineStr">
        <is>
          <t>否</t>
        </is>
      </c>
      <c r="H435" t="inlineStr">
        <is>
          <t>MikroTik 官方分销，商用线可直接比价，工业线为零 → 新品类增量</t>
        </is>
      </c>
      <c r="I435" t="inlineStr">
        <is>
          <t>LT-S8328XG-4XS8GT-S</t>
        </is>
      </c>
      <c r="J435" t="inlineStr">
        <is>
          <t>+1 203 883 9169 / sales@distrigoinc.com</t>
        </is>
      </c>
      <c r="K435" t="inlineStr">
        <is>
          <t>★★</t>
        </is>
      </c>
      <c r="L435" t="inlineStr">
        <is>
          <t>未触达</t>
        </is>
      </c>
      <c r="M435" t="inlineStr">
        <is>
          <t>2026-09-22</t>
        </is>
      </c>
      <c r="N435" t="inlineStr"/>
      <c r="O435" t="inlineStr"/>
      <c r="P435" t="inlineStr"/>
      <c r="Q435" t="inlineStr">
        <is>
          <t>USNorth Miami</t>
        </is>
      </c>
      <c r="R435" t="inlineStr">
        <is>
          <t>B</t>
        </is>
      </c>
      <c r="S435" t="inlineStr">
        <is>
          <t>通用分销商信号，无差异化切入点，慢慢跟</t>
        </is>
      </c>
      <c r="T435" t="inlineStr">
        <is>
          <t>B-343</t>
        </is>
      </c>
      <c r="U435" t="inlineStr"/>
      <c r="V435" t="inlineStr"/>
    </row>
    <row r="436">
      <c r="A436" t="inlineStr">
        <is>
          <t>DoubleRadius, Inc.</t>
        </is>
      </c>
      <c r="B436" t="inlineStr">
        <is>
          <t>美国</t>
        </is>
      </c>
      <c r="C436" t="inlineStr">
        <is>
          <t>NC</t>
        </is>
      </c>
      <c r="D436" t="inlineStr">
        <is>
          <t>doubleradius.com</t>
        </is>
      </c>
      <c r="E436" t="inlineStr">
        <is>
          <t>分销（MikroTik 官方）</t>
        </is>
      </c>
      <c r="F436" t="inlineStr">
        <is>
          <t>MikroTik（Reseller）</t>
        </is>
      </c>
      <c r="G436" t="inlineStr">
        <is>
          <t>否</t>
        </is>
      </c>
      <c r="H436" t="inlineStr">
        <is>
          <t>卖 MikroTik 但缺工业/ERPS/PoE++ → 用同价位工业线补他的产品缺口</t>
        </is>
      </c>
      <c r="I436" t="inlineStr">
        <is>
          <t>LT-IS6312XG-4XS8GT</t>
        </is>
      </c>
      <c r="J436" t="inlineStr">
        <is>
          <t>+1 704 927 6100 / salesteam@doubleradius.com</t>
        </is>
      </c>
      <c r="K436" t="inlineStr">
        <is>
          <t>★★★</t>
        </is>
      </c>
      <c r="L436" t="inlineStr">
        <is>
          <t>未触达</t>
        </is>
      </c>
      <c r="M436" t="inlineStr">
        <is>
          <t>2026-09-22</t>
        </is>
      </c>
      <c r="N436" t="inlineStr"/>
      <c r="O436" t="inlineStr"/>
      <c r="P436" t="inlineStr"/>
      <c r="Q436" t="inlineStr">
        <is>
          <t>USIndian Trail；WISP 方案商</t>
        </is>
      </c>
      <c r="R436" t="inlineStr">
        <is>
          <t>B</t>
        </is>
      </c>
      <c r="S436" t="inlineStr">
        <is>
          <t>有信号（ISP/骨干）但需先验证需求或联系人不具体</t>
        </is>
      </c>
      <c r="T436" t="inlineStr">
        <is>
          <t>B-344</t>
        </is>
      </c>
      <c r="U436" t="inlineStr"/>
      <c r="V436" t="inlineStr"/>
    </row>
    <row r="437">
      <c r="A437" t="inlineStr">
        <is>
          <t>E &amp; M Electric</t>
        </is>
      </c>
      <c r="B437" t="inlineStr">
        <is>
          <t>美国</t>
        </is>
      </c>
      <c r="C437" t="inlineStr">
        <is>
          <t>CA</t>
        </is>
      </c>
      <c r="D437" t="inlineStr">
        <is>
          <t>eandm.com</t>
        </is>
      </c>
      <c r="E437" t="inlineStr">
        <is>
          <t>分销（HMS/N-Tron·Red Lion 渠道）</t>
        </is>
      </c>
      <c r="F437" t="inlineStr">
        <is>
          <t>N-Tron + Red Lion + Anybus + Ewon</t>
        </is>
      </c>
      <c r="G437" t="inlineStr">
        <is>
          <t>否</t>
        </is>
      </c>
      <c r="H437" t="inlineStr">
        <is>
          <t>卖 N-Tron/Red Lion 工业交换机（8口约 $500+）→ 中性货同规格 LT-IS6310G 约 $91，做第二供应商，价差 5 倍</t>
        </is>
      </c>
      <c r="I437" t="inlineStr">
        <is>
          <t>LT-IS6310G</t>
        </is>
      </c>
      <c r="J437" t="inlineStr">
        <is>
          <t>官网联系页（HMS 名录只公开地址与网址）</t>
        </is>
      </c>
      <c r="K437" t="inlineStr">
        <is>
          <t>★★★</t>
        </is>
      </c>
      <c r="L437" t="inlineStr">
        <is>
          <t>未触达</t>
        </is>
      </c>
      <c r="M437" t="inlineStr">
        <is>
          <t>2026-09-22</t>
        </is>
      </c>
      <c r="N437" t="inlineStr"/>
      <c r="O437" t="inlineStr"/>
      <c r="P437" t="inlineStr"/>
      <c r="Q437" t="inlineStr">
        <is>
          <t>加州北部；有售前+售后支持；⚠️ 中国产地不能做 TAA/NDAA 政府/电力项目，只谈商业渠道</t>
        </is>
      </c>
      <c r="R437" t="inlineStr">
        <is>
          <t>C</t>
        </is>
      </c>
      <c r="S43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37" t="inlineStr">
        <is>
          <t>C-245</t>
        </is>
      </c>
      <c r="U437" t="inlineStr">
        <is>
          <t>B下放·无邮箱（群发触达不到）</t>
        </is>
      </c>
      <c r="V437" t="inlineStr"/>
    </row>
    <row r="438">
      <c r="A438" t="inlineStr">
        <is>
          <t>EPCOM</t>
        </is>
      </c>
      <c r="B438" t="inlineStr">
        <is>
          <t>美国</t>
        </is>
      </c>
      <c r="C438" t="inlineStr">
        <is>
          <t>FL</t>
        </is>
      </c>
      <c r="D438" t="inlineStr">
        <is>
          <t>epcom.net</t>
        </is>
      </c>
      <c r="E438" t="inlineStr">
        <is>
          <t>分销（MikroTik 官方）</t>
        </is>
      </c>
      <c r="F438" t="inlineStr">
        <is>
          <t>MikroTik（Reseller）</t>
        </is>
      </c>
      <c r="G438" t="inlineStr">
        <is>
          <t>否</t>
        </is>
      </c>
      <c r="H438" t="inlineStr">
        <is>
          <t>卖 MikroTik 但缺工业/ERPS/PoE++ → 用同价位工业线补他的产品缺口</t>
        </is>
      </c>
      <c r="I438" t="inlineStr">
        <is>
          <t>LT-IS6312XGP-4XS8GT</t>
        </is>
      </c>
      <c r="J438" t="inlineStr">
        <is>
          <t>+1 915 533 5119 / sales@epcom.net</t>
        </is>
      </c>
      <c r="K438" t="inlineStr">
        <is>
          <t>★★★</t>
        </is>
      </c>
      <c r="L438" t="inlineStr">
        <is>
          <t>未触达</t>
        </is>
      </c>
      <c r="M438" t="inlineStr">
        <is>
          <t>2026-09-22</t>
        </is>
      </c>
      <c r="N438" t="inlineStr"/>
      <c r="O438" t="inlineStr"/>
      <c r="P438" t="inlineStr"/>
      <c r="Q438" t="inlineStr">
        <is>
          <t>USDoral；拉美渠道</t>
        </is>
      </c>
      <c r="R438" t="inlineStr">
        <is>
          <t>B</t>
        </is>
      </c>
      <c r="S438" t="inlineStr">
        <is>
          <t>通用分销商信号，无差异化切入点，慢慢跟</t>
        </is>
      </c>
      <c r="T438" t="inlineStr">
        <is>
          <t>B-346</t>
        </is>
      </c>
      <c r="U438" t="inlineStr"/>
      <c r="V438" t="inlineStr"/>
    </row>
    <row r="439">
      <c r="A439" t="inlineStr">
        <is>
          <t>Electric Motor Shop and Supply Co</t>
        </is>
      </c>
      <c r="B439" t="inlineStr">
        <is>
          <t>美国</t>
        </is>
      </c>
      <c r="C439" t="inlineStr">
        <is>
          <t>CA</t>
        </is>
      </c>
      <c r="D439" t="inlineStr">
        <is>
          <t>electricmotorshop.com</t>
        </is>
      </c>
      <c r="E439" t="inlineStr">
        <is>
          <t>分销（HMS/N-Tron·Red Lion 渠道）</t>
        </is>
      </c>
      <c r="F439" t="inlineStr">
        <is>
          <t>N-Tron + Red Lion + Anybus + Ewon</t>
        </is>
      </c>
      <c r="G439" t="inlineStr">
        <is>
          <t>否</t>
        </is>
      </c>
      <c r="H439" t="inlineStr">
        <is>
          <t>卖 N-Tron/Red Lion 工业交换机（8口约 $500+）→ 中性货同规格 LT-IS6310G 约 $91，做第二供应商，价差 5 倍</t>
        </is>
      </c>
      <c r="I439" t="inlineStr">
        <is>
          <t>LT-IS6310G</t>
        </is>
      </c>
      <c r="J439" t="inlineStr">
        <is>
          <t>官网联系页（HMS 名录只公开地址与网址）</t>
        </is>
      </c>
      <c r="K439" t="inlineStr">
        <is>
          <t>★★★</t>
        </is>
      </c>
      <c r="L439" t="inlineStr">
        <is>
          <t>未触达</t>
        </is>
      </c>
      <c r="M439" t="inlineStr">
        <is>
          <t>2026-09-22</t>
        </is>
      </c>
      <c r="N439" t="inlineStr"/>
      <c r="O439" t="inlineStr"/>
      <c r="P439" t="inlineStr"/>
      <c r="Q439" t="inlineStr">
        <is>
          <t>加州中部；电机+自动化；⚠️ 中国产地不能做 TAA/NDAA 政府/电力项目，只谈商业渠道</t>
        </is>
      </c>
      <c r="R439" t="inlineStr">
        <is>
          <t>C</t>
        </is>
      </c>
      <c r="S43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39" t="inlineStr">
        <is>
          <t>C-246</t>
        </is>
      </c>
      <c r="U439" t="inlineStr">
        <is>
          <t>B下放·无邮箱（群发触达不到）</t>
        </is>
      </c>
      <c r="V439" t="inlineStr"/>
    </row>
    <row r="440">
      <c r="A440" t="inlineStr">
        <is>
          <t>Electric Supply &amp; Equipment</t>
        </is>
      </c>
      <c r="B440" t="inlineStr">
        <is>
          <t>美国</t>
        </is>
      </c>
      <c r="C440" t="inlineStr">
        <is>
          <t>NC</t>
        </is>
      </c>
      <c r="D440" t="inlineStr"/>
      <c r="E440" t="inlineStr">
        <is>
          <t>分销（HMS/N-Tron·Red Lion 渠道）</t>
        </is>
      </c>
      <c r="F440" t="inlineStr">
        <is>
          <t>N-Tron + Red Lion + Anybus + Ewon</t>
        </is>
      </c>
      <c r="G440" t="inlineStr">
        <is>
          <t>否</t>
        </is>
      </c>
      <c r="H440" t="inlineStr">
        <is>
          <t>卖 N-Tron/Red Lion 工业交换机（8口约 $500+）→ 中性货同规格 LT-IS6310G 约 $91，做第二供应商，价差 5 倍</t>
        </is>
      </c>
      <c r="I440" t="inlineStr">
        <is>
          <t>LT-IS6312XG-4XS8GT</t>
        </is>
      </c>
      <c r="J440" t="inlineStr">
        <is>
          <t>官网联系页（HMS 名录只公开地址与网址）</t>
        </is>
      </c>
      <c r="K440" t="inlineStr">
        <is>
          <t>★★</t>
        </is>
      </c>
      <c r="L440" t="inlineStr">
        <is>
          <t>未触达</t>
        </is>
      </c>
      <c r="M440" t="inlineStr">
        <is>
          <t>2026-09-22</t>
        </is>
      </c>
      <c r="N440" t="inlineStr"/>
      <c r="O440" t="inlineStr"/>
      <c r="P440" t="inlineStr"/>
      <c r="Q440" t="inlineStr">
        <is>
          <t>北卡；无公开网址；⚠️ 中国产地不能做 TAA/NDAA 政府/电力项目，只谈商业渠道</t>
        </is>
      </c>
      <c r="R440" t="inlineStr">
        <is>
          <t>C</t>
        </is>
      </c>
      <c r="S44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40" t="inlineStr">
        <is>
          <t>C-247</t>
        </is>
      </c>
      <c r="U440" t="inlineStr">
        <is>
          <t>B下放·无邮箱（群发触达不到）</t>
        </is>
      </c>
      <c r="V440" t="inlineStr"/>
    </row>
    <row r="441">
      <c r="A441" t="inlineStr">
        <is>
          <t>ErieTec, Inc</t>
        </is>
      </c>
      <c r="B441" t="inlineStr">
        <is>
          <t>美国</t>
        </is>
      </c>
      <c r="C441" t="inlineStr">
        <is>
          <t>PA</t>
        </is>
      </c>
      <c r="D441" t="inlineStr">
        <is>
          <t>erietecinc.com</t>
        </is>
      </c>
      <c r="E441" t="inlineStr">
        <is>
          <t>分销（HMS/N-Tron·Red Lion 渠道）</t>
        </is>
      </c>
      <c r="F441" t="inlineStr">
        <is>
          <t>N-Tron + Red Lion + Anybus + Ewon</t>
        </is>
      </c>
      <c r="G441" t="inlineStr">
        <is>
          <t>否</t>
        </is>
      </c>
      <c r="H441" t="inlineStr">
        <is>
          <t>卖 N-Tron/Red Lion 工业交换机（8口约 $500+）→ 中性货同规格 LT-IS6310G 约 $91，做第二供应商，价差 5 倍</t>
        </is>
      </c>
      <c r="I441" t="inlineStr">
        <is>
          <t>LT-IS6312XGP-4XS8GT</t>
        </is>
      </c>
      <c r="J441" t="inlineStr">
        <is>
          <t>官网联系页（HMS 名录只公开地址与网址）</t>
        </is>
      </c>
      <c r="K441" t="inlineStr">
        <is>
          <t>★★★</t>
        </is>
      </c>
      <c r="L441" t="inlineStr">
        <is>
          <t>未触达</t>
        </is>
      </c>
      <c r="M441" t="inlineStr">
        <is>
          <t>2026-09-22</t>
        </is>
      </c>
      <c r="N441" t="inlineStr"/>
      <c r="O441" t="inlineStr"/>
      <c r="P441" t="inlineStr"/>
      <c r="Q441" t="inlineStr">
        <is>
          <t>覆盖 OH/PA；有售前+售后支持；⚠️ 中国产地不能做 TAA/NDAA 政府/电力项目，只谈商业渠道</t>
        </is>
      </c>
      <c r="R441" t="inlineStr">
        <is>
          <t>C</t>
        </is>
      </c>
      <c r="S4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41" t="inlineStr">
        <is>
          <t>C-248</t>
        </is>
      </c>
      <c r="U441" t="inlineStr">
        <is>
          <t>B下放·无邮箱（群发触达不到）</t>
        </is>
      </c>
      <c r="V441" t="inlineStr"/>
    </row>
    <row r="442">
      <c r="A442" t="inlineStr">
        <is>
          <t>Flytec Computers</t>
        </is>
      </c>
      <c r="B442" t="inlineStr">
        <is>
          <t>美国</t>
        </is>
      </c>
      <c r="C442" t="inlineStr">
        <is>
          <t>FL</t>
        </is>
      </c>
      <c r="D442" t="inlineStr">
        <is>
          <t>flyteccomputers.com</t>
        </is>
      </c>
      <c r="E442" t="inlineStr">
        <is>
          <t>分销（MikroTik 官方）</t>
        </is>
      </c>
      <c r="F442" t="inlineStr">
        <is>
          <t>MikroTik（Master+VAD）</t>
        </is>
      </c>
      <c r="G442" t="inlineStr">
        <is>
          <t>否</t>
        </is>
      </c>
      <c r="H442" t="inlineStr">
        <is>
          <t>MikroTik 官方分销，商用线可直接比价，工业线为零 → 新品类增量</t>
        </is>
      </c>
      <c r="I442" t="inlineStr">
        <is>
          <t>LT-S8328XG-4XS8GT-S</t>
        </is>
      </c>
      <c r="J442" t="inlineStr">
        <is>
          <t>+1 305 471 5142 / sales@flyteccomputers.com</t>
        </is>
      </c>
      <c r="K442" t="inlineStr">
        <is>
          <t>★★★</t>
        </is>
      </c>
      <c r="L442" t="inlineStr">
        <is>
          <t>未触达</t>
        </is>
      </c>
      <c r="M442" t="inlineStr">
        <is>
          <t>2026-09-22</t>
        </is>
      </c>
      <c r="N442" t="inlineStr"/>
      <c r="O442" t="inlineStr"/>
      <c r="P442" t="inlineStr"/>
      <c r="Q442" t="inlineStr">
        <is>
          <t>USMiami；拉美渠道强</t>
        </is>
      </c>
      <c r="R442" t="inlineStr">
        <is>
          <t>B</t>
        </is>
      </c>
      <c r="S442" t="inlineStr">
        <is>
          <t>通用分销商信号，无差异化切入点，慢慢跟</t>
        </is>
      </c>
      <c r="T442" t="inlineStr">
        <is>
          <t>B-350</t>
        </is>
      </c>
      <c r="U442" t="inlineStr"/>
      <c r="V442" t="inlineStr"/>
    </row>
    <row r="443">
      <c r="A443" t="inlineStr">
        <is>
          <t>Hexstar</t>
        </is>
      </c>
      <c r="B443" t="inlineStr">
        <is>
          <t>美国</t>
        </is>
      </c>
      <c r="C443" t="inlineStr">
        <is>
          <t>TX</t>
        </is>
      </c>
      <c r="D443" t="inlineStr">
        <is>
          <t>hexstar.com</t>
        </is>
      </c>
      <c r="E443" t="inlineStr">
        <is>
          <t>分销（MikroTik 官方）</t>
        </is>
      </c>
      <c r="F443" t="inlineStr">
        <is>
          <t>MikroTik（Reseller）</t>
        </is>
      </c>
      <c r="G443" t="inlineStr">
        <is>
          <t>否</t>
        </is>
      </c>
      <c r="H443" t="inlineStr">
        <is>
          <t>MikroTik 官方分销，商用线可直接比价，工业线为零 → 新品类增量</t>
        </is>
      </c>
      <c r="I443" t="inlineStr">
        <is>
          <t>LT-S8328XG-4XS8GT-S</t>
        </is>
      </c>
      <c r="J443" t="inlineStr">
        <is>
          <t>+1 888 NETFIX8 / info@hexstar.com</t>
        </is>
      </c>
      <c r="K443" t="inlineStr">
        <is>
          <t>★★</t>
        </is>
      </c>
      <c r="L443" t="inlineStr">
        <is>
          <t>未触达</t>
        </is>
      </c>
      <c r="M443" t="inlineStr">
        <is>
          <t>2026-09-22</t>
        </is>
      </c>
      <c r="N443" t="inlineStr"/>
      <c r="O443" t="inlineStr"/>
      <c r="P443" t="inlineStr"/>
      <c r="Q443" t="inlineStr">
        <is>
          <t>USDallas</t>
        </is>
      </c>
      <c r="R443" t="inlineStr">
        <is>
          <t>B</t>
        </is>
      </c>
      <c r="S443" t="inlineStr">
        <is>
          <t>通用分销商信号，无差异化切入点，慢慢跟</t>
        </is>
      </c>
      <c r="T443" t="inlineStr">
        <is>
          <t>B-351</t>
        </is>
      </c>
      <c r="U443" t="inlineStr"/>
      <c r="V443" t="inlineStr"/>
    </row>
    <row r="444">
      <c r="A444" t="inlineStr">
        <is>
          <t>IEI Technology USA Corp.</t>
        </is>
      </c>
      <c r="B444" t="inlineStr">
        <is>
          <t>美国</t>
        </is>
      </c>
      <c r="C444" t="inlineStr"/>
      <c r="D444" t="inlineStr">
        <is>
          <t>ieiworld.com</t>
        </is>
      </c>
      <c r="E444" t="inlineStr">
        <is>
          <t>分销（ORing 授权）</t>
        </is>
      </c>
      <c r="F444" t="inlineStr">
        <is>
          <t>ORing</t>
        </is>
      </c>
      <c r="G444" t="inlineStr">
        <is>
          <t>否</t>
        </is>
      </c>
      <c r="H444" t="inlineStr">
        <is>
          <t>工业/轨道同规格 1/3 价第二供应源</t>
        </is>
      </c>
      <c r="I444" t="inlineStr">
        <is>
          <t>LT-IS6312XGP-4XS8GT</t>
        </is>
      </c>
      <c r="J444" t="inlineStr">
        <is>
          <t>+1 909 595-2819 / sales@usa.ieiworld.com</t>
        </is>
      </c>
      <c r="K444" t="inlineStr">
        <is>
          <t>★★</t>
        </is>
      </c>
      <c r="L444" t="inlineStr">
        <is>
          <t>未触达</t>
        </is>
      </c>
      <c r="M444" t="inlineStr">
        <is>
          <t>2026-09-22</t>
        </is>
      </c>
      <c r="N444" t="inlineStr"/>
      <c r="O444" t="inlineStr"/>
      <c r="P444" t="inlineStr"/>
      <c r="Q444" t="inlineStr">
        <is>
          <t>加州，台系工业电脑厂美国子公司</t>
        </is>
      </c>
      <c r="R444" t="inlineStr">
        <is>
          <t>B</t>
        </is>
      </c>
      <c r="S444" t="inlineStr">
        <is>
          <t>有信号（工业/楼宇）但需先验证需求或联系人不具体</t>
        </is>
      </c>
      <c r="T444" t="inlineStr">
        <is>
          <t>B-352</t>
        </is>
      </c>
      <c r="U444" t="inlineStr"/>
      <c r="V444" t="inlineStr"/>
    </row>
    <row r="445">
      <c r="A445" t="inlineStr">
        <is>
          <t>Interamerican Tech Corp.</t>
        </is>
      </c>
      <c r="B445" t="inlineStr">
        <is>
          <t>美国</t>
        </is>
      </c>
      <c r="C445" t="inlineStr">
        <is>
          <t>FL</t>
        </is>
      </c>
      <c r="D445" t="inlineStr">
        <is>
          <t>itamtech.com</t>
        </is>
      </c>
      <c r="E445" t="inlineStr">
        <is>
          <t>分销（MikroTik 官方）</t>
        </is>
      </c>
      <c r="F445" t="inlineStr">
        <is>
          <t>MikroTik（Reseller）</t>
        </is>
      </c>
      <c r="G445" t="inlineStr">
        <is>
          <t>否</t>
        </is>
      </c>
      <c r="H445" t="inlineStr">
        <is>
          <t>MikroTik 官方分销，商用线可直接比价，工业线为零 → 新品类增量</t>
        </is>
      </c>
      <c r="I445" t="inlineStr">
        <is>
          <t>LT-S8328XG-4XS8GT-S</t>
        </is>
      </c>
      <c r="J445" t="inlineStr">
        <is>
          <t>+1 305 639 2524 / sales@itamtech.com</t>
        </is>
      </c>
      <c r="K445" t="inlineStr">
        <is>
          <t>★★</t>
        </is>
      </c>
      <c r="L445" t="inlineStr">
        <is>
          <t>未触达</t>
        </is>
      </c>
      <c r="M445" t="inlineStr">
        <is>
          <t>2026-09-22</t>
        </is>
      </c>
      <c r="N445" t="inlineStr"/>
      <c r="O445" t="inlineStr"/>
      <c r="P445" t="inlineStr"/>
      <c r="Q445" t="inlineStr">
        <is>
          <t>USMiami</t>
        </is>
      </c>
      <c r="R445" t="inlineStr">
        <is>
          <t>B</t>
        </is>
      </c>
      <c r="S445" t="inlineStr">
        <is>
          <t>通用分销商信号，无差异化切入点，慢慢跟</t>
        </is>
      </c>
      <c r="T445" t="inlineStr">
        <is>
          <t>B-353</t>
        </is>
      </c>
      <c r="U445" t="inlineStr"/>
      <c r="V445" t="inlineStr"/>
    </row>
    <row r="446">
      <c r="A446" t="inlineStr">
        <is>
          <t>International Trade Carrier, LLC</t>
        </is>
      </c>
      <c r="B446" t="inlineStr">
        <is>
          <t>美国</t>
        </is>
      </c>
      <c r="C446" t="inlineStr"/>
      <c r="D446" t="inlineStr">
        <is>
          <t>internationaltradecarrier.com</t>
        </is>
      </c>
      <c r="E446" t="inlineStr">
        <is>
          <t>分销（EtherWAN 授权）</t>
        </is>
      </c>
      <c r="F446" t="inlineStr">
        <is>
          <t>上架 EtherWAN 非网管工业交换机多系列：EX39924 / EX33000 / EX43000 / EX32900 / EX34000（含 PoE 款）</t>
        </is>
      </c>
      <c r="G446" t="inlineStr">
        <is>
          <t>否</t>
        </is>
      </c>
      <c r="H446" t="inlineStr">
        <is>
          <t>台厂渠道话术</t>
        </is>
      </c>
      <c r="I446" t="inlineStr">
        <is>
          <t>LT-IS6312XGP-4XS8GT</t>
        </is>
      </c>
      <c r="J446" t="inlineStr">
        <is>
          <t>官网联系页</t>
        </is>
      </c>
      <c r="K446" t="inlineStr">
        <is>
          <t>★★</t>
        </is>
      </c>
      <c r="L446" t="inlineStr">
        <is>
          <t>未触达</t>
        </is>
      </c>
      <c r="M446" t="inlineStr">
        <is>
          <t>EtherWAN/Advantech 渠道名录（经销商定位法）</t>
        </is>
      </c>
      <c r="N446" t="inlineStr"/>
      <c r="O446" t="inlineStr"/>
      <c r="P446" t="inlineStr"/>
      <c r="Q446" t="inlineStr">
        <is>
          <t>【2026-09-22 补】经 EtherWAN（台厂，1996 年创立，现被德国 Phoenix Contact 收购）渠道名录确认为其分销商。以非网管型（unmanaged）系列为主，定位经济型替代。</t>
        </is>
      </c>
      <c r="R446" t="inlineStr">
        <is>
          <t>C</t>
        </is>
      </c>
      <c r="S44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446" t="inlineStr">
        <is>
          <t>C-249</t>
        </is>
      </c>
      <c r="U446" t="inlineStr">
        <is>
          <t>B下放·无邮箱（群发触达不到）</t>
        </is>
      </c>
      <c r="V446" t="inlineStr"/>
    </row>
    <row r="447">
      <c r="A447" t="inlineStr">
        <is>
          <t>Itshopp.com</t>
        </is>
      </c>
      <c r="B447" t="inlineStr">
        <is>
          <t>美国</t>
        </is>
      </c>
      <c r="C447" t="inlineStr">
        <is>
          <t>FL</t>
        </is>
      </c>
      <c r="D447" t="inlineStr">
        <is>
          <t>itshopp.com</t>
        </is>
      </c>
      <c r="E447" t="inlineStr">
        <is>
          <t>分销（MikroTik 官方）</t>
        </is>
      </c>
      <c r="F447" t="inlineStr">
        <is>
          <t>MikroTik（Reseller）</t>
        </is>
      </c>
      <c r="G447" t="inlineStr">
        <is>
          <t>否</t>
        </is>
      </c>
      <c r="H447" t="inlineStr">
        <is>
          <t>卖 MikroTik 但缺工业/ERPS/PoE++ → 用同价位工业线补他的产品缺口</t>
        </is>
      </c>
      <c r="I447" t="inlineStr">
        <is>
          <t>LT-IS6312XGP-4XS8GT</t>
        </is>
      </c>
      <c r="J447" t="inlineStr">
        <is>
          <t>+1 786 495 0313 / eddy@itshopp.com</t>
        </is>
      </c>
      <c r="K447" t="inlineStr">
        <is>
          <t>★★</t>
        </is>
      </c>
      <c r="L447" t="inlineStr">
        <is>
          <t>未触达</t>
        </is>
      </c>
      <c r="M447" t="inlineStr">
        <is>
          <t>2026-09-22</t>
        </is>
      </c>
      <c r="N447" t="inlineStr"/>
      <c r="O447" t="inlineStr"/>
      <c r="P447" t="inlineStr"/>
      <c r="Q447" t="inlineStr">
        <is>
          <t>USMiami</t>
        </is>
      </c>
      <c r="R447" t="inlineStr">
        <is>
          <t>B</t>
        </is>
      </c>
      <c r="S447" t="inlineStr">
        <is>
          <t>通用分销商信号，无差异化切入点，慢慢跟</t>
        </is>
      </c>
      <c r="T447" t="inlineStr">
        <is>
          <t>B-355</t>
        </is>
      </c>
      <c r="U447" t="inlineStr"/>
      <c r="V447" t="inlineStr"/>
    </row>
    <row r="448">
      <c r="A448" t="inlineStr">
        <is>
          <t>Joshua Moore / Archous Networks</t>
        </is>
      </c>
      <c r="B448" t="inlineStr">
        <is>
          <t>美国</t>
        </is>
      </c>
      <c r="C448" t="inlineStr">
        <is>
          <t>Lake Stevens, WA</t>
        </is>
      </c>
      <c r="D448" t="inlineStr">
        <is>
          <t>archous.tech</t>
        </is>
      </c>
      <c r="E448" t="inlineStr">
        <is>
          <t>集成商/顾问（MikroTik 认证）</t>
        </is>
      </c>
      <c r="F448" t="inlineStr">
        <is>
          <t>MikroTik 认证顾问 MTCNA+MTCTCE+MTCUME+MTCINE+MTCIPv6E+MTCSE</t>
        </is>
      </c>
      <c r="G448" t="inlineStr">
        <is>
          <t>否</t>
        </is>
      </c>
      <c r="H448" t="inlineStr">
        <is>
          <t>MikroTik 认证顾问：自己做方案/集成/运维并自行采购设备 → 用 ERPS/IGMP/VLAN/CLI/MIB 这类技术语言切入，不打价格战</t>
        </is>
      </c>
      <c r="I448" t="inlineStr">
        <is>
          <t>LT-S8328XG-4XS24GT-S</t>
        </is>
      </c>
      <c r="J448" t="inlineStr">
        <is>
          <t>+1 912 218 3720 / mikrotik@archous.tech</t>
        </is>
      </c>
      <c r="K448" t="inlineStr">
        <is>
          <t>★★★</t>
        </is>
      </c>
      <c r="L448" t="inlineStr">
        <is>
          <t>未触达</t>
        </is>
      </c>
      <c r="M448" t="inlineStr">
        <is>
          <t>2026-09-22</t>
        </is>
      </c>
      <c r="N448" t="inlineStr"/>
      <c r="O448" t="inlineStr"/>
      <c r="P448" t="inlineStr"/>
      <c r="Q448" t="inlineStr">
        <is>
          <t>多厂商网络与系统集成商，专做 **MikroTik 及他牌的自动化网络方案**（端到端开通自动化：用户开通/停用/限速）；OSPF/BGP/MPLS 规模部署、WireGuard/IPIP/GRE/L2TP/PPP 隧道；为企业与 ISP 定制监控与报表</t>
        </is>
      </c>
      <c r="R448" t="inlineStr">
        <is>
          <t>B</t>
        </is>
      </c>
      <c r="S448" t="inlineStr">
        <is>
          <t>有信号（ISP/骨干）但需先验证需求或联系人不具体</t>
        </is>
      </c>
      <c r="T448" t="inlineStr">
        <is>
          <t>B-356</t>
        </is>
      </c>
      <c r="U448" t="inlineStr"/>
      <c r="V448" t="inlineStr"/>
    </row>
    <row r="449">
      <c r="A449" t="inlineStr">
        <is>
          <t>Kyle Heppler / The ISP Academy</t>
        </is>
      </c>
      <c r="B449" t="inlineStr">
        <is>
          <t>美国</t>
        </is>
      </c>
      <c r="C449" t="inlineStr">
        <is>
          <t>Tucson, AZ</t>
        </is>
      </c>
      <c r="D449" t="inlineStr">
        <is>
          <t>theispacademy.com</t>
        </is>
      </c>
      <c r="E449" t="inlineStr">
        <is>
          <t>集成商/顾问（MikroTik 认证）</t>
        </is>
      </c>
      <c r="F449" t="inlineStr">
        <is>
          <t>MikroTik 认证顾问 MTCNA+MTCRE+MTCINE+MTCSE+MTCEWE</t>
        </is>
      </c>
      <c r="G449" t="inlineStr">
        <is>
          <t>否</t>
        </is>
      </c>
      <c r="H449" t="inlineStr">
        <is>
          <t>MikroTik 认证顾问：自己做方案/集成/运维并自行采购设备 → 用 ERPS/IGMP/VLAN/CLI/MIB 这类技术语言切入，不打价格战</t>
        </is>
      </c>
      <c r="I449" t="inlineStr">
        <is>
          <t>LT-S8328XGP-4XS24GT-S</t>
        </is>
      </c>
      <c r="J449" t="inlineStr">
        <is>
          <t>+1 805 394 5953 / hello@theispacademy.com</t>
        </is>
      </c>
      <c r="K449" t="inlineStr">
        <is>
          <t>★★★</t>
        </is>
      </c>
      <c r="L449" t="inlineStr">
        <is>
          <t>未触达</t>
        </is>
      </c>
      <c r="M449" t="inlineStr">
        <is>
          <t>2026-09-22</t>
        </is>
      </c>
      <c r="N449" t="inlineStr"/>
      <c r="O449" t="inlineStr"/>
      <c r="P449" t="inlineStr"/>
      <c r="Q449" t="inlineStr">
        <is>
          <t>★ 经营 **The ISP Academy（ISP 学院，培训机构）**；专攻各规模 ISP，尤其 WISP；兼做网络监控、数据库、**网络自动化与编程**、无线工程、团队培训 → 他教出来的 WISP 就是他的渠道</t>
        </is>
      </c>
      <c r="R449" t="inlineStr">
        <is>
          <t>B</t>
        </is>
      </c>
      <c r="S449" t="inlineStr">
        <is>
          <t>有信号（ISP/骨干、校园/教育、影响力/渠道）但需先验证需求或联系人不具体</t>
        </is>
      </c>
      <c r="T449" t="inlineStr">
        <is>
          <t>B-357</t>
        </is>
      </c>
      <c r="U449" t="inlineStr"/>
      <c r="V449" t="inlineStr"/>
    </row>
    <row r="450">
      <c r="A450" t="inlineStr">
        <is>
          <t>Lakeland Engineering</t>
        </is>
      </c>
      <c r="B450" t="inlineStr">
        <is>
          <t>美国</t>
        </is>
      </c>
      <c r="C450" t="inlineStr">
        <is>
          <t>NE</t>
        </is>
      </c>
      <c r="D450" t="inlineStr">
        <is>
          <t>lakelandengineering.com</t>
        </is>
      </c>
      <c r="E450" t="inlineStr">
        <is>
          <t>分销（HMS/N-Tron·Red Lion 渠道）</t>
        </is>
      </c>
      <c r="F450" t="inlineStr">
        <is>
          <t>N-Tron + Red Lion + Anybus + Ewon</t>
        </is>
      </c>
      <c r="G450" t="inlineStr">
        <is>
          <t>否</t>
        </is>
      </c>
      <c r="H450" t="inlineStr">
        <is>
          <t>卖 N-Tron/Red Lion 工业交换机（8口约 $500+）→ 中性货同规格 LT-IS6310G 约 $91，做第二供应商，价差 5 倍</t>
        </is>
      </c>
      <c r="I450" t="inlineStr">
        <is>
          <t>LT-IS6312XGP-4XS8GT</t>
        </is>
      </c>
      <c r="J450" t="inlineStr">
        <is>
          <t>官网联系页（HMS 名录只公开地址与网址）</t>
        </is>
      </c>
      <c r="K450" t="inlineStr">
        <is>
          <t>★★★</t>
        </is>
      </c>
      <c r="L450" t="inlineStr">
        <is>
          <t>未触达</t>
        </is>
      </c>
      <c r="M450" t="inlineStr">
        <is>
          <t>2026-09-22</t>
        </is>
      </c>
      <c r="N450" t="inlineStr"/>
      <c r="O450" t="inlineStr"/>
      <c r="P450" t="inlineStr"/>
      <c r="Q450" t="inlineStr">
        <is>
          <t>覆盖 NE/MN/IA/KS；有售前+售后支持；⚠️ 中国产地不能做 TAA/NDAA 政府/电力项目，只谈商业渠道</t>
        </is>
      </c>
      <c r="R450" t="inlineStr">
        <is>
          <t>C</t>
        </is>
      </c>
      <c r="S45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0" t="inlineStr">
        <is>
          <t>C-250</t>
        </is>
      </c>
      <c r="U450" t="inlineStr">
        <is>
          <t>B下放·无邮箱（群发触达不到）</t>
        </is>
      </c>
      <c r="V450" t="inlineStr"/>
    </row>
    <row r="451">
      <c r="A451" t="inlineStr">
        <is>
          <t>Leverify LLC</t>
        </is>
      </c>
      <c r="B451" t="inlineStr">
        <is>
          <t>美国</t>
        </is>
      </c>
      <c r="C451" t="inlineStr">
        <is>
          <t>WA</t>
        </is>
      </c>
      <c r="D451" t="inlineStr">
        <is>
          <t>leverify.com</t>
        </is>
      </c>
      <c r="E451" t="inlineStr">
        <is>
          <t>分销（MikroTik 官方）</t>
        </is>
      </c>
      <c r="F451" t="inlineStr">
        <is>
          <t>MikroTik（Reseller）</t>
        </is>
      </c>
      <c r="G451" t="inlineStr">
        <is>
          <t>否</t>
        </is>
      </c>
      <c r="H451" t="inlineStr">
        <is>
          <t>卖 MikroTik 但缺工业/ERPS/PoE++ → 用同价位工业线补他的产品缺口</t>
        </is>
      </c>
      <c r="I451" t="inlineStr">
        <is>
          <t>LT-IS6312XG-4XS8GT</t>
        </is>
      </c>
      <c r="J451" t="inlineStr">
        <is>
          <t>+1 425 654 0681 / brands@leverify.com</t>
        </is>
      </c>
      <c r="K451" t="inlineStr">
        <is>
          <t>★★</t>
        </is>
      </c>
      <c r="L451" t="inlineStr">
        <is>
          <t>未触达</t>
        </is>
      </c>
      <c r="M451" t="inlineStr">
        <is>
          <t>2026-09-22</t>
        </is>
      </c>
      <c r="N451" t="inlineStr"/>
      <c r="O451" t="inlineStr"/>
      <c r="P451" t="inlineStr"/>
      <c r="Q451" t="inlineStr">
        <is>
          <t>USBellevue</t>
        </is>
      </c>
      <c r="R451" t="inlineStr">
        <is>
          <t>B</t>
        </is>
      </c>
      <c r="S451" t="inlineStr">
        <is>
          <t>通用分销商信号，无差异化切入点，慢慢跟</t>
        </is>
      </c>
      <c r="T451" t="inlineStr">
        <is>
          <t>B-359</t>
        </is>
      </c>
      <c r="U451" t="inlineStr"/>
      <c r="V451" t="inlineStr"/>
    </row>
    <row r="452">
      <c r="A452" t="inlineStr">
        <is>
          <t>Logic Inc</t>
        </is>
      </c>
      <c r="B452" t="inlineStr">
        <is>
          <t>美国</t>
        </is>
      </c>
      <c r="C452" t="inlineStr">
        <is>
          <t>KS</t>
        </is>
      </c>
      <c r="D452" t="inlineStr">
        <is>
          <t>logic-control.com</t>
        </is>
      </c>
      <c r="E452" t="inlineStr">
        <is>
          <t>分销（HMS/N-Tron·Red Lion 渠道）</t>
        </is>
      </c>
      <c r="F452" t="inlineStr">
        <is>
          <t>N-Tron + Red Lion + Anybus + Ewon</t>
        </is>
      </c>
      <c r="G452" t="inlineStr">
        <is>
          <t>否</t>
        </is>
      </c>
      <c r="H452" t="inlineStr">
        <is>
          <t>卖 N-Tron/Red Lion 工业交换机（8口约 $500+）→ 中性货同规格 LT-IS6310G 约 $91，做第二供应商，价差 5 倍</t>
        </is>
      </c>
      <c r="I452" t="inlineStr">
        <is>
          <t>LT-IS6312XG-4XS8GT</t>
        </is>
      </c>
      <c r="J452" t="inlineStr">
        <is>
          <t>官网联系页（HMS 名录只公开地址与网址）</t>
        </is>
      </c>
      <c r="K452" t="inlineStr">
        <is>
          <t>★★★</t>
        </is>
      </c>
      <c r="L452" t="inlineStr">
        <is>
          <t>未触达</t>
        </is>
      </c>
      <c r="M452" t="inlineStr">
        <is>
          <t>2026-09-22</t>
        </is>
      </c>
      <c r="N452" t="inlineStr"/>
      <c r="O452" t="inlineStr"/>
      <c r="P452" t="inlineStr"/>
      <c r="Q452" t="inlineStr">
        <is>
          <t>覆盖 KS/MO；有售前+售后支持；⚠️ 中国产地不能做 TAA/NDAA 政府/电力项目，只谈商业渠道</t>
        </is>
      </c>
      <c r="R452" t="inlineStr">
        <is>
          <t>C</t>
        </is>
      </c>
      <c r="S45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52" t="inlineStr">
        <is>
          <t>C-251</t>
        </is>
      </c>
      <c r="U452" t="inlineStr">
        <is>
          <t>B下放·无邮箱（群发触达不到）</t>
        </is>
      </c>
      <c r="V452" t="inlineStr"/>
    </row>
    <row r="453">
      <c r="A453" t="inlineStr">
        <is>
          <t>Makro Wisp</t>
        </is>
      </c>
      <c r="B453" t="inlineStr">
        <is>
          <t>美国</t>
        </is>
      </c>
      <c r="C453" t="inlineStr">
        <is>
          <t>NC</t>
        </is>
      </c>
      <c r="D453" t="inlineStr">
        <is>
          <t>makrowisp.com</t>
        </is>
      </c>
      <c r="E453" t="inlineStr">
        <is>
          <t>分销（MikroTik 官方）</t>
        </is>
      </c>
      <c r="F453" t="inlineStr">
        <is>
          <t>MikroTik（Reseller）</t>
        </is>
      </c>
      <c r="G453" t="inlineStr">
        <is>
          <t>否</t>
        </is>
      </c>
      <c r="H453" t="inlineStr">
        <is>
          <t>卖 MikroTik 但缺工业/ERPS/PoE++ → 用同价位工业线补他的产品缺口</t>
        </is>
      </c>
      <c r="I453" t="inlineStr">
        <is>
          <t>LT-IS6312XG-4XS8GT</t>
        </is>
      </c>
      <c r="J453" t="inlineStr">
        <is>
          <t>+1 980 441 1125 / Sales@makrowisp.com</t>
        </is>
      </c>
      <c r="K453" t="inlineStr">
        <is>
          <t>★★★</t>
        </is>
      </c>
      <c r="L453" t="inlineStr">
        <is>
          <t>未触达</t>
        </is>
      </c>
      <c r="M453" t="inlineStr">
        <is>
          <t>2026-09-22</t>
        </is>
      </c>
      <c r="N453" t="inlineStr"/>
      <c r="O453" t="inlineStr"/>
      <c r="P453" t="inlineStr"/>
      <c r="Q453" t="inlineStr">
        <is>
          <t>USMonroe；WISP 渠道</t>
        </is>
      </c>
      <c r="R453" t="inlineStr">
        <is>
          <t>B</t>
        </is>
      </c>
      <c r="S453" t="inlineStr">
        <is>
          <t>有信号（ISP/骨干）但需先验证需求或联系人不具体</t>
        </is>
      </c>
      <c r="T453" t="inlineStr">
        <is>
          <t>B-361</t>
        </is>
      </c>
      <c r="U453" t="inlineStr"/>
      <c r="V453" t="inlineStr"/>
    </row>
    <row r="454">
      <c r="A454" t="inlineStr">
        <is>
          <t>Microcom Technologies</t>
        </is>
      </c>
      <c r="B454" t="inlineStr">
        <is>
          <t>美国</t>
        </is>
      </c>
      <c r="C454" t="inlineStr">
        <is>
          <t>CA</t>
        </is>
      </c>
      <c r="D454" t="inlineStr">
        <is>
          <t>microcom.us</t>
        </is>
      </c>
      <c r="E454" t="inlineStr">
        <is>
          <t>分销（MikroTik 官方）</t>
        </is>
      </c>
      <c r="F454" t="inlineStr">
        <is>
          <t>MikroTik（Master+VAD）</t>
        </is>
      </c>
      <c r="G454" t="inlineStr">
        <is>
          <t>否</t>
        </is>
      </c>
      <c r="H454" t="inlineStr">
        <is>
          <t>卖 MikroTik 但缺工业/ERPS/PoE++ → 用同价位工业线补他的产品缺口</t>
        </is>
      </c>
      <c r="I454" t="inlineStr">
        <is>
          <t>LT-IS6312XG-4XS8GT</t>
        </is>
      </c>
      <c r="J454" t="inlineStr">
        <is>
          <t>+1 818 880 8008 / sales@microcomtec.com</t>
        </is>
      </c>
      <c r="K454" t="inlineStr">
        <is>
          <t>★★★</t>
        </is>
      </c>
      <c r="L454" t="inlineStr">
        <is>
          <t>未触达</t>
        </is>
      </c>
      <c r="M454" t="inlineStr">
        <is>
          <t>2026-09-22</t>
        </is>
      </c>
      <c r="N454" t="inlineStr"/>
      <c r="O454" t="inlineStr"/>
      <c r="P454" t="inlineStr"/>
      <c r="Q454" t="inlineStr">
        <is>
          <t>USCalabasas</t>
        </is>
      </c>
      <c r="R454" t="inlineStr">
        <is>
          <t>B</t>
        </is>
      </c>
      <c r="S454" t="inlineStr">
        <is>
          <t>通用分销商信号，无差异化切入点，慢慢跟</t>
        </is>
      </c>
      <c r="T454" t="inlineStr">
        <is>
          <t>B-362</t>
        </is>
      </c>
      <c r="U454" t="inlineStr"/>
      <c r="V454" t="inlineStr"/>
    </row>
    <row r="455">
      <c r="A455" t="inlineStr">
        <is>
          <t>Mid Atlantic Rugged Systems</t>
        </is>
      </c>
      <c r="B455" t="inlineStr">
        <is>
          <t>美国</t>
        </is>
      </c>
      <c r="C455" t="inlineStr"/>
      <c r="D455" t="inlineStr">
        <is>
          <t>midatlanticruggedsystems.com</t>
        </is>
      </c>
      <c r="E455" t="inlineStr">
        <is>
          <t>分销（ORing 授权）</t>
        </is>
      </c>
      <c r="F455" t="inlineStr">
        <is>
          <t>ORing</t>
        </is>
      </c>
      <c r="G455" t="inlineStr">
        <is>
          <t>否</t>
        </is>
      </c>
      <c r="H455" t="inlineStr">
        <is>
          <t>工业/轨道同规格 1/3 价第二供应源</t>
        </is>
      </c>
      <c r="I455" t="inlineStr">
        <is>
          <t>LT-IS6312XGP-4XS8GT</t>
        </is>
      </c>
      <c r="J455" t="inlineStr">
        <is>
          <t>+1 855 784-4334 / sales@marugged.com</t>
        </is>
      </c>
      <c r="K455" t="inlineStr">
        <is>
          <t>★★</t>
        </is>
      </c>
      <c r="L455" t="inlineStr">
        <is>
          <t>未触达</t>
        </is>
      </c>
      <c r="M455" t="inlineStr">
        <is>
          <t>2026-09-22</t>
        </is>
      </c>
      <c r="N455" t="inlineStr"/>
      <c r="O455" t="inlineStr"/>
      <c r="P455" t="inlineStr"/>
      <c r="Q455" t="inlineStr"/>
      <c r="R455" t="inlineStr">
        <is>
          <t>B</t>
        </is>
      </c>
      <c r="S455" t="inlineStr">
        <is>
          <t>通用分销商信号，无差异化切入点，慢慢跟</t>
        </is>
      </c>
      <c r="T455" t="inlineStr">
        <is>
          <t>B-363</t>
        </is>
      </c>
      <c r="U455" t="inlineStr"/>
      <c r="V455" t="inlineStr"/>
    </row>
    <row r="456">
      <c r="A456" t="inlineStr">
        <is>
          <t>Multilink Solutions</t>
        </is>
      </c>
      <c r="B456" t="inlineStr">
        <is>
          <t>美国</t>
        </is>
      </c>
      <c r="C456" t="inlineStr">
        <is>
          <t>OH</t>
        </is>
      </c>
      <c r="D456" t="inlineStr">
        <is>
          <t>multilink.us</t>
        </is>
      </c>
      <c r="E456" t="inlineStr">
        <is>
          <t>分销（MikroTik 官方）</t>
        </is>
      </c>
      <c r="F456" t="inlineStr">
        <is>
          <t>MikroTik（Master）</t>
        </is>
      </c>
      <c r="G456" t="inlineStr">
        <is>
          <t>否</t>
        </is>
      </c>
      <c r="H456" t="inlineStr">
        <is>
          <t>MikroTik 官方分销，商用线可直接比价，工业线为零 → 新品类增量</t>
        </is>
      </c>
      <c r="I456" t="inlineStr">
        <is>
          <t>LT-S8328XG-4XS8GT-S</t>
        </is>
      </c>
      <c r="J456" t="inlineStr">
        <is>
          <t>+1 513 501 8006 / info@multilink.us</t>
        </is>
      </c>
      <c r="K456" t="inlineStr">
        <is>
          <t>★★★</t>
        </is>
      </c>
      <c r="L456" t="inlineStr">
        <is>
          <t>未触达</t>
        </is>
      </c>
      <c r="M456" t="inlineStr">
        <is>
          <t>2026-09-22</t>
        </is>
      </c>
      <c r="N456" t="inlineStr"/>
      <c r="O456" t="inlineStr"/>
      <c r="P456" t="inlineStr"/>
      <c r="Q456" t="inlineStr">
        <is>
          <t>USCincinnati</t>
        </is>
      </c>
      <c r="R456" t="inlineStr">
        <is>
          <t>B</t>
        </is>
      </c>
      <c r="S456" t="inlineStr">
        <is>
          <t>通用分销商信号，无差异化切入点，慢慢跟</t>
        </is>
      </c>
      <c r="T456" t="inlineStr">
        <is>
          <t>B-364</t>
        </is>
      </c>
      <c r="U456" t="inlineStr"/>
      <c r="V456" t="inlineStr"/>
    </row>
    <row r="457">
      <c r="A457" t="inlineStr">
        <is>
          <t>NACE Inc（North American Cable）</t>
        </is>
      </c>
      <c r="B457" t="inlineStr">
        <is>
          <t>美国</t>
        </is>
      </c>
      <c r="C457" t="inlineStr">
        <is>
          <t>PA</t>
        </is>
      </c>
      <c r="D457" t="inlineStr">
        <is>
          <t>products.nace.tv</t>
        </is>
      </c>
      <c r="E457" t="inlineStr">
        <is>
          <t>分销（MikroTik 官方）</t>
        </is>
      </c>
      <c r="F457" t="inlineStr">
        <is>
          <t>MikroTik（Master）</t>
        </is>
      </c>
      <c r="G457" t="inlineStr">
        <is>
          <t>否</t>
        </is>
      </c>
      <c r="H457" t="inlineStr">
        <is>
          <t>MikroTik 官方分销，商用线可直接比价，工业线为零 → 新品类增量</t>
        </is>
      </c>
      <c r="I457" t="inlineStr">
        <is>
          <t>LT-S8328GP-4GX24GT</t>
        </is>
      </c>
      <c r="J457" t="inlineStr">
        <is>
          <t>+1 800 688 9282 / sales@northamericancable.com</t>
        </is>
      </c>
      <c r="K457" t="inlineStr">
        <is>
          <t>★★★</t>
        </is>
      </c>
      <c r="L457" t="inlineStr">
        <is>
          <t>未触达</t>
        </is>
      </c>
      <c r="M457" t="inlineStr">
        <is>
          <t>2026-09-22</t>
        </is>
      </c>
      <c r="N457" t="inlineStr"/>
      <c r="O457" t="inlineStr"/>
      <c r="P457" t="inlineStr"/>
      <c r="Q457" t="inlineStr">
        <is>
          <t>USWest Chester</t>
        </is>
      </c>
      <c r="R457" t="inlineStr">
        <is>
          <t>B</t>
        </is>
      </c>
      <c r="S457" t="inlineStr">
        <is>
          <t>通用分销商信号，无差异化切入点，慢慢跟</t>
        </is>
      </c>
      <c r="T457" t="inlineStr">
        <is>
          <t>B-365</t>
        </is>
      </c>
      <c r="U457" t="inlineStr"/>
      <c r="V457" t="inlineStr"/>
    </row>
    <row r="458">
      <c r="A458" t="inlineStr">
        <is>
          <t>Pace International</t>
        </is>
      </c>
      <c r="B458" t="inlineStr">
        <is>
          <t>美国</t>
        </is>
      </c>
      <c r="C458" t="inlineStr">
        <is>
          <t>MN</t>
        </is>
      </c>
      <c r="D458" t="inlineStr">
        <is>
          <t>paceintl.com</t>
        </is>
      </c>
      <c r="E458" t="inlineStr">
        <is>
          <t>分销（MikroTik 官方）</t>
        </is>
      </c>
      <c r="F458" t="inlineStr">
        <is>
          <t>MikroTik（Master+VAD）</t>
        </is>
      </c>
      <c r="G458" t="inlineStr">
        <is>
          <t>否</t>
        </is>
      </c>
      <c r="H458" t="inlineStr">
        <is>
          <t>卖 MikroTik 但缺工业/ERPS/PoE++ → 用同价位工业线补他的产品缺口</t>
        </is>
      </c>
      <c r="I458" t="inlineStr">
        <is>
          <t>LT-IS6312XGP-4XS8GT</t>
        </is>
      </c>
      <c r="J458" t="inlineStr">
        <is>
          <t>+1 800 444 7223 / sales@paceintl.com</t>
        </is>
      </c>
      <c r="K458" t="inlineStr">
        <is>
          <t>★★★</t>
        </is>
      </c>
      <c r="L458" t="inlineStr">
        <is>
          <t>未触达</t>
        </is>
      </c>
      <c r="M458" t="inlineStr">
        <is>
          <t>2026-09-22</t>
        </is>
      </c>
      <c r="N458" t="inlineStr"/>
      <c r="O458" t="inlineStr"/>
      <c r="P458" t="inlineStr"/>
      <c r="Q458" t="inlineStr">
        <is>
          <t>USRochester</t>
        </is>
      </c>
      <c r="R458" t="inlineStr">
        <is>
          <t>B</t>
        </is>
      </c>
      <c r="S458" t="inlineStr">
        <is>
          <t>通用分销商信号，无差异化切入点，慢慢跟</t>
        </is>
      </c>
      <c r="T458" t="inlineStr">
        <is>
          <t>B-366</t>
        </is>
      </c>
      <c r="U458" t="inlineStr"/>
      <c r="V458" t="inlineStr"/>
    </row>
    <row r="459">
      <c r="A459" t="inlineStr">
        <is>
          <t>Platinum Micro</t>
        </is>
      </c>
      <c r="B459" t="inlineStr">
        <is>
          <t>美国</t>
        </is>
      </c>
      <c r="C459" t="inlineStr"/>
      <c r="D459" t="inlineStr">
        <is>
          <t>platinummicro.com</t>
        </is>
      </c>
      <c r="E459" t="inlineStr">
        <is>
          <t>分销（PLANET 授权）</t>
        </is>
      </c>
      <c r="F459" t="inlineStr">
        <is>
          <t>PLANET（台厂工业/商用交换机）</t>
        </is>
      </c>
      <c r="G459" t="inlineStr">
        <is>
          <t>否</t>
        </is>
      </c>
      <c r="H459" t="inlineStr">
        <is>
          <t>PLANET 美国官网列出的授权代理商，2000 年成立</t>
        </is>
      </c>
      <c r="I459" t="inlineStr">
        <is>
          <t>LT-IS6312XGP-4XS8GT</t>
        </is>
      </c>
      <c r="J459" t="inlineStr">
        <is>
          <t>官网 Contact 页</t>
        </is>
      </c>
      <c r="K459" t="inlineStr">
        <is>
          <t>★★</t>
        </is>
      </c>
      <c r="L459" t="inlineStr">
        <is>
          <t>未触达</t>
        </is>
      </c>
      <c r="M459" t="inlineStr">
        <is>
          <t>PLANET 经销商名录/2026-09</t>
        </is>
      </c>
      <c r="N459" t="inlineStr"/>
      <c r="O459" t="inlineStr"/>
      <c r="P459" t="inlineStr"/>
      <c r="Q459" t="inlineStr">
        <is>
          <t>【2026-09-22 新增】planetechusa.com/where-to-buy 列 PLATINUM MICRO 为 partner，成立于 2000 年。</t>
        </is>
      </c>
      <c r="R459" t="inlineStr">
        <is>
          <t>C</t>
        </is>
      </c>
      <c r="S45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59" t="inlineStr">
        <is>
          <t>C-252</t>
        </is>
      </c>
      <c r="U459" t="inlineStr">
        <is>
          <t>B下放·无邮箱（群发触达不到）</t>
        </is>
      </c>
      <c r="V459" t="inlineStr"/>
    </row>
    <row r="460">
      <c r="A460" t="inlineStr">
        <is>
          <t>Power Mation</t>
        </is>
      </c>
      <c r="B460" t="inlineStr">
        <is>
          <t>美国</t>
        </is>
      </c>
      <c r="C460" t="inlineStr">
        <is>
          <t>MN</t>
        </is>
      </c>
      <c r="D460" t="inlineStr">
        <is>
          <t>powermation.com</t>
        </is>
      </c>
      <c r="E460" t="inlineStr">
        <is>
          <t>分销（HMS/N-Tron·Red Lion 渠道）</t>
        </is>
      </c>
      <c r="F460" t="inlineStr">
        <is>
          <t>N-Tron + Red Lion + Anybus + Ewon</t>
        </is>
      </c>
      <c r="G460" t="inlineStr">
        <is>
          <t>否</t>
        </is>
      </c>
      <c r="H460" t="inlineStr">
        <is>
          <t>卖 N-Tron/Red Lion 工业交换机（8口约 $500+）→ 中性货同规格 LT-IS6310G 约 $91，做第二供应商，价差 5 倍</t>
        </is>
      </c>
      <c r="I460" t="inlineStr">
        <is>
          <t>LT-IS6312XGP-4XS8GT</t>
        </is>
      </c>
      <c r="J460" t="inlineStr">
        <is>
          <t>官网联系页（HMS 名录只公开地址与网址）</t>
        </is>
      </c>
      <c r="K460" t="inlineStr">
        <is>
          <t>★★★</t>
        </is>
      </c>
      <c r="L460" t="inlineStr">
        <is>
          <t>未触达</t>
        </is>
      </c>
      <c r="M460" t="inlineStr">
        <is>
          <t>2026-09-22</t>
        </is>
      </c>
      <c r="N460" t="inlineStr"/>
      <c r="O460" t="inlineStr"/>
      <c r="P460" t="inlineStr"/>
      <c r="Q460" t="inlineStr">
        <is>
          <t>覆盖 IA/MN/WI；有售前+售后支持；⚠️ 中国产地不能做 TAA/NDAA 政府/电力项目，只谈商业渠道</t>
        </is>
      </c>
      <c r="R460" t="inlineStr">
        <is>
          <t>C</t>
        </is>
      </c>
      <c r="S4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0" t="inlineStr">
        <is>
          <t>C-253</t>
        </is>
      </c>
      <c r="U460" t="inlineStr">
        <is>
          <t>B下放·无邮箱（群发触达不到）</t>
        </is>
      </c>
      <c r="V460" t="inlineStr"/>
    </row>
    <row r="461">
      <c r="A461" t="inlineStr">
        <is>
          <t>Power Motion</t>
        </is>
      </c>
      <c r="B461" t="inlineStr">
        <is>
          <t>美国</t>
        </is>
      </c>
      <c r="C461" t="inlineStr">
        <is>
          <t>MO</t>
        </is>
      </c>
      <c r="D461" t="inlineStr">
        <is>
          <t>powermotionsales.com</t>
        </is>
      </c>
      <c r="E461" t="inlineStr">
        <is>
          <t>分销（HMS/N-Tron·Red Lion 渠道）</t>
        </is>
      </c>
      <c r="F461" t="inlineStr">
        <is>
          <t>N-Tron + Red Lion + Anybus + Ewon</t>
        </is>
      </c>
      <c r="G461" t="inlineStr">
        <is>
          <t>否</t>
        </is>
      </c>
      <c r="H461" t="inlineStr">
        <is>
          <t>卖 N-Tron/Red Lion 工业交换机（8口约 $500+）→ 中性货同规格 LT-IS6310G 约 $91，做第二供应商，价差 5 倍</t>
        </is>
      </c>
      <c r="I461" t="inlineStr">
        <is>
          <t>LT-IS6312XG-4XS8GT</t>
        </is>
      </c>
      <c r="J461" t="inlineStr">
        <is>
          <t>官网联系页（HMS 名录只公开地址与网址）</t>
        </is>
      </c>
      <c r="K461" t="inlineStr">
        <is>
          <t>★★★</t>
        </is>
      </c>
      <c r="L461" t="inlineStr">
        <is>
          <t>未触达</t>
        </is>
      </c>
      <c r="M461" t="inlineStr">
        <is>
          <t>2026-09-22</t>
        </is>
      </c>
      <c r="N461" t="inlineStr"/>
      <c r="O461" t="inlineStr"/>
      <c r="P461" t="inlineStr"/>
      <c r="Q461" t="inlineStr">
        <is>
          <t>覆盖 AR/IL/KS/MO；有售前+售后支持；⚠️ 中国产地不能做 TAA/NDAA 政府/电力项目，只谈商业渠道</t>
        </is>
      </c>
      <c r="R461" t="inlineStr">
        <is>
          <t>C</t>
        </is>
      </c>
      <c r="S46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1" t="inlineStr">
        <is>
          <t>C-254</t>
        </is>
      </c>
      <c r="U461" t="inlineStr">
        <is>
          <t>B下放·无邮箱（群发触达不到）</t>
        </is>
      </c>
      <c r="V461" t="inlineStr"/>
    </row>
    <row r="462">
      <c r="A462" t="inlineStr">
        <is>
          <t>Process Technology, Inc. (PTI)</t>
        </is>
      </c>
      <c r="B462" t="inlineStr">
        <is>
          <t>美国</t>
        </is>
      </c>
      <c r="C462" t="inlineStr">
        <is>
          <t>UT</t>
        </is>
      </c>
      <c r="D462" t="inlineStr">
        <is>
          <t>process-tech.com</t>
        </is>
      </c>
      <c r="E462" t="inlineStr">
        <is>
          <t>分销（HMS/N-Tron·Red Lion 渠道）</t>
        </is>
      </c>
      <c r="F462" t="inlineStr">
        <is>
          <t>N-Tron + Red Lion + Anybus + Ewon</t>
        </is>
      </c>
      <c r="G462" t="inlineStr">
        <is>
          <t>否</t>
        </is>
      </c>
      <c r="H462" t="inlineStr">
        <is>
          <t>卖 N-Tron/Red Lion 工业交换机（8口约 $500+）→ 中性货同规格 LT-IS6310G 约 $91，做第二供应商，价差 5 倍</t>
        </is>
      </c>
      <c r="I462" t="inlineStr">
        <is>
          <t>LT-IS6312XGP-4XS8GT</t>
        </is>
      </c>
      <c r="J462" t="inlineStr">
        <is>
          <t>官网联系页（HMS 名录只公开地址与网址）</t>
        </is>
      </c>
      <c r="K462" t="inlineStr">
        <is>
          <t>★★★</t>
        </is>
      </c>
      <c r="L462" t="inlineStr">
        <is>
          <t>未触达</t>
        </is>
      </c>
      <c r="M462" t="inlineStr">
        <is>
          <t>2026-09-22</t>
        </is>
      </c>
      <c r="N462" t="inlineStr"/>
      <c r="O462" t="inlineStr"/>
      <c r="P462" t="inlineStr"/>
      <c r="Q462" t="inlineStr">
        <is>
          <t>覆盖 AZ/CO/ID/UT；有售前支持；⚠️ 中国产地不能做 TAA/NDAA 政府/电力项目，只谈商业渠道</t>
        </is>
      </c>
      <c r="R462" t="inlineStr">
        <is>
          <t>C</t>
        </is>
      </c>
      <c r="S46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62" t="inlineStr">
        <is>
          <t>C-255</t>
        </is>
      </c>
      <c r="U462" t="inlineStr">
        <is>
          <t>B下放·无邮箱（群发触达不到）</t>
        </is>
      </c>
      <c r="V462" t="inlineStr"/>
    </row>
    <row r="463">
      <c r="A463" t="inlineStr">
        <is>
          <t>Pulse Supply</t>
        </is>
      </c>
      <c r="B463" t="inlineStr">
        <is>
          <t>美国</t>
        </is>
      </c>
      <c r="C463" t="inlineStr"/>
      <c r="D463" t="inlineStr">
        <is>
          <t>pulsesupply.com</t>
        </is>
      </c>
      <c r="E463" t="inlineStr">
        <is>
          <t>分销（PLANET 授权）</t>
        </is>
      </c>
      <c r="F463" t="inlineStr">
        <is>
          <t>PLANET（台厂工业/商用交换机）</t>
        </is>
      </c>
      <c r="G463" t="inlineStr">
        <is>
          <t>否</t>
        </is>
      </c>
      <c r="H463" t="inlineStr">
        <is>
          <t>PLANET 美国官网列出的授权代理商</t>
        </is>
      </c>
      <c r="I463" t="inlineStr">
        <is>
          <t>LT-IS6312XGP-4XS8GT</t>
        </is>
      </c>
      <c r="J463" t="inlineStr">
        <is>
          <t>官网 Contact 页</t>
        </is>
      </c>
      <c r="K463" t="inlineStr">
        <is>
          <t>★★</t>
        </is>
      </c>
      <c r="L463" t="inlineStr">
        <is>
          <t>未触达</t>
        </is>
      </c>
      <c r="M463" t="inlineStr">
        <is>
          <t>PLANET 经销商名录/2026-09</t>
        </is>
      </c>
      <c r="N463" t="inlineStr"/>
      <c r="O463" t="inlineStr"/>
      <c r="P463" t="inlineStr"/>
      <c r="Q463" t="inlineStr">
        <is>
          <t>【2026-09-22 新增】planetechusa.com/where-to-buy 列出的 USA Reseller。</t>
        </is>
      </c>
      <c r="R463" t="inlineStr">
        <is>
          <t>C</t>
        </is>
      </c>
      <c r="S46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3" t="inlineStr">
        <is>
          <t>C-256</t>
        </is>
      </c>
      <c r="U463" t="inlineStr">
        <is>
          <t>B下放·无邮箱（群发触达不到）</t>
        </is>
      </c>
      <c r="V463" t="inlineStr"/>
    </row>
    <row r="464">
      <c r="A464" t="inlineStr">
        <is>
          <t>Purvis Industries LLC</t>
        </is>
      </c>
      <c r="B464" t="inlineStr">
        <is>
          <t>美国</t>
        </is>
      </c>
      <c r="C464" t="inlineStr">
        <is>
          <t>MO</t>
        </is>
      </c>
      <c r="D464" t="inlineStr"/>
      <c r="E464" t="inlineStr">
        <is>
          <t>分销（HMS/N-Tron·Red Lion 渠道）</t>
        </is>
      </c>
      <c r="F464" t="inlineStr">
        <is>
          <t>N-Tron + Red Lion</t>
        </is>
      </c>
      <c r="G464" t="inlineStr">
        <is>
          <t>否</t>
        </is>
      </c>
      <c r="H464" t="inlineStr">
        <is>
          <t>卖 N-Tron/Red Lion 工业交换机（8口约 $500+）→ 中性货同规格 LT-IS6310G 约 $91，做第二供应商，价差 5 倍</t>
        </is>
      </c>
      <c r="I464" t="inlineStr">
        <is>
          <t>LT-IS6312XG-4XS8GT</t>
        </is>
      </c>
      <c r="J464" t="inlineStr">
        <is>
          <t>官网联系页（HMS 名录只公开地址与网址）</t>
        </is>
      </c>
      <c r="K464" t="inlineStr">
        <is>
          <t>★★</t>
        </is>
      </c>
      <c r="L464" t="inlineStr">
        <is>
          <t>未触达</t>
        </is>
      </c>
      <c r="M464" t="inlineStr">
        <is>
          <t>2026-09-22</t>
        </is>
      </c>
      <c r="N464" t="inlineStr"/>
      <c r="O464" t="inlineStr"/>
      <c r="P464" t="inlineStr"/>
      <c r="Q464" t="inlineStr">
        <is>
          <t>密苏里；无公开网址；⚠️ 中国产地不能做 TAA/NDAA 政府/电力项目，只谈商业渠道</t>
        </is>
      </c>
      <c r="R464" t="inlineStr">
        <is>
          <t>C</t>
        </is>
      </c>
      <c r="S46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4" t="inlineStr">
        <is>
          <t>C-257</t>
        </is>
      </c>
      <c r="U464" t="inlineStr">
        <is>
          <t>B下放·无邮箱（群发触达不到）</t>
        </is>
      </c>
      <c r="V464" t="inlineStr"/>
    </row>
    <row r="465">
      <c r="A465" t="inlineStr">
        <is>
          <t>ROC-NOC</t>
        </is>
      </c>
      <c r="B465" t="inlineStr">
        <is>
          <t>美国</t>
        </is>
      </c>
      <c r="C465" t="inlineStr">
        <is>
          <t>IL</t>
        </is>
      </c>
      <c r="D465" t="inlineStr">
        <is>
          <t>roc-noc.com</t>
        </is>
      </c>
      <c r="E465" t="inlineStr">
        <is>
          <t>分销（MikroTik 官方）</t>
        </is>
      </c>
      <c r="F465" t="inlineStr">
        <is>
          <t>MikroTik（Master+VAD）</t>
        </is>
      </c>
      <c r="G465" t="inlineStr">
        <is>
          <t>否</t>
        </is>
      </c>
      <c r="H465" t="inlineStr">
        <is>
          <t>MikroTik 官方分销，商用线可直接比价，工业线为零 → 新品类增量</t>
        </is>
      </c>
      <c r="I465" t="inlineStr">
        <is>
          <t>LT-S8328XG-4XS8GT-S</t>
        </is>
      </c>
      <c r="J465" t="inlineStr">
        <is>
          <t>+1 815 209 2224 / sales@roc-noc.com</t>
        </is>
      </c>
      <c r="K465" t="inlineStr">
        <is>
          <t>★★★</t>
        </is>
      </c>
      <c r="L465" t="inlineStr">
        <is>
          <t>未触达</t>
        </is>
      </c>
      <c r="M465" t="inlineStr">
        <is>
          <t>2026-09-22</t>
        </is>
      </c>
      <c r="N465" t="inlineStr"/>
      <c r="O465" t="inlineStr"/>
      <c r="P465" t="inlineStr"/>
      <c r="Q465" t="inlineStr">
        <is>
          <t>USRockford</t>
        </is>
      </c>
      <c r="R465" t="inlineStr">
        <is>
          <t>B</t>
        </is>
      </c>
      <c r="S465" t="inlineStr">
        <is>
          <t>通用分销商信号，无差异化切入点，慢慢跟</t>
        </is>
      </c>
      <c r="T465" t="inlineStr">
        <is>
          <t>B-373</t>
        </is>
      </c>
      <c r="U465" t="inlineStr"/>
      <c r="V465" t="inlineStr"/>
    </row>
    <row r="466">
      <c r="A466" t="inlineStr">
        <is>
          <t>RSP Supply</t>
        </is>
      </c>
      <c r="B466" t="inlineStr">
        <is>
          <t>美国</t>
        </is>
      </c>
      <c r="C466" t="inlineStr"/>
      <c r="D466" t="inlineStr">
        <is>
          <t>rspsupply.com</t>
        </is>
      </c>
      <c r="E466" t="inlineStr">
        <is>
          <t>分销</t>
        </is>
      </c>
      <c r="F466" t="inlineStr">
        <is>
          <t>Moxa 授权</t>
        </is>
      </c>
      <c r="G466" t="inlineStr">
        <is>
          <t>否</t>
        </is>
      </c>
      <c r="H466" t="inlineStr">
        <is>
          <t>中性货+价格；⚠️TAA项目不碰</t>
        </is>
      </c>
      <c r="I466" t="inlineStr">
        <is>
          <t>LT-IS6312XGP-4XS8GT</t>
        </is>
      </c>
      <c r="J466" t="inlineStr">
        <is>
          <t>官网</t>
        </is>
      </c>
      <c r="K466" t="inlineStr">
        <is>
          <t>★★</t>
        </is>
      </c>
      <c r="L466" t="inlineStr">
        <is>
          <t>未触达</t>
        </is>
      </c>
      <c r="M466" t="inlineStr">
        <is>
          <t>反向信号/2026-09</t>
        </is>
      </c>
      <c r="N466" t="inlineStr"/>
      <c r="O466" t="inlineStr"/>
      <c r="P466" t="inlineStr"/>
      <c r="Q466" t="inlineStr"/>
      <c r="R466" t="inlineStr">
        <is>
          <t>C</t>
        </is>
      </c>
      <c r="S46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66" t="inlineStr">
        <is>
          <t>C-258</t>
        </is>
      </c>
      <c r="U466" t="inlineStr">
        <is>
          <t>B下放·无邮箱（群发触达不到）</t>
        </is>
      </c>
      <c r="V466" t="inlineStr"/>
    </row>
    <row r="467">
      <c r="A467" t="inlineStr">
        <is>
          <t>RUGGED SCIENCE</t>
        </is>
      </c>
      <c r="B467" t="inlineStr">
        <is>
          <t>美国</t>
        </is>
      </c>
      <c r="C467" t="inlineStr"/>
      <c r="D467" t="inlineStr">
        <is>
          <t>ruggedscience.com</t>
        </is>
      </c>
      <c r="E467" t="inlineStr">
        <is>
          <t>分销（ORing 授权）</t>
        </is>
      </c>
      <c r="F467" t="inlineStr">
        <is>
          <t>ORing</t>
        </is>
      </c>
      <c r="G467" t="inlineStr">
        <is>
          <t>否</t>
        </is>
      </c>
      <c r="H467" t="inlineStr">
        <is>
          <t>工业/轨道同规格 1/3 价第二供应源</t>
        </is>
      </c>
      <c r="I467" t="inlineStr">
        <is>
          <t>LT-IS6312XG-4XS8GT</t>
        </is>
      </c>
      <c r="J467" t="inlineStr">
        <is>
          <t>+1 855 769-9747 / sales@ruggedscience.com</t>
        </is>
      </c>
      <c r="K467" t="inlineStr">
        <is>
          <t>★★</t>
        </is>
      </c>
      <c r="L467" t="inlineStr">
        <is>
          <t>未触达</t>
        </is>
      </c>
      <c r="M467" t="inlineStr">
        <is>
          <t>2026-09-22</t>
        </is>
      </c>
      <c r="N467" t="inlineStr"/>
      <c r="O467" t="inlineStr"/>
      <c r="P467" t="inlineStr"/>
      <c r="Q467" t="inlineStr">
        <is>
          <t>加固计算机/军用方向</t>
        </is>
      </c>
      <c r="R467" t="inlineStr">
        <is>
          <t>B</t>
        </is>
      </c>
      <c r="S467" t="inlineStr">
        <is>
          <t>通用分销商信号，无差异化切入点，慢慢跟</t>
        </is>
      </c>
      <c r="T467" t="inlineStr">
        <is>
          <t>B-375</t>
        </is>
      </c>
      <c r="U467" t="inlineStr"/>
      <c r="V467" t="inlineStr"/>
    </row>
    <row r="468">
      <c r="A468" t="inlineStr">
        <is>
          <t>Radwell International</t>
        </is>
      </c>
      <c r="B468" t="inlineStr">
        <is>
          <t>美国</t>
        </is>
      </c>
      <c r="C468" t="inlineStr"/>
      <c r="D468" t="inlineStr">
        <is>
          <t>radwell.com</t>
        </is>
      </c>
      <c r="E468" t="inlineStr">
        <is>
          <t>分销（Advantech 授权）</t>
        </is>
      </c>
      <c r="F468" t="inlineStr">
        <is>
          <t>Advantech 授权分销商，上架 EKI-2525M-AE、EKI-2725-CE 等工业交换机，提供 2 年质保与自有维修服务</t>
        </is>
      </c>
      <c r="G468" t="inlineStr">
        <is>
          <t>否</t>
        </is>
      </c>
      <c r="H468" t="inlineStr">
        <is>
          <t>台厂渠道话术</t>
        </is>
      </c>
      <c r="I468" t="inlineStr">
        <is>
          <t>LT-IS6312XGP-4XS8GT</t>
        </is>
      </c>
      <c r="J468" t="inlineStr">
        <is>
          <t>官网联系页</t>
        </is>
      </c>
      <c r="K468" t="inlineStr">
        <is>
          <t>★★</t>
        </is>
      </c>
      <c r="L468" t="inlineStr">
        <is>
          <t>未触达</t>
        </is>
      </c>
      <c r="M468" t="inlineStr">
        <is>
          <t>EtherWAN/Advantech 渠道名录（经销商定位法）</t>
        </is>
      </c>
      <c r="N468" t="inlineStr"/>
      <c r="O468" t="inlineStr"/>
      <c r="P468" t="inlineStr"/>
      <c r="Q468" t="inlineStr">
        <is>
          <t>【2026-09-22 补】经 Advantech（台厂）EKI 系列渠道确认为其分销商。兼做停产件与维修件市场。</t>
        </is>
      </c>
      <c r="R468" t="inlineStr">
        <is>
          <t>C</t>
        </is>
      </c>
      <c r="S46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68" t="inlineStr">
        <is>
          <t>C-259</t>
        </is>
      </c>
      <c r="U468" t="inlineStr">
        <is>
          <t>B下放·无邮箱（群发触达不到）</t>
        </is>
      </c>
      <c r="V468" t="inlineStr"/>
    </row>
    <row r="469">
      <c r="A469" t="inlineStr">
        <is>
          <t>Ray Evelyn</t>
        </is>
      </c>
      <c r="B469" t="inlineStr">
        <is>
          <t>美国</t>
        </is>
      </c>
      <c r="C469" t="inlineStr">
        <is>
          <t>Melbourne, FL</t>
        </is>
      </c>
      <c r="D469" t="inlineStr"/>
      <c r="E469" t="inlineStr">
        <is>
          <t>集成商/顾问（MikroTik 认证）</t>
        </is>
      </c>
      <c r="F469" t="inlineStr">
        <is>
          <t>MikroTik 认证顾问 MTCNA+MTCRE+MTCTCE+MTCUME+MTCIPv6E+MTCSE</t>
        </is>
      </c>
      <c r="G469" t="inlineStr">
        <is>
          <t>否</t>
        </is>
      </c>
      <c r="H469" t="inlineStr">
        <is>
          <t>MikroTik 认证顾问：自己做方案/集成/运维并自行采购设备 → 用 ERPS/IGMP/VLAN/CLI/MIB 这类技术语言切入，不打价格战</t>
        </is>
      </c>
      <c r="I469" t="inlineStr">
        <is>
          <t>LT-S8328G-4XS24GT-S</t>
        </is>
      </c>
      <c r="J469" t="inlineStr">
        <is>
          <t>+1 754 317 8108 / rayfevelyn@gmail.com</t>
        </is>
      </c>
      <c r="K469" t="inlineStr">
        <is>
          <t>★★</t>
        </is>
      </c>
      <c r="L469" t="inlineStr">
        <is>
          <t>未触达</t>
        </is>
      </c>
      <c r="M469" t="inlineStr">
        <is>
          <t>2026-09-22</t>
        </is>
      </c>
      <c r="N469" t="inlineStr"/>
      <c r="O469" t="inlineStr"/>
      <c r="P469" t="inlineStr"/>
      <c r="Q469" t="inlineStr">
        <is>
          <t>2008 年起用 MikroTik，熟悉运营商与企业级软件栈；架构到工程实施与特定场景支持；路由与云</t>
        </is>
      </c>
      <c r="R469" t="inlineStr">
        <is>
          <t>B</t>
        </is>
      </c>
      <c r="S469" t="inlineStr">
        <is>
          <t>通用分销商信号，无差异化切入点，慢慢跟</t>
        </is>
      </c>
      <c r="T469" t="inlineStr">
        <is>
          <t>B-377</t>
        </is>
      </c>
      <c r="U469" t="inlineStr"/>
      <c r="V469" t="inlineStr"/>
    </row>
    <row r="470">
      <c r="A470" t="inlineStr">
        <is>
          <t>Rick Frey / Rick Frey Consulting</t>
        </is>
      </c>
      <c r="B470" t="inlineStr">
        <is>
          <t>美国</t>
        </is>
      </c>
      <c r="C470" t="inlineStr">
        <is>
          <t>Rexburg, ID</t>
        </is>
      </c>
      <c r="D470" t="inlineStr">
        <is>
          <t>rickfreyconsulting.com</t>
        </is>
      </c>
      <c r="E470" t="inlineStr">
        <is>
          <t>集成商/顾问（MikroTik 认证）</t>
        </is>
      </c>
      <c r="F470" t="inlineStr">
        <is>
          <t>MikroTik 认证顾问 MTCNA+MTCRE+MTCWE+MTCTCE+MTCINE+MTCSE+MTCEWE</t>
        </is>
      </c>
      <c r="G470" t="inlineStr">
        <is>
          <t>否</t>
        </is>
      </c>
      <c r="H470" t="inlineStr">
        <is>
          <t>MikroTik 认证顾问：自己做方案/集成/运维并自行采购设备 → 用 ERPS/IGMP/VLAN/CLI/MIB 这类技术语言切入，不打价格战</t>
        </is>
      </c>
      <c r="I470" t="inlineStr">
        <is>
          <t>LT-S8328XG-4XS24GT-S</t>
        </is>
      </c>
      <c r="J470" t="inlineStr">
        <is>
          <t>+1 430 236 5829 / rickfrey1000@gmail.com</t>
        </is>
      </c>
      <c r="K470" t="inlineStr">
        <is>
          <t>★★★</t>
        </is>
      </c>
      <c r="L470" t="inlineStr">
        <is>
          <t>未触达</t>
        </is>
      </c>
      <c r="M470" t="inlineStr">
        <is>
          <t>2026-09-22</t>
        </is>
      </c>
      <c r="N470" t="inlineStr"/>
      <c r="O470" t="inlineStr"/>
      <c r="P470" t="inlineStr"/>
      <c r="Q470" t="inlineStr">
        <is>
          <t>**30+ 年网络、19 年 MikroTik**，提供 MikroTik 全科目咨询与培训（含 ROS7 迁移）；路由/无线/QoS/VPN/防火墙/监控/OSPF/BGP/MPLS/VPLS/TE/负载均衡/VLAN/安全/CAPsMAN</t>
        </is>
      </c>
      <c r="R470" t="inlineStr">
        <is>
          <t>B</t>
        </is>
      </c>
      <c r="S470" t="inlineStr">
        <is>
          <t>有信号（ISP/骨干、影响力/渠道）但需先验证需求或联系人不具体</t>
        </is>
      </c>
      <c r="T470" t="inlineStr">
        <is>
          <t>B-378</t>
        </is>
      </c>
      <c r="U470" t="inlineStr"/>
      <c r="V470" t="inlineStr"/>
    </row>
    <row r="471">
      <c r="A471" t="inlineStr">
        <is>
          <t>Santa Clara Systems</t>
        </is>
      </c>
      <c r="B471" t="inlineStr">
        <is>
          <t>美国</t>
        </is>
      </c>
      <c r="C471" t="inlineStr">
        <is>
          <t>Santa Clara, CA</t>
        </is>
      </c>
      <c r="D471" t="inlineStr">
        <is>
          <t>santaclarasystems.com</t>
        </is>
      </c>
      <c r="E471" t="inlineStr">
        <is>
          <t>分销（Moxa 授权）</t>
        </is>
      </c>
      <c r="F471" t="inlineStr">
        <is>
          <t>工控与自动化部件分销商，上架 Moxa EDS-208、SDS-3008-T 等工业以太网交换机（含新品与二手件）</t>
        </is>
      </c>
      <c r="G471" t="inlineStr">
        <is>
          <t>否</t>
        </is>
      </c>
      <c r="H471" t="inlineStr">
        <is>
          <t>台厂渠道话术</t>
        </is>
      </c>
      <c r="I471" t="inlineStr">
        <is>
          <t>LT-IS6312XGP-4XS8GT</t>
        </is>
      </c>
      <c r="J471" t="inlineStr">
        <is>
          <t>官网联系页</t>
        </is>
      </c>
      <c r="K471" t="inlineStr">
        <is>
          <t>★★</t>
        </is>
      </c>
      <c r="L471" t="inlineStr">
        <is>
          <t>未触达</t>
        </is>
      </c>
      <c r="M471" t="inlineStr">
        <is>
          <t>Moxa 渠道名录（经销商定位法）</t>
        </is>
      </c>
      <c r="N471" t="inlineStr"/>
      <c r="O471" t="inlineStr"/>
      <c r="P471" t="inlineStr"/>
      <c r="Q471" t="inlineStr">
        <is>
          <t>【2026-09-22 补】经 Moxa 渠道名录确认为 Moxa 官方分销商（台厂 Moxa 旗下欧洲/北美渠道）。定位工业自动化与控制部件分销。</t>
        </is>
      </c>
      <c r="R471" t="inlineStr">
        <is>
          <t>C</t>
        </is>
      </c>
      <c r="S4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71" t="inlineStr">
        <is>
          <t>C-260</t>
        </is>
      </c>
      <c r="U471" t="inlineStr">
        <is>
          <t>B下放·无邮箱（群发触达不到）</t>
        </is>
      </c>
      <c r="V471" t="inlineStr"/>
    </row>
    <row r="472">
      <c r="A472" t="inlineStr">
        <is>
          <t>Shingle &amp; Gibb</t>
        </is>
      </c>
      <c r="B472" t="inlineStr">
        <is>
          <t>美国</t>
        </is>
      </c>
      <c r="C472" t="inlineStr">
        <is>
          <t>NJ</t>
        </is>
      </c>
      <c r="D472" t="inlineStr">
        <is>
          <t>shingle.com</t>
        </is>
      </c>
      <c r="E472" t="inlineStr">
        <is>
          <t>分销（HMS/N-Tron·Red Lion 渠道）</t>
        </is>
      </c>
      <c r="F472" t="inlineStr">
        <is>
          <t>N-Tron + Red Lion + Anybus + Ewon + Intesis</t>
        </is>
      </c>
      <c r="G472" t="inlineStr">
        <is>
          <t>否</t>
        </is>
      </c>
      <c r="H472" t="inlineStr">
        <is>
          <t>卖 N-Tron/Red Lion 工业交换机（8口约 $500+）→ 中性货同规格 LT-IS6310G 约 $91，做第二供应商，价差 5 倍</t>
        </is>
      </c>
      <c r="I472" t="inlineStr">
        <is>
          <t>LT-IS6312XGP-4XS8GT</t>
        </is>
      </c>
      <c r="J472" t="inlineStr">
        <is>
          <t>官网联系页（HMS 名录只公开地址与网址）</t>
        </is>
      </c>
      <c r="K472" t="inlineStr">
        <is>
          <t>★★★</t>
        </is>
      </c>
      <c r="L472" t="inlineStr">
        <is>
          <t>未触达</t>
        </is>
      </c>
      <c r="M472" t="inlineStr">
        <is>
          <t>2026-09-22</t>
        </is>
      </c>
      <c r="N472" t="inlineStr"/>
      <c r="O472" t="inlineStr"/>
      <c r="P472" t="inlineStr"/>
      <c r="Q472" t="inlineStr">
        <is>
          <t>覆盖 NJ/PA/FL；自动化分销；⚠️ 中国产地不能做 TAA/NDAA 政府/电力项目，只谈商业渠道</t>
        </is>
      </c>
      <c r="R472" t="inlineStr">
        <is>
          <t>C</t>
        </is>
      </c>
      <c r="S47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2" t="inlineStr">
        <is>
          <t>C-261</t>
        </is>
      </c>
      <c r="U472" t="inlineStr">
        <is>
          <t>B下放·无邮箱（群发触达不到）</t>
        </is>
      </c>
      <c r="V472" t="inlineStr"/>
    </row>
    <row r="473">
      <c r="A473" t="inlineStr">
        <is>
          <t>Solution Box LLC</t>
        </is>
      </c>
      <c r="B473" t="inlineStr">
        <is>
          <t>美国</t>
        </is>
      </c>
      <c r="C473" t="inlineStr">
        <is>
          <t>FL</t>
        </is>
      </c>
      <c r="D473" t="inlineStr">
        <is>
          <t>solutionboxusa.com</t>
        </is>
      </c>
      <c r="E473" t="inlineStr">
        <is>
          <t>分销（MikroTik 官方）</t>
        </is>
      </c>
      <c r="F473" t="inlineStr">
        <is>
          <t>MikroTik（Master）</t>
        </is>
      </c>
      <c r="G473" t="inlineStr">
        <is>
          <t>否</t>
        </is>
      </c>
      <c r="H473" t="inlineStr">
        <is>
          <t>卖 MikroTik 但缺工业/ERPS/PoE++ → 用同价位工业线补他的产品缺口</t>
        </is>
      </c>
      <c r="I473" t="inlineStr">
        <is>
          <t>LT-IS6312XG-4XS8GT</t>
        </is>
      </c>
      <c r="J473" t="inlineStr">
        <is>
          <t>+1 305 722 3826 / contact@solutionboxusa.com</t>
        </is>
      </c>
      <c r="K473" t="inlineStr">
        <is>
          <t>★★★</t>
        </is>
      </c>
      <c r="L473" t="inlineStr">
        <is>
          <t>未触达</t>
        </is>
      </c>
      <c r="M473" t="inlineStr">
        <is>
          <t>2026-09-22</t>
        </is>
      </c>
      <c r="N473" t="inlineStr"/>
      <c r="O473" t="inlineStr"/>
      <c r="P473" t="inlineStr"/>
      <c r="Q473" t="inlineStr">
        <is>
          <t>USDoral</t>
        </is>
      </c>
      <c r="R473" t="inlineStr">
        <is>
          <t>B</t>
        </is>
      </c>
      <c r="S473" t="inlineStr">
        <is>
          <t>通用分销商信号，无差异化切入点，慢慢跟</t>
        </is>
      </c>
      <c r="T473" t="inlineStr">
        <is>
          <t>B-381</t>
        </is>
      </c>
      <c r="U473" t="inlineStr"/>
      <c r="V473" t="inlineStr"/>
    </row>
    <row r="474">
      <c r="A474" t="inlineStr">
        <is>
          <t>Stoneway Electric Supply Co</t>
        </is>
      </c>
      <c r="B474" t="inlineStr">
        <is>
          <t>美国</t>
        </is>
      </c>
      <c r="C474" t="inlineStr">
        <is>
          <t>WA</t>
        </is>
      </c>
      <c r="D474" t="inlineStr">
        <is>
          <t>stoneway.com</t>
        </is>
      </c>
      <c r="E474" t="inlineStr">
        <is>
          <t>分销（HMS/N-Tron·Red Lion 渠道）</t>
        </is>
      </c>
      <c r="F474" t="inlineStr">
        <is>
          <t>N-Tron + Red Lion + Anybus + Ewon</t>
        </is>
      </c>
      <c r="G474" t="inlineStr">
        <is>
          <t>否</t>
        </is>
      </c>
      <c r="H474" t="inlineStr">
        <is>
          <t>卖 N-Tron/Red Lion 工业交换机（8口约 $500+）→ 中性货同规格 LT-IS6310G 约 $91，做第二供应商，价差 5 倍</t>
        </is>
      </c>
      <c r="I474" t="inlineStr">
        <is>
          <t>LT-IS6312XG-4XS8GT</t>
        </is>
      </c>
      <c r="J474" t="inlineStr">
        <is>
          <t>官网联系页（HMS 名录只公开地址与网址）</t>
        </is>
      </c>
      <c r="K474" t="inlineStr">
        <is>
          <t>★★★</t>
        </is>
      </c>
      <c r="L474" t="inlineStr">
        <is>
          <t>未触达</t>
        </is>
      </c>
      <c r="M474" t="inlineStr">
        <is>
          <t>2026-09-22</t>
        </is>
      </c>
      <c r="N474" t="inlineStr"/>
      <c r="O474" t="inlineStr"/>
      <c r="P474" t="inlineStr"/>
      <c r="Q474" t="inlineStr">
        <is>
          <t>覆盖 WA/ID；⚠️ 中国产地不能做 TAA/NDAA 政府/电力项目，只谈商业渠道</t>
        </is>
      </c>
      <c r="R474" t="inlineStr">
        <is>
          <t>C</t>
        </is>
      </c>
      <c r="S47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74" t="inlineStr">
        <is>
          <t>C-262</t>
        </is>
      </c>
      <c r="U474" t="inlineStr">
        <is>
          <t>B下放·无邮箱（群发触达不到）</t>
        </is>
      </c>
      <c r="V474" t="inlineStr"/>
    </row>
    <row r="475">
      <c r="A475" t="inlineStr">
        <is>
          <t>Streakwave</t>
        </is>
      </c>
      <c r="B475" t="inlineStr">
        <is>
          <t>美国</t>
        </is>
      </c>
      <c r="C475" t="inlineStr">
        <is>
          <t>CA（另有 UT、OH）</t>
        </is>
      </c>
      <c r="D475" t="inlineStr">
        <is>
          <t>streakwave.com</t>
        </is>
      </c>
      <c r="E475" t="inlineStr">
        <is>
          <t>分销（MikroTik 官方）</t>
        </is>
      </c>
      <c r="F475" t="inlineStr">
        <is>
          <t>MikroTik（Master）</t>
        </is>
      </c>
      <c r="G475" t="inlineStr">
        <is>
          <t>否</t>
        </is>
      </c>
      <c r="H475" t="inlineStr">
        <is>
          <t>美国西部最大无线/网络分销之一，三州仓库</t>
        </is>
      </c>
      <c r="I475" t="inlineStr">
        <is>
          <t>LT-IS6312XG-4XS8GT</t>
        </is>
      </c>
      <c r="J475" t="inlineStr">
        <is>
          <t>+1 888 604 5234 / contact@streakwave.com</t>
        </is>
      </c>
      <c r="K475" t="inlineStr">
        <is>
          <t>★★★</t>
        </is>
      </c>
      <c r="L475" t="inlineStr">
        <is>
          <t>未触达</t>
        </is>
      </c>
      <c r="M475" t="inlineStr">
        <is>
          <t>2026-09-22</t>
        </is>
      </c>
      <c r="N475" t="inlineStr"/>
      <c r="O475" t="inlineStr"/>
      <c r="P475" t="inlineStr"/>
      <c r="Q475" t="inlineStr">
        <is>
          <t>USSan Jose, CA</t>
        </is>
      </c>
      <c r="R475" t="inlineStr">
        <is>
          <t>B</t>
        </is>
      </c>
      <c r="S475" t="inlineStr">
        <is>
          <t>通用分销商信号，无差异化切入点，慢慢跟</t>
        </is>
      </c>
      <c r="T475" t="inlineStr">
        <is>
          <t>B-383</t>
        </is>
      </c>
      <c r="U475" t="inlineStr"/>
      <c r="V475" t="inlineStr"/>
    </row>
    <row r="476">
      <c r="A476" t="inlineStr">
        <is>
          <t>Sure Controls Inc</t>
        </is>
      </c>
      <c r="B476" t="inlineStr">
        <is>
          <t>美国</t>
        </is>
      </c>
      <c r="C476" t="inlineStr">
        <is>
          <t>WI</t>
        </is>
      </c>
      <c r="D476" t="inlineStr">
        <is>
          <t>surecontrols.com</t>
        </is>
      </c>
      <c r="E476" t="inlineStr">
        <is>
          <t>分销（HMS/N-Tron·Red Lion 渠道）</t>
        </is>
      </c>
      <c r="F476" t="inlineStr">
        <is>
          <t>N-Tron + Red Lion + Anybus + Ewon</t>
        </is>
      </c>
      <c r="G476" t="inlineStr">
        <is>
          <t>否</t>
        </is>
      </c>
      <c r="H476" t="inlineStr">
        <is>
          <t>卖 N-Tron/Red Lion 工业交换机（8口约 $500+）→ 中性货同规格 LT-IS6310G 约 $91，做第二供应商，价差 5 倍</t>
        </is>
      </c>
      <c r="I476" t="inlineStr">
        <is>
          <t>LT-IS6312XGP-4XS8GT</t>
        </is>
      </c>
      <c r="J476" t="inlineStr">
        <is>
          <t>官网联系页（HMS 名录只公开地址与网址）</t>
        </is>
      </c>
      <c r="K476" t="inlineStr">
        <is>
          <t>★★★</t>
        </is>
      </c>
      <c r="L476" t="inlineStr">
        <is>
          <t>未触达</t>
        </is>
      </c>
      <c r="M476" t="inlineStr">
        <is>
          <t>2026-09-22</t>
        </is>
      </c>
      <c r="N476" t="inlineStr"/>
      <c r="O476" t="inlineStr"/>
      <c r="P476" t="inlineStr"/>
      <c r="Q476" t="inlineStr">
        <is>
          <t>威斯康星；有售前+售后支持；⚠️ 中国产地不能做 TAA/NDAA 政府/电力项目，只谈商业渠道</t>
        </is>
      </c>
      <c r="R476" t="inlineStr">
        <is>
          <t>C</t>
        </is>
      </c>
      <c r="S4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6" t="inlineStr">
        <is>
          <t>C-263</t>
        </is>
      </c>
      <c r="U476" t="inlineStr">
        <is>
          <t>B下放·无邮箱（群发触达不到）</t>
        </is>
      </c>
      <c r="V476" t="inlineStr"/>
    </row>
    <row r="477">
      <c r="A477" t="inlineStr">
        <is>
          <t>Synergy Micro Solutions</t>
        </is>
      </c>
      <c r="B477" t="inlineStr">
        <is>
          <t>美国</t>
        </is>
      </c>
      <c r="C477" t="inlineStr"/>
      <c r="D477" t="inlineStr">
        <is>
          <t>synergymicrosolutions.com</t>
        </is>
      </c>
      <c r="E477" t="inlineStr">
        <is>
          <t>分销（EtherWAN 授权）</t>
        </is>
      </c>
      <c r="F477" t="inlineStr">
        <is>
          <t>EtherWAN 授权分销商，主打户外与工业以太网定制方案，覆盖智能交通与城市基础设施场景</t>
        </is>
      </c>
      <c r="G477" t="inlineStr">
        <is>
          <t>否</t>
        </is>
      </c>
      <c r="H477" t="inlineStr">
        <is>
          <t>台厂渠道话术</t>
        </is>
      </c>
      <c r="I477" t="inlineStr">
        <is>
          <t>LT-IS6312XGP-4XS8GT</t>
        </is>
      </c>
      <c r="J477" t="inlineStr">
        <is>
          <t>官网联系页</t>
        </is>
      </c>
      <c r="K477" t="inlineStr">
        <is>
          <t>★★</t>
        </is>
      </c>
      <c r="L477" t="inlineStr">
        <is>
          <t>未触达</t>
        </is>
      </c>
      <c r="M477" t="inlineStr">
        <is>
          <t>EtherWAN/Advantech 渠道名录（经销商定位法）</t>
        </is>
      </c>
      <c r="N477" t="inlineStr"/>
      <c r="O477" t="inlineStr"/>
      <c r="P477" t="inlineStr"/>
      <c r="Q477" t="inlineStr">
        <is>
          <t>【2026-09-22 补】经 EtherWAN（台厂，1996 年创立，现被德国 Phoenix Contact 收购）渠道名录确认为其分销商。自称提供 EtherWAN「Zero Distance」支持理念：持续支持、评估与现场培训。</t>
        </is>
      </c>
      <c r="R477" t="inlineStr">
        <is>
          <t>C</t>
        </is>
      </c>
      <c r="S47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④冒出内部联系人。原判：有信号（工业/楼宇、影响力/渠道）但需先验证需求或联系人不具体</t>
        </is>
      </c>
      <c r="T477" t="inlineStr">
        <is>
          <t>C-264</t>
        </is>
      </c>
      <c r="U477" t="inlineStr">
        <is>
          <t>B下放·无邮箱（群发触达不到）</t>
        </is>
      </c>
      <c r="V477" t="inlineStr"/>
    </row>
    <row r="478">
      <c r="A478" t="inlineStr">
        <is>
          <t>TCIC（Total Control &amp; Instrumentation）</t>
        </is>
      </c>
      <c r="B478" t="inlineStr">
        <is>
          <t>美国</t>
        </is>
      </c>
      <c r="C478" t="inlineStr">
        <is>
          <t>MN</t>
        </is>
      </c>
      <c r="D478" t="inlineStr">
        <is>
          <t>tcicinc.com</t>
        </is>
      </c>
      <c r="E478" t="inlineStr">
        <is>
          <t>分销（HMS/N-Tron·Red Lion 渠道）</t>
        </is>
      </c>
      <c r="F478" t="inlineStr">
        <is>
          <t>N-Tron + Anybus + Ewon + Ixxat</t>
        </is>
      </c>
      <c r="G478" t="inlineStr">
        <is>
          <t>否</t>
        </is>
      </c>
      <c r="H478" t="inlineStr">
        <is>
          <t>卖 N-Tron/Red Lion 工业交换机（8口约 $500+）→ 中性货同规格 LT-IS6310G 约 $91，做第二供应商，价差 5 倍</t>
        </is>
      </c>
      <c r="I478" t="inlineStr">
        <is>
          <t>LT-IS6312XG-4XS8GT</t>
        </is>
      </c>
      <c r="J478" t="inlineStr">
        <is>
          <t>官网联系页（HMS 名录只公开地址与网址）</t>
        </is>
      </c>
      <c r="K478" t="inlineStr">
        <is>
          <t>★★★</t>
        </is>
      </c>
      <c r="L478" t="inlineStr">
        <is>
          <t>未触达</t>
        </is>
      </c>
      <c r="M478" t="inlineStr">
        <is>
          <t>2026-09-22</t>
        </is>
      </c>
      <c r="N478" t="inlineStr"/>
      <c r="O478" t="inlineStr"/>
      <c r="P478" t="inlineStr"/>
      <c r="Q478" t="inlineStr">
        <is>
          <t>明尼苏达；有售前+售后支持；⚠️ 中国产地不能做 TAA/NDAA 政府/电力项目，只谈商业渠道</t>
        </is>
      </c>
      <c r="R478" t="inlineStr">
        <is>
          <t>C</t>
        </is>
      </c>
      <c r="S4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8" t="inlineStr">
        <is>
          <t>C-265</t>
        </is>
      </c>
      <c r="U478" t="inlineStr">
        <is>
          <t>B下放·无邮箱（群发触达不到）</t>
        </is>
      </c>
      <c r="V478" t="inlineStr"/>
    </row>
    <row r="479">
      <c r="A479" t="inlineStr">
        <is>
          <t>TMMI, LLC</t>
        </is>
      </c>
      <c r="B479" t="inlineStr">
        <is>
          <t>美国</t>
        </is>
      </c>
      <c r="C479" t="inlineStr">
        <is>
          <t>CO</t>
        </is>
      </c>
      <c r="D479" t="inlineStr">
        <is>
          <t>tmmi.com</t>
        </is>
      </c>
      <c r="E479" t="inlineStr">
        <is>
          <t>分销（HMS/N-Tron·Red Lion 渠道）</t>
        </is>
      </c>
      <c r="F479" t="inlineStr">
        <is>
          <t>N-Tron + Red Lion</t>
        </is>
      </c>
      <c r="G479" t="inlineStr">
        <is>
          <t>否</t>
        </is>
      </c>
      <c r="H479" t="inlineStr">
        <is>
          <t>卖 N-Tron/Red Lion 工业交换机（8口约 $500+）→ 中性货同规格 LT-IS6310G 约 $91，做第二供应商，价差 5 倍</t>
        </is>
      </c>
      <c r="I479" t="inlineStr">
        <is>
          <t>LT-IS6310G</t>
        </is>
      </c>
      <c r="J479" t="inlineStr">
        <is>
          <t>官网联系页（HMS 名录只公开地址与网址）</t>
        </is>
      </c>
      <c r="K479" t="inlineStr">
        <is>
          <t>★★★</t>
        </is>
      </c>
      <c r="L479" t="inlineStr">
        <is>
          <t>未触达</t>
        </is>
      </c>
      <c r="M479" t="inlineStr">
        <is>
          <t>2026-09-22</t>
        </is>
      </c>
      <c r="N479" t="inlineStr"/>
      <c r="O479" t="inlineStr"/>
      <c r="P479" t="inlineStr"/>
      <c r="Q479" t="inlineStr">
        <is>
          <t>科罗拉多；有售前+售后支持；⚠️ 中国产地不能做 TAA/NDAA 政府/电力项目，只谈商业渠道</t>
        </is>
      </c>
      <c r="R479" t="inlineStr">
        <is>
          <t>C</t>
        </is>
      </c>
      <c r="S47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79" t="inlineStr">
        <is>
          <t>C-266</t>
        </is>
      </c>
      <c r="U479" t="inlineStr">
        <is>
          <t>B下放·无邮箱（群发触达不到）</t>
        </is>
      </c>
      <c r="V479" t="inlineStr"/>
    </row>
    <row r="480">
      <c r="A480" t="inlineStr">
        <is>
          <t>Thorp Controls</t>
        </is>
      </c>
      <c r="B480" t="inlineStr">
        <is>
          <t>美国</t>
        </is>
      </c>
      <c r="C480" t="inlineStr">
        <is>
          <t>CO</t>
        </is>
      </c>
      <c r="D480" t="inlineStr">
        <is>
          <t>tcas.com</t>
        </is>
      </c>
      <c r="E480" t="inlineStr">
        <is>
          <t>分销（HMS/N-Tron·Red Lion 渠道）</t>
        </is>
      </c>
      <c r="F480" t="inlineStr">
        <is>
          <t>N-Tron + Red Lion + Anybus + Ewon</t>
        </is>
      </c>
      <c r="G480" t="inlineStr">
        <is>
          <t>否</t>
        </is>
      </c>
      <c r="H480" t="inlineStr">
        <is>
          <t>卖 N-Tron/Red Lion 工业交换机（8口约 $500+）→ 中性货同规格 LT-IS6310G 约 $91，做第二供应商，价差 5 倍</t>
        </is>
      </c>
      <c r="I480" t="inlineStr">
        <is>
          <t>LT-IS6312XG-4XS8GT</t>
        </is>
      </c>
      <c r="J480" t="inlineStr">
        <is>
          <t>官网联系页（HMS 名录只公开地址与网址）</t>
        </is>
      </c>
      <c r="K480" t="inlineStr">
        <is>
          <t>★★★</t>
        </is>
      </c>
      <c r="L480" t="inlineStr">
        <is>
          <t>未触达</t>
        </is>
      </c>
      <c r="M480" t="inlineStr">
        <is>
          <t>2026-09-22</t>
        </is>
      </c>
      <c r="N480" t="inlineStr"/>
      <c r="O480" t="inlineStr"/>
      <c r="P480" t="inlineStr"/>
      <c r="Q480" t="inlineStr">
        <is>
          <t>覆盖 CO/KS/MO；有售前+售后支持；⚠️ 中国产地不能做 TAA/NDAA 政府/电力项目，只谈商业渠道</t>
        </is>
      </c>
      <c r="R480" t="inlineStr">
        <is>
          <t>C</t>
        </is>
      </c>
      <c r="S4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0" t="inlineStr">
        <is>
          <t>C-267</t>
        </is>
      </c>
      <c r="U480" t="inlineStr">
        <is>
          <t>B下放·无邮箱（群发触达不到）</t>
        </is>
      </c>
      <c r="V480" t="inlineStr"/>
    </row>
    <row r="481">
      <c r="A481" t="inlineStr">
        <is>
          <t>Van Meter Inc.</t>
        </is>
      </c>
      <c r="B481" t="inlineStr">
        <is>
          <t>美国</t>
        </is>
      </c>
      <c r="C481" t="inlineStr">
        <is>
          <t>IA</t>
        </is>
      </c>
      <c r="D481" t="inlineStr">
        <is>
          <t>vanmeterinc.com</t>
        </is>
      </c>
      <c r="E481" t="inlineStr">
        <is>
          <t>分销（HMS/N-Tron·Red Lion 渠道）</t>
        </is>
      </c>
      <c r="F481" t="inlineStr">
        <is>
          <t>N-Tron + Red Lion + Anybus + Ewon</t>
        </is>
      </c>
      <c r="G481" t="inlineStr">
        <is>
          <t>否</t>
        </is>
      </c>
      <c r="H481" t="inlineStr">
        <is>
          <t>卖 N-Tron/Red Lion 工业交换机（8口约 $500+）→ 中性货同规格 LT-IS6310G 约 $91，做第二供应商，价差 5 倍</t>
        </is>
      </c>
      <c r="I481" t="inlineStr">
        <is>
          <t>LT-IS6312XGP-4XS8GT</t>
        </is>
      </c>
      <c r="J481" t="inlineStr">
        <is>
          <t>官网联系页（HMS 名录只公开地址与网址）</t>
        </is>
      </c>
      <c r="K481" t="inlineStr">
        <is>
          <t>★★★</t>
        </is>
      </c>
      <c r="L481" t="inlineStr">
        <is>
          <t>未触达</t>
        </is>
      </c>
      <c r="M481" t="inlineStr">
        <is>
          <t>2026-09-22</t>
        </is>
      </c>
      <c r="N481" t="inlineStr"/>
      <c r="O481" t="inlineStr"/>
      <c r="P481" t="inlineStr"/>
      <c r="Q481" t="inlineStr">
        <is>
          <t>中西部电气分销，3 个点；⚠️ 中国产地不能做 TAA/NDAA 政府/电力项目，只谈商业渠道</t>
        </is>
      </c>
      <c r="R481" t="inlineStr">
        <is>
          <t>C</t>
        </is>
      </c>
      <c r="S48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1" t="inlineStr">
        <is>
          <t>C-268</t>
        </is>
      </c>
      <c r="U481" t="inlineStr">
        <is>
          <t>B下放·无邮箱（群发触达不到）</t>
        </is>
      </c>
      <c r="V481" t="inlineStr"/>
    </row>
    <row r="482">
      <c r="A482" t="inlineStr">
        <is>
          <t>Vodanet Systems LLC</t>
        </is>
      </c>
      <c r="B482" t="inlineStr">
        <is>
          <t>美国</t>
        </is>
      </c>
      <c r="C482" t="inlineStr">
        <is>
          <t>NJ</t>
        </is>
      </c>
      <c r="D482" t="inlineStr">
        <is>
          <t>vodanetsystems.com</t>
        </is>
      </c>
      <c r="E482" t="inlineStr">
        <is>
          <t>分销（MikroTik 官方）</t>
        </is>
      </c>
      <c r="F482" t="inlineStr">
        <is>
          <t>MikroTik（Master）</t>
        </is>
      </c>
      <c r="G482" t="inlineStr">
        <is>
          <t>否</t>
        </is>
      </c>
      <c r="H482" t="inlineStr">
        <is>
          <t>卖 MikroTik 但缺工业/ERPS/PoE++ → 用同价位工业线补他的产品缺口</t>
        </is>
      </c>
      <c r="I482" t="inlineStr">
        <is>
          <t>LT-IS6312XGP-4XS8GT</t>
        </is>
      </c>
      <c r="J482" t="inlineStr">
        <is>
          <t>+1 862 274 9010 / info@vodanetsystems.com</t>
        </is>
      </c>
      <c r="K482" t="inlineStr">
        <is>
          <t>★★★</t>
        </is>
      </c>
      <c r="L482" t="inlineStr">
        <is>
          <t>未触达</t>
        </is>
      </c>
      <c r="M482" t="inlineStr">
        <is>
          <t>2026-09-22</t>
        </is>
      </c>
      <c r="N482" t="inlineStr"/>
      <c r="O482" t="inlineStr"/>
      <c r="P482" t="inlineStr"/>
      <c r="Q482" t="inlineStr">
        <is>
          <t>USPompton Plains</t>
        </is>
      </c>
      <c r="R482" t="inlineStr">
        <is>
          <t>B</t>
        </is>
      </c>
      <c r="S482" t="inlineStr">
        <is>
          <t>通用分销商信号，无差异化切入点，慢慢跟</t>
        </is>
      </c>
      <c r="T482" t="inlineStr">
        <is>
          <t>B-390</t>
        </is>
      </c>
      <c r="U482" t="inlineStr"/>
      <c r="V482" t="inlineStr"/>
    </row>
    <row r="483">
      <c r="A483" t="inlineStr">
        <is>
          <t>WAV, Inc.</t>
        </is>
      </c>
      <c r="B483" t="inlineStr">
        <is>
          <t>美国</t>
        </is>
      </c>
      <c r="C483" t="inlineStr"/>
      <c r="D483" t="inlineStr">
        <is>
          <t>wavonline.com</t>
        </is>
      </c>
      <c r="E483" t="inlineStr">
        <is>
          <t>分销（ORing 授权）</t>
        </is>
      </c>
      <c r="F483" t="inlineStr">
        <is>
          <t>ORing</t>
        </is>
      </c>
      <c r="G483" t="inlineStr">
        <is>
          <t>否</t>
        </is>
      </c>
      <c r="H483" t="inlineStr">
        <is>
          <t>工业/轨道同规格 1/3 价第二供应源</t>
        </is>
      </c>
      <c r="I483" t="inlineStr">
        <is>
          <t>LT-IS6312XG-4XS8GT</t>
        </is>
      </c>
      <c r="J483" t="inlineStr">
        <is>
          <t>+1 800 678-2419 / sales@wavonline.com</t>
        </is>
      </c>
      <c r="K483" t="inlineStr">
        <is>
          <t>★★</t>
        </is>
      </c>
      <c r="L483" t="inlineStr">
        <is>
          <t>未触达</t>
        </is>
      </c>
      <c r="M483" t="inlineStr">
        <is>
          <t>2026-09-22</t>
        </is>
      </c>
      <c r="N483" t="inlineStr"/>
      <c r="O483" t="inlineStr"/>
      <c r="P483" t="inlineStr"/>
      <c r="Q483" t="inlineStr">
        <is>
          <t>伊利诺伊</t>
        </is>
      </c>
      <c r="R483" t="inlineStr">
        <is>
          <t>B</t>
        </is>
      </c>
      <c r="S483" t="inlineStr">
        <is>
          <t>通用分销商信号，无差异化切入点，慢慢跟</t>
        </is>
      </c>
      <c r="T483" t="inlineStr">
        <is>
          <t>B-391</t>
        </is>
      </c>
      <c r="U483" t="inlineStr"/>
      <c r="V483" t="inlineStr"/>
    </row>
    <row r="484">
      <c r="A484" t="inlineStr">
        <is>
          <t>Wille Electric Supply Co</t>
        </is>
      </c>
      <c r="B484" t="inlineStr">
        <is>
          <t>美国</t>
        </is>
      </c>
      <c r="C484" t="inlineStr">
        <is>
          <t>CA</t>
        </is>
      </c>
      <c r="D484" t="inlineStr">
        <is>
          <t>willeelectric.com</t>
        </is>
      </c>
      <c r="E484" t="inlineStr">
        <is>
          <t>分销（HMS/N-Tron·Red Lion 渠道）</t>
        </is>
      </c>
      <c r="F484" t="inlineStr">
        <is>
          <t>N-Tron + Red Lion</t>
        </is>
      </c>
      <c r="G484" t="inlineStr">
        <is>
          <t>否</t>
        </is>
      </c>
      <c r="H484" t="inlineStr">
        <is>
          <t>卖 N-Tron/Red Lion 工业交换机（8口约 $500+）→ 中性货同规格 LT-IS6310G 约 $91，做第二供应商，价差 5 倍</t>
        </is>
      </c>
      <c r="I484" t="inlineStr">
        <is>
          <t>LT-IS6310G</t>
        </is>
      </c>
      <c r="J484" t="inlineStr">
        <is>
          <t>官网联系页（HMS 名录只公开地址与网址）</t>
        </is>
      </c>
      <c r="K484" t="inlineStr">
        <is>
          <t>★★</t>
        </is>
      </c>
      <c r="L484" t="inlineStr">
        <is>
          <t>未触达</t>
        </is>
      </c>
      <c r="M484" t="inlineStr">
        <is>
          <t>2026-09-22</t>
        </is>
      </c>
      <c r="N484" t="inlineStr"/>
      <c r="O484" t="inlineStr"/>
      <c r="P484" t="inlineStr"/>
      <c r="Q484" t="inlineStr">
        <is>
          <t>加州；电气分销；⚠️ 中国产地不能做 TAA/NDAA 政府/电力项目，只谈商业渠道</t>
        </is>
      </c>
      <c r="R484" t="inlineStr">
        <is>
          <t>C</t>
        </is>
      </c>
      <c r="S48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84" t="inlineStr">
        <is>
          <t>C-269</t>
        </is>
      </c>
      <c r="U484" t="inlineStr">
        <is>
          <t>B下放·无邮箱（群发触达不到）</t>
        </is>
      </c>
      <c r="V484" t="inlineStr"/>
    </row>
    <row r="485">
      <c r="A485" t="inlineStr">
        <is>
          <t>Wolf Automation</t>
        </is>
      </c>
      <c r="B485" t="inlineStr">
        <is>
          <t>美国</t>
        </is>
      </c>
      <c r="C485" t="inlineStr"/>
      <c r="D485" t="inlineStr">
        <is>
          <t>wolfautomation.com</t>
        </is>
      </c>
      <c r="E485" t="inlineStr">
        <is>
          <t>分销（Advantech 授权）</t>
        </is>
      </c>
      <c r="F485" t="inlineStr">
        <is>
          <t>Advantech 授权分销商，上架 EKI-2525-BE、EKI-2528-BE（5/8 口非网管工业交换机）与 EKI-1221-CE</t>
        </is>
      </c>
      <c r="G485" t="inlineStr">
        <is>
          <t>否</t>
        </is>
      </c>
      <c r="H485" t="inlineStr">
        <is>
          <t>台厂渠道话术</t>
        </is>
      </c>
      <c r="I485" t="inlineStr">
        <is>
          <t>LT-IS6312XGP-4XS8GT</t>
        </is>
      </c>
      <c r="J485" t="inlineStr">
        <is>
          <t>官网联系页</t>
        </is>
      </c>
      <c r="K485" t="inlineStr">
        <is>
          <t>★★</t>
        </is>
      </c>
      <c r="L485" t="inlineStr">
        <is>
          <t>未触达</t>
        </is>
      </c>
      <c r="M485" t="inlineStr">
        <is>
          <t>EtherWAN/Advantech 渠道名录（经销商定位法）</t>
        </is>
      </c>
      <c r="N485" t="inlineStr"/>
      <c r="O485" t="inlineStr"/>
      <c r="P485" t="inlineStr"/>
      <c r="Q485" t="inlineStr">
        <is>
          <t>【2026-09-22 补】经 Advantech（台厂）EKI 系列渠道确认为其分销商。在线商城明码标价（如 EKI-2528-BE 165 美元），可作为 Advantech 工业线价格基准参考。</t>
        </is>
      </c>
      <c r="R485" t="inlineStr">
        <is>
          <t>C</t>
        </is>
      </c>
      <c r="S48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④冒出内部联系人。原判：有信号（交换专长、工业/楼宇）但需先验证需求或联系人不具体</t>
        </is>
      </c>
      <c r="T485" t="inlineStr">
        <is>
          <t>C-270</t>
        </is>
      </c>
      <c r="U485" t="inlineStr">
        <is>
          <t>B下放·无邮箱（群发触达不到）</t>
        </is>
      </c>
      <c r="V485" t="inlineStr"/>
    </row>
    <row r="486">
      <c r="A486" t="inlineStr">
        <is>
          <t>Zesco Inc</t>
        </is>
      </c>
      <c r="B486" t="inlineStr">
        <is>
          <t>美国</t>
        </is>
      </c>
      <c r="C486" t="inlineStr">
        <is>
          <t>OH</t>
        </is>
      </c>
      <c r="D486" t="inlineStr">
        <is>
          <t>zescoinc.com</t>
        </is>
      </c>
      <c r="E486" t="inlineStr">
        <is>
          <t>分销（HMS/N-Tron·Red Lion 渠道）</t>
        </is>
      </c>
      <c r="F486" t="inlineStr">
        <is>
          <t>N-Tron + Red Lion + Anybus + Ewon</t>
        </is>
      </c>
      <c r="G486" t="inlineStr">
        <is>
          <t>否</t>
        </is>
      </c>
      <c r="H486" t="inlineStr">
        <is>
          <t>卖 N-Tron/Red Lion 工业交换机（8口约 $500+）→ 中性货同规格 LT-IS6310G 约 $91，做第二供应商，价差 5 倍</t>
        </is>
      </c>
      <c r="I486" t="inlineStr">
        <is>
          <t>LT-IS6312XG-4XS8GT</t>
        </is>
      </c>
      <c r="J486" t="inlineStr">
        <is>
          <t>官网联系页（HMS 名录只公开地址与网址）</t>
        </is>
      </c>
      <c r="K486" t="inlineStr">
        <is>
          <t>★★★</t>
        </is>
      </c>
      <c r="L486" t="inlineStr">
        <is>
          <t>未触达</t>
        </is>
      </c>
      <c r="M486" t="inlineStr">
        <is>
          <t>2026-09-22</t>
        </is>
      </c>
      <c r="N486" t="inlineStr"/>
      <c r="O486" t="inlineStr"/>
      <c r="P486" t="inlineStr"/>
      <c r="Q486" t="inlineStr">
        <is>
          <t>覆盖 OH/PA；有售前+售后支持；⚠️ 中国产地不能做 TAA/NDAA 政府/电力项目，只谈商业渠道</t>
        </is>
      </c>
      <c r="R486" t="inlineStr">
        <is>
          <t>C</t>
        </is>
      </c>
      <c r="S48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④冒出内部联系人。原判：有信号（影响力/渠道）但需先验证需求或联系人不具体</t>
        </is>
      </c>
      <c r="T486" t="inlineStr">
        <is>
          <t>C-271</t>
        </is>
      </c>
      <c r="U486" t="inlineStr">
        <is>
          <t>B下放·无邮箱（群发触达不到）</t>
        </is>
      </c>
      <c r="V486" t="inlineStr"/>
    </row>
    <row r="487">
      <c r="A487" t="inlineStr">
        <is>
          <t>iComTech, Inc.</t>
        </is>
      </c>
      <c r="B487" t="inlineStr">
        <is>
          <t>美国</t>
        </is>
      </c>
      <c r="C487" t="inlineStr"/>
      <c r="D487" t="inlineStr">
        <is>
          <t>icomtechinc.com</t>
        </is>
      </c>
      <c r="E487" t="inlineStr">
        <is>
          <t>分销（ORing 授权）</t>
        </is>
      </c>
      <c r="F487" t="inlineStr">
        <is>
          <t>ORing</t>
        </is>
      </c>
      <c r="G487" t="inlineStr">
        <is>
          <t>否</t>
        </is>
      </c>
      <c r="H487" t="inlineStr">
        <is>
          <t>官网设 ORing 专页 → 主推该品牌，第二供应源</t>
        </is>
      </c>
      <c r="I487" t="inlineStr">
        <is>
          <t>LT-IS6312XG-4XS8GT</t>
        </is>
      </c>
      <c r="J487" t="inlineStr">
        <is>
          <t>+1 949 861-2550 / sales@icomtechinc.com</t>
        </is>
      </c>
      <c r="K487" t="inlineStr">
        <is>
          <t>★★★</t>
        </is>
      </c>
      <c r="L487" t="inlineStr">
        <is>
          <t>未触达</t>
        </is>
      </c>
      <c r="M487" t="inlineStr">
        <is>
          <t>2026-09-22</t>
        </is>
      </c>
      <c r="N487" t="inlineStr"/>
      <c r="O487" t="inlineStr"/>
      <c r="P487" t="inlineStr"/>
      <c r="Q487" t="inlineStr">
        <is>
          <t>加州</t>
        </is>
      </c>
      <c r="R487" t="inlineStr">
        <is>
          <t>B</t>
        </is>
      </c>
      <c r="S487" t="inlineStr">
        <is>
          <t>通用分销商信号，无差异化切入点，慢慢跟</t>
        </is>
      </c>
      <c r="T487" t="inlineStr">
        <is>
          <t>B-395</t>
        </is>
      </c>
      <c r="U487" t="inlineStr"/>
      <c r="V487" t="inlineStr"/>
    </row>
    <row r="488">
      <c r="A488" t="inlineStr">
        <is>
          <t>Data Monitor</t>
        </is>
      </c>
      <c r="B488" t="inlineStr">
        <is>
          <t>芬兰</t>
        </is>
      </c>
      <c r="C488" t="inlineStr"/>
      <c r="D488" t="inlineStr">
        <is>
          <t>datamonitor.fi</t>
        </is>
      </c>
      <c r="E488" t="inlineStr">
        <is>
          <t>分销（ORing 授权）</t>
        </is>
      </c>
      <c r="F488" t="inlineStr">
        <is>
          <t>ORing</t>
        </is>
      </c>
      <c r="G488" t="inlineStr">
        <is>
          <t>否</t>
        </is>
      </c>
      <c r="H488" t="inlineStr">
        <is>
          <t>芬兰工业网络分销</t>
        </is>
      </c>
      <c r="I488" t="inlineStr">
        <is>
          <t>LT-IS6312XGP-4XS8GT</t>
        </is>
      </c>
      <c r="J488" t="inlineStr">
        <is>
          <t>+358 443 553 623</t>
        </is>
      </c>
      <c r="K488" t="inlineStr">
        <is>
          <t>★★★</t>
        </is>
      </c>
      <c r="L488" t="inlineStr">
        <is>
          <t>未触达</t>
        </is>
      </c>
      <c r="M488" t="inlineStr">
        <is>
          <t>ORing经销商名录/2026-09</t>
        </is>
      </c>
      <c r="N488" t="inlineStr"/>
      <c r="O488" t="inlineStr"/>
      <c r="P488" t="inlineStr"/>
      <c r="Q488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488" t="inlineStr">
        <is>
          <t>C</t>
        </is>
      </c>
      <c r="S48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488" t="inlineStr">
        <is>
          <t>C-272</t>
        </is>
      </c>
      <c r="U488" t="inlineStr">
        <is>
          <t>B下放·无邮箱（群发触达不到）</t>
        </is>
      </c>
      <c r="V488" t="inlineStr"/>
    </row>
    <row r="489">
      <c r="A489" t="inlineStr">
        <is>
          <t>Fiseg Oy</t>
        </is>
      </c>
      <c r="B489" t="inlineStr">
        <is>
          <t>芬兰</t>
        </is>
      </c>
      <c r="C489" t="inlineStr"/>
      <c r="D489" t="inlineStr">
        <is>
          <t>fiseg.fi</t>
        </is>
      </c>
      <c r="E489" t="inlineStr">
        <is>
          <t>分销（Antaira 授权）</t>
        </is>
      </c>
      <c r="F489" t="inlineStr">
        <is>
          <t>Antaira</t>
        </is>
      </c>
      <c r="G489" t="inlineStr">
        <is>
          <t>否</t>
        </is>
      </c>
      <c r="H489" t="inlineStr">
        <is>
          <t>工业/轨道同规格 1/3 价第二供应源</t>
        </is>
      </c>
      <c r="I489" t="inlineStr">
        <is>
          <t>LT-IS6312XG-4XS8GT</t>
        </is>
      </c>
      <c r="J489" t="inlineStr">
        <is>
          <t>+358 50 5726 268 / myynti@fiseg.fi</t>
        </is>
      </c>
      <c r="K489" t="inlineStr">
        <is>
          <t>★★★</t>
        </is>
      </c>
      <c r="L489" t="inlineStr">
        <is>
          <t>未触达</t>
        </is>
      </c>
      <c r="M489" t="inlineStr">
        <is>
          <t>2026-09-22</t>
        </is>
      </c>
      <c r="N489" t="inlineStr"/>
      <c r="O489" t="inlineStr"/>
      <c r="P489" t="inlineStr"/>
      <c r="Q489" t="inlineStr">
        <is>
          <t>坦佩雷，北欧 T2</t>
        </is>
      </c>
      <c r="R489" t="inlineStr">
        <is>
          <t>B</t>
        </is>
      </c>
      <c r="S489" t="inlineStr">
        <is>
          <t>通用分销商信号，无差异化切入点，慢慢跟</t>
        </is>
      </c>
      <c r="T489" t="inlineStr">
        <is>
          <t>B-397</t>
        </is>
      </c>
      <c r="U489" t="inlineStr"/>
      <c r="V489" t="inlineStr"/>
    </row>
    <row r="490">
      <c r="A490" t="inlineStr">
        <is>
          <t>LocalNet Finland</t>
        </is>
      </c>
      <c r="B490" t="inlineStr">
        <is>
          <t>芬兰</t>
        </is>
      </c>
      <c r="C490" t="inlineStr"/>
      <c r="D490" t="inlineStr">
        <is>
          <t>localnet.fi</t>
        </is>
      </c>
      <c r="E490" t="inlineStr">
        <is>
          <t>分销（MikroTik 官方）</t>
        </is>
      </c>
      <c r="F490" t="inlineStr">
        <is>
          <t>MikroTik（Master）</t>
        </is>
      </c>
      <c r="G490" t="inlineStr">
        <is>
          <t>否</t>
        </is>
      </c>
      <c r="H490" t="inlineStr">
        <is>
          <t>卖 MikroTik 但缺工业/ERPS/PoE++ → 用同价位工业线补他的产品缺口</t>
        </is>
      </c>
      <c r="I490" t="inlineStr">
        <is>
          <t>LT-IS6312XGP-4XS8GT</t>
        </is>
      </c>
      <c r="J490" t="inlineStr">
        <is>
          <t>+358 9 4241 3260 / myynti@localnet.fi</t>
        </is>
      </c>
      <c r="K490" t="inlineStr">
        <is>
          <t>★★★</t>
        </is>
      </c>
      <c r="L490" t="inlineStr">
        <is>
          <t>未触达</t>
        </is>
      </c>
      <c r="M490" t="inlineStr">
        <is>
          <t>2026-09-22</t>
        </is>
      </c>
      <c r="N490" t="inlineStr"/>
      <c r="O490" t="inlineStr"/>
      <c r="P490" t="inlineStr"/>
      <c r="Q490" t="inlineStr">
        <is>
          <t>Espoo</t>
        </is>
      </c>
      <c r="R490" t="inlineStr">
        <is>
          <t>B</t>
        </is>
      </c>
      <c r="S490" t="inlineStr">
        <is>
          <t>通用分销商信号，无差异化切入点，慢慢跟</t>
        </is>
      </c>
      <c r="T490" t="inlineStr">
        <is>
          <t>B-398</t>
        </is>
      </c>
      <c r="U490" t="inlineStr"/>
      <c r="V490" t="inlineStr"/>
    </row>
    <row r="491">
      <c r="A491" t="inlineStr">
        <is>
          <t>4Gon</t>
        </is>
      </c>
      <c r="B491" t="inlineStr">
        <is>
          <t>英国</t>
        </is>
      </c>
      <c r="C491" t="inlineStr"/>
      <c r="D491" t="inlineStr">
        <is>
          <t>4gon.co.uk</t>
        </is>
      </c>
      <c r="E491" t="inlineStr">
        <is>
          <t>分销（MikroTik 官方）</t>
        </is>
      </c>
      <c r="F491" t="inlineStr">
        <is>
          <t>MikroTik（Reseller）</t>
        </is>
      </c>
      <c r="G491" t="inlineStr">
        <is>
          <t>否</t>
        </is>
      </c>
      <c r="H491" t="inlineStr">
        <is>
          <t>MikroTik 官方分销，商用线可直接比价，工业线为零 → 新品类增量</t>
        </is>
      </c>
      <c r="I491" t="inlineStr">
        <is>
          <t>LT-S8328XG-4XS8GT-S</t>
        </is>
      </c>
      <c r="J491" t="inlineStr">
        <is>
          <t>+44 330 088 0295 / info@4gon.co.uk</t>
        </is>
      </c>
      <c r="K491" t="inlineStr">
        <is>
          <t>★★</t>
        </is>
      </c>
      <c r="L491" t="inlineStr">
        <is>
          <t>未触达</t>
        </is>
      </c>
      <c r="M491" t="inlineStr">
        <is>
          <t>2026-09-22</t>
        </is>
      </c>
      <c r="N491" t="inlineStr"/>
      <c r="O491" t="inlineStr"/>
      <c r="P491" t="inlineStr"/>
      <c r="Q491" t="inlineStr">
        <is>
          <t>Chelmsford</t>
        </is>
      </c>
      <c r="R491" t="inlineStr">
        <is>
          <t>B</t>
        </is>
      </c>
      <c r="S491" t="inlineStr">
        <is>
          <t>通用分销商信号，无差异化切入点，慢慢跟</t>
        </is>
      </c>
      <c r="T491" t="inlineStr">
        <is>
          <t>B-399</t>
        </is>
      </c>
      <c r="U491" t="inlineStr"/>
      <c r="V491" t="inlineStr"/>
    </row>
    <row r="492">
      <c r="A492" t="inlineStr">
        <is>
          <t>Adam Reid / HP Networks</t>
        </is>
      </c>
      <c r="B492" t="inlineStr">
        <is>
          <t>英国</t>
        </is>
      </c>
      <c r="C492" t="inlineStr">
        <is>
          <t>Belfast（北爱）</t>
        </is>
      </c>
      <c r="D492" t="inlineStr">
        <is>
          <t>hpnetworks.net</t>
        </is>
      </c>
      <c r="E492" t="inlineStr">
        <is>
          <t>集成商/顾问（MikroTik 认证）</t>
        </is>
      </c>
      <c r="F492" t="inlineStr">
        <is>
          <t>MikroTik 认证顾问 MTCNA+MTCRE</t>
        </is>
      </c>
      <c r="G492" t="inlineStr">
        <is>
          <t>否</t>
        </is>
      </c>
      <c r="H492" t="inlineStr">
        <is>
          <t>MikroTik 认证顾问：自己做方案/集成/运维并自行采购设备 → 用 ERPS/IGMP/VLAN/CLI/MIB 这类技术语言切入，不打价格战</t>
        </is>
      </c>
      <c r="I492" t="inlineStr">
        <is>
          <t>LT-S8328G-4XS24GT-S</t>
        </is>
      </c>
      <c r="J492" t="inlineStr">
        <is>
          <t>+44 28 9008 0030 / Adam@hpnetworks.net</t>
        </is>
      </c>
      <c r="K492" t="inlineStr">
        <is>
          <t>★★</t>
        </is>
      </c>
      <c r="L492" t="inlineStr">
        <is>
          <t>未触达</t>
        </is>
      </c>
      <c r="M492" t="inlineStr">
        <is>
          <t>2026-09-22</t>
        </is>
      </c>
      <c r="N492" t="inlineStr"/>
      <c r="O492" t="inlineStr"/>
      <c r="P492" t="inlineStr"/>
      <c r="Q492" t="inlineStr"/>
      <c r="R492" t="inlineStr">
        <is>
          <t>B</t>
        </is>
      </c>
      <c r="S492" t="inlineStr">
        <is>
          <t>通用分销商信号，无差异化切入点，慢慢跟</t>
        </is>
      </c>
      <c r="T492" t="inlineStr">
        <is>
          <t>B-400</t>
        </is>
      </c>
      <c r="U492" t="inlineStr"/>
      <c r="V492" t="inlineStr"/>
    </row>
    <row r="493">
      <c r="A493" t="inlineStr">
        <is>
          <t>Barry Higgins / Allness</t>
        </is>
      </c>
      <c r="B493" t="inlineStr">
        <is>
          <t>英国</t>
        </is>
      </c>
      <c r="C493" t="inlineStr">
        <is>
          <t>Kidderminster</t>
        </is>
      </c>
      <c r="D493" t="inlineStr">
        <is>
          <t>allness.net</t>
        </is>
      </c>
      <c r="E493" t="inlineStr">
        <is>
          <t>集成商/顾问（MikroTik 认证）</t>
        </is>
      </c>
      <c r="F493" t="inlineStr">
        <is>
          <t>MikroTik 认证顾问 10 证全拿</t>
        </is>
      </c>
      <c r="G493" t="inlineStr">
        <is>
          <t>否</t>
        </is>
      </c>
      <c r="H493" t="inlineStr">
        <is>
          <t>MikroTik 认证顾问：自己做方案/集成/运维并自行采购设备 → 用 ERPS/IGMP/VLAN/CLI/MIB 这类技术语言切入，不打价格战</t>
        </is>
      </c>
      <c r="I493" t="inlineStr">
        <is>
          <t>LT-S8328XGP-4XS24GT-S</t>
        </is>
      </c>
      <c r="J493" t="inlineStr">
        <is>
          <t>+44 3333 403 303 / barry@allness.it</t>
        </is>
      </c>
      <c r="K493" t="inlineStr">
        <is>
          <t>★★★</t>
        </is>
      </c>
      <c r="L493" t="inlineStr">
        <is>
          <t>未触达</t>
        </is>
      </c>
      <c r="M493" t="inlineStr">
        <is>
          <t>2026-09-22</t>
        </is>
      </c>
      <c r="N493" t="inlineStr"/>
      <c r="O493" t="inlineStr"/>
      <c r="P493" t="inlineStr"/>
      <c r="Q493" t="inlineStr">
        <is>
          <t>★ 10 证全拿 + 英国 MikroTik 官方讲师；有线+无线设计、OSPF/IS-IS/iBGP/eBGP、RouterOS 脚本</t>
        </is>
      </c>
      <c r="R493" t="inlineStr">
        <is>
          <t>B</t>
        </is>
      </c>
      <c r="S493" t="inlineStr">
        <is>
          <t>有信号（ISP/骨干、影响力/渠道）但需先验证需求或联系人不具体</t>
        </is>
      </c>
      <c r="T493" t="inlineStr">
        <is>
          <t>B-401</t>
        </is>
      </c>
      <c r="U493" t="inlineStr"/>
      <c r="V493" t="inlineStr"/>
    </row>
    <row r="494">
      <c r="A494" t="inlineStr">
        <is>
          <t>Blue Helix</t>
        </is>
      </c>
      <c r="B494" t="inlineStr">
        <is>
          <t>英国</t>
        </is>
      </c>
      <c r="C494" t="inlineStr"/>
      <c r="D494" t="inlineStr">
        <is>
          <t>bluehelix.co.uk</t>
        </is>
      </c>
      <c r="E494" t="inlineStr">
        <is>
          <t>分销（ComNet 授权）</t>
        </is>
      </c>
      <c r="F494" t="inlineStr">
        <is>
          <t>ComNet</t>
        </is>
      </c>
      <c r="G494" t="inlineStr">
        <is>
          <t>否</t>
        </is>
      </c>
      <c r="H494" t="inlineStr">
        <is>
          <t>CCTV/PoE 同规格第二供应源</t>
        </is>
      </c>
      <c r="I494" t="inlineStr">
        <is>
          <t>LT-IS6310GP-2GX8GT</t>
        </is>
      </c>
      <c r="J494" t="inlineStr">
        <is>
          <t>bluehelix.co.uk</t>
        </is>
      </c>
      <c r="K494" t="inlineStr">
        <is>
          <t>★★</t>
        </is>
      </c>
      <c r="L494" t="inlineStr">
        <is>
          <t>未触达</t>
        </is>
      </c>
      <c r="M494" t="inlineStr">
        <is>
          <t>2026-09-22</t>
        </is>
      </c>
      <c r="N494" t="inlineStr"/>
      <c r="O494" t="inlineStr"/>
      <c r="P494" t="inlineStr"/>
      <c r="Q494" t="inlineStr"/>
      <c r="R494" t="inlineStr">
        <is>
          <t>C</t>
        </is>
      </c>
      <c r="S49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4" t="inlineStr">
        <is>
          <t>C-273</t>
        </is>
      </c>
      <c r="U494" t="inlineStr">
        <is>
          <t>B下放·无邮箱（群发触达不到）</t>
        </is>
      </c>
      <c r="V494" t="inlineStr"/>
    </row>
    <row r="495">
      <c r="A495" t="inlineStr">
        <is>
          <t>Clanrye Electrical Supplies Ltd</t>
        </is>
      </c>
      <c r="B495" t="inlineStr">
        <is>
          <t>英国</t>
        </is>
      </c>
      <c r="C495" t="inlineStr">
        <is>
          <t>Newry（北爱）</t>
        </is>
      </c>
      <c r="D495" t="inlineStr">
        <is>
          <t>knxireland.com</t>
        </is>
      </c>
      <c r="E495" t="inlineStr">
        <is>
          <t>分销（HMS/N-Tron·Red Lion 渠道）</t>
        </is>
      </c>
      <c r="F495" t="inlineStr">
        <is>
          <t>Intesis</t>
        </is>
      </c>
      <c r="G495" t="inlineStr">
        <is>
          <t>否</t>
        </is>
      </c>
      <c r="H495" t="inlineStr">
        <is>
          <t>HMS 渠道工业自动化分销，做 Intesis/Ewon 楼宇与远程运维 → 项目里需要交换机，做配套增量</t>
        </is>
      </c>
      <c r="I495" t="inlineStr">
        <is>
          <t>LT-IS6310G</t>
        </is>
      </c>
      <c r="J495" t="inlineStr">
        <is>
          <t>官网联系页（HMS 名录只公开地址与网址）</t>
        </is>
      </c>
      <c r="K495" t="inlineStr">
        <is>
          <t>★★</t>
        </is>
      </c>
      <c r="L495" t="inlineStr">
        <is>
          <t>未触达</t>
        </is>
      </c>
      <c r="M495" t="inlineStr">
        <is>
          <t>2026-09-22</t>
        </is>
      </c>
      <c r="N495" t="inlineStr"/>
      <c r="O495" t="inlineStr"/>
      <c r="P495" t="inlineStr"/>
      <c r="Q495" t="inlineStr">
        <is>
          <t>KNX 楼宇方向</t>
        </is>
      </c>
      <c r="R495" t="inlineStr">
        <is>
          <t>C</t>
        </is>
      </c>
      <c r="S49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5" t="inlineStr">
        <is>
          <t>C-274</t>
        </is>
      </c>
      <c r="U495" t="inlineStr">
        <is>
          <t>B下放·无邮箱（群发触达不到）</t>
        </is>
      </c>
      <c r="V495" t="inlineStr"/>
    </row>
    <row r="496">
      <c r="A496" t="inlineStr">
        <is>
          <t>Comms Express Ltd</t>
        </is>
      </c>
      <c r="B496" t="inlineStr">
        <is>
          <t>英国</t>
        </is>
      </c>
      <c r="C496" t="inlineStr"/>
      <c r="D496" t="inlineStr">
        <is>
          <t>comms-express.com</t>
        </is>
      </c>
      <c r="E496" t="inlineStr">
        <is>
          <t>分销（MikroTik 官方）</t>
        </is>
      </c>
      <c r="F496" t="inlineStr">
        <is>
          <t>MikroTik（Reseller）</t>
        </is>
      </c>
      <c r="G496" t="inlineStr">
        <is>
          <t>否</t>
        </is>
      </c>
      <c r="H496" t="inlineStr">
        <is>
          <t>MikroTik 官方分销，商用线可直接比价，工业线为零 → 新品类增量</t>
        </is>
      </c>
      <c r="I496" t="inlineStr">
        <is>
          <t>LT-S8328XG-4XS8GT-S</t>
        </is>
      </c>
      <c r="J496" t="inlineStr">
        <is>
          <t>01245 459490 / cesales@comms-express.com</t>
        </is>
      </c>
      <c r="K496" t="inlineStr">
        <is>
          <t>★★</t>
        </is>
      </c>
      <c r="L496" t="inlineStr">
        <is>
          <t>未触达</t>
        </is>
      </c>
      <c r="M496" t="inlineStr">
        <is>
          <t>2026-09-22</t>
        </is>
      </c>
      <c r="N496" t="inlineStr"/>
      <c r="O496" t="inlineStr"/>
      <c r="P496" t="inlineStr"/>
      <c r="Q496" t="inlineStr">
        <is>
          <t>Chelmsford</t>
        </is>
      </c>
      <c r="R496" t="inlineStr">
        <is>
          <t>B</t>
        </is>
      </c>
      <c r="S496" t="inlineStr">
        <is>
          <t>通用分销商信号，无差异化切入点，慢慢跟</t>
        </is>
      </c>
      <c r="T496" t="inlineStr">
        <is>
          <t>B-404</t>
        </is>
      </c>
      <c r="U496" t="inlineStr"/>
      <c r="V496" t="inlineStr"/>
    </row>
    <row r="497">
      <c r="A497" t="inlineStr">
        <is>
          <t>Connectec</t>
        </is>
      </c>
      <c r="B497" t="inlineStr">
        <is>
          <t>英国</t>
        </is>
      </c>
      <c r="C497" t="inlineStr"/>
      <c r="D497" t="inlineStr">
        <is>
          <t>connectec.uk</t>
        </is>
      </c>
      <c r="E497" t="inlineStr">
        <is>
          <t>分销（PLANET 授权）</t>
        </is>
      </c>
      <c r="F497" t="inlineStr">
        <is>
          <t>PLANET（台厂工业/商用交换机）</t>
        </is>
      </c>
      <c r="G497" t="inlineStr">
        <is>
          <t>否</t>
        </is>
      </c>
      <c r="H497" t="inlineStr">
        <is>
          <t>台厂 PLANET 英国授权分销，含工业以太网与 PoE 线；台厂不是客户，其渠道才是目标</t>
        </is>
      </c>
      <c r="I497" t="inlineStr">
        <is>
          <t>LT-IS6312XGP-4XS8GT</t>
        </is>
      </c>
      <c r="J497" t="inlineStr">
        <is>
          <t>官网 Contact 页</t>
        </is>
      </c>
      <c r="K497" t="inlineStr">
        <is>
          <t>★★</t>
        </is>
      </c>
      <c r="L497" t="inlineStr">
        <is>
          <t>未触达</t>
        </is>
      </c>
      <c r="M497" t="inlineStr">
        <is>
          <t>PLANET 经销商名录/2026-09</t>
        </is>
      </c>
      <c r="N497" t="inlineStr"/>
      <c r="O497" t="inlineStr"/>
      <c r="P497" t="inlineStr"/>
      <c r="Q497" t="inlineStr">
        <is>
          <t>【2026-09-22 新增】connectec.uk 自述 authorised Planet distributor，备货 Planet 交换机/光纤/Wi-Fi/工业以太网，提供贸易账户与批量折扣。</t>
        </is>
      </c>
      <c r="R497" t="inlineStr">
        <is>
          <t>C</t>
        </is>
      </c>
      <c r="S49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④冒出内部联系人。原判：有信号（交换专长、工业/楼宇、光纤接入）但需先验证需求或联系人不具体</t>
        </is>
      </c>
      <c r="T497" t="inlineStr">
        <is>
          <t>C-275</t>
        </is>
      </c>
      <c r="U497" t="inlineStr">
        <is>
          <t>B下放·无邮箱（群发触达不到）</t>
        </is>
      </c>
      <c r="V497" t="inlineStr"/>
    </row>
    <row r="498">
      <c r="A498" t="inlineStr">
        <is>
          <t>Consyst Limited</t>
        </is>
      </c>
      <c r="B498" t="inlineStr">
        <is>
          <t>英国</t>
        </is>
      </c>
      <c r="C498" t="inlineStr">
        <is>
          <t>London / Edgware</t>
        </is>
      </c>
      <c r="D498" t="inlineStr">
        <is>
          <t>consyst-int.com</t>
        </is>
      </c>
      <c r="E498" t="inlineStr">
        <is>
          <t>分销（HMS/N-Tron·Red Lion 渠道）</t>
        </is>
      </c>
      <c r="F498" t="inlineStr">
        <is>
          <t>Ixxat + 其他</t>
        </is>
      </c>
      <c r="G498" t="inlineStr">
        <is>
          <t>否</t>
        </is>
      </c>
      <c r="H498" t="inlineStr">
        <is>
          <t>HMS 渠道工业自动化分销，做 Intesis/Ewon 楼宇与远程运维 → 项目里需要交换机，做配套增量</t>
        </is>
      </c>
      <c r="I498" t="inlineStr">
        <is>
          <t>LT-IS6312XG-4XS8GT</t>
        </is>
      </c>
      <c r="J498" t="inlineStr">
        <is>
          <t>官网联系页（HMS 名录只公开地址与网址）</t>
        </is>
      </c>
      <c r="K498" t="inlineStr">
        <is>
          <t>★★</t>
        </is>
      </c>
      <c r="L498" t="inlineStr">
        <is>
          <t>未触达</t>
        </is>
      </c>
      <c r="M498" t="inlineStr">
        <is>
          <t>2026-09-22</t>
        </is>
      </c>
      <c r="N498" t="inlineStr"/>
      <c r="O498" t="inlineStr"/>
      <c r="P498" t="inlineStr"/>
      <c r="Q498" t="inlineStr">
        <is>
          <t>CAN/工业总线方向</t>
        </is>
      </c>
      <c r="R498" t="inlineStr">
        <is>
          <t>C</t>
        </is>
      </c>
      <c r="S49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④冒出内部联系人。原判：有信号（工业/楼宇）但需先验证需求或联系人不具体</t>
        </is>
      </c>
      <c r="T498" t="inlineStr">
        <is>
          <t>C-276</t>
        </is>
      </c>
      <c r="U498" t="inlineStr">
        <is>
          <t>B下放·无邮箱（群发触达不到）</t>
        </is>
      </c>
      <c r="V498" t="inlineStr"/>
    </row>
    <row r="499">
      <c r="A499" t="inlineStr">
        <is>
          <t>Control Technologies UK Ltd</t>
        </is>
      </c>
      <c r="B499" t="inlineStr">
        <is>
          <t>英国</t>
        </is>
      </c>
      <c r="C499" t="inlineStr">
        <is>
          <t>Sharnbrook</t>
        </is>
      </c>
      <c r="D499" t="inlineStr">
        <is>
          <t>controltech.uk.com</t>
        </is>
      </c>
      <c r="E499" t="inlineStr">
        <is>
          <t>分销（HMS/N-Tron·Red Lion 渠道）</t>
        </is>
      </c>
      <c r="F499" t="inlineStr">
        <is>
          <t>N-Tron + Red Lion + Anybus + Ewon</t>
        </is>
      </c>
      <c r="G499" t="inlineStr">
        <is>
          <t>否</t>
        </is>
      </c>
      <c r="H499" t="inlineStr">
        <is>
          <t>卖 N-Tron/Red Lion 工业交换机（8口非网管约 $500+）→ 中性货同规格 LT-IS6310G 约 $91，做第二供应商/替换，价差 5 倍</t>
        </is>
      </c>
      <c r="I499" t="inlineStr">
        <is>
          <t>LT-IS6312XGP-4XS8GT</t>
        </is>
      </c>
      <c r="J499" t="inlineStr">
        <is>
          <t>官网联系页（HMS 名录只公开地址与网址）</t>
        </is>
      </c>
      <c r="K499" t="inlineStr">
        <is>
          <t>★★★</t>
        </is>
      </c>
      <c r="L499" t="inlineStr">
        <is>
          <t>未触达</t>
        </is>
      </c>
      <c r="M499" t="inlineStr">
        <is>
          <t>2026-09-22</t>
        </is>
      </c>
      <c r="N499" t="inlineStr"/>
      <c r="O499" t="inlineStr"/>
      <c r="P499" t="inlineStr"/>
      <c r="Q499" t="inlineStr">
        <is>
          <t>同时覆盖爱尔兰</t>
        </is>
      </c>
      <c r="R499" t="inlineStr">
        <is>
          <t>C</t>
        </is>
      </c>
      <c r="S49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499" t="inlineStr">
        <is>
          <t>C-277</t>
        </is>
      </c>
      <c r="U499" t="inlineStr">
        <is>
          <t>B下放·无邮箱（群发触达不到）</t>
        </is>
      </c>
      <c r="V499" t="inlineStr"/>
    </row>
    <row r="500">
      <c r="A500" t="inlineStr">
        <is>
          <t>Diamond Technologies Inc</t>
        </is>
      </c>
      <c r="B500" t="inlineStr">
        <is>
          <t>英国</t>
        </is>
      </c>
      <c r="C500" t="inlineStr">
        <is>
          <t>Hudson, MA（美国总部）</t>
        </is>
      </c>
      <c r="D500" t="inlineStr">
        <is>
          <t>diamondt.com</t>
        </is>
      </c>
      <c r="E500" t="inlineStr">
        <is>
          <t>分销（HMS/N-Tron·Red Lion 渠道）</t>
        </is>
      </c>
      <c r="F500" t="inlineStr">
        <is>
          <t>N-Tron + Red Lion</t>
        </is>
      </c>
      <c r="G500" t="inlineStr">
        <is>
          <t>否</t>
        </is>
      </c>
      <c r="H500" t="inlineStr">
        <is>
          <t>卖 N-Tron/Red Lion 工业交换机（8口非网管约 $500+）→ 中性货同规格 LT-IS6310G 约 $91，做第二供应商/替换，价差 5 倍</t>
        </is>
      </c>
      <c r="I500" t="inlineStr">
        <is>
          <t>LT-IS6310G</t>
        </is>
      </c>
      <c r="J500" t="inlineStr">
        <is>
          <t>官网联系页（HMS 名录只公开地址与网址）</t>
        </is>
      </c>
      <c r="K500" t="inlineStr">
        <is>
          <t>★★★</t>
        </is>
      </c>
      <c r="L500" t="inlineStr">
        <is>
          <t>未触达</t>
        </is>
      </c>
      <c r="M500" t="inlineStr">
        <is>
          <t>2026-09-22</t>
        </is>
      </c>
      <c r="N500" t="inlineStr"/>
      <c r="O500" t="inlineStr"/>
      <c r="P500" t="inlineStr"/>
      <c r="Q500" t="inlineStr">
        <is>
          <t>英美两地，覆盖美国 9 个州</t>
        </is>
      </c>
      <c r="R500" t="inlineStr">
        <is>
          <t>C</t>
        </is>
      </c>
      <c r="S50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0" t="inlineStr">
        <is>
          <t>C-278</t>
        </is>
      </c>
      <c r="U500" t="inlineStr">
        <is>
          <t>B下放·无邮箱（群发触达不到）</t>
        </is>
      </c>
      <c r="V500" t="inlineStr"/>
    </row>
    <row r="501">
      <c r="A501" t="inlineStr">
        <is>
          <t>Digital Controls</t>
        </is>
      </c>
      <c r="B501" t="inlineStr">
        <is>
          <t>英国</t>
        </is>
      </c>
      <c r="C501" t="inlineStr">
        <is>
          <t>Peterborough</t>
        </is>
      </c>
      <c r="D501" t="inlineStr">
        <is>
          <t>digitalcontrols.biz</t>
        </is>
      </c>
      <c r="E501" t="inlineStr">
        <is>
          <t>分销（HMS/N-Tron·Red Lion 渠道）</t>
        </is>
      </c>
      <c r="F501" t="inlineStr">
        <is>
          <t>N-Tron + Red Lion + Anybus + Ewon</t>
        </is>
      </c>
      <c r="G501" t="inlineStr">
        <is>
          <t>否</t>
        </is>
      </c>
      <c r="H501" t="inlineStr">
        <is>
          <t>卖 N-Tron/Red Lion 工业交换机（8口非网管约 $500+）→ 中性货同规格 LT-IS6310G 约 $91，做第二供应商/替换，价差 5 倍</t>
        </is>
      </c>
      <c r="I501" t="inlineStr">
        <is>
          <t>LT-IS6312XGP-4XS8GT</t>
        </is>
      </c>
      <c r="J501" t="inlineStr">
        <is>
          <t>官网联系页（HMS 名录只公开地址与网址）</t>
        </is>
      </c>
      <c r="K501" t="inlineStr">
        <is>
          <t>★★★</t>
        </is>
      </c>
      <c r="L501" t="inlineStr">
        <is>
          <t>未触达</t>
        </is>
      </c>
      <c r="M501" t="inlineStr">
        <is>
          <t>2026-09-22</t>
        </is>
      </c>
      <c r="N501" t="inlineStr"/>
      <c r="O501" t="inlineStr"/>
      <c r="P501" t="inlineStr"/>
      <c r="Q501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1" t="inlineStr">
        <is>
          <t>C</t>
        </is>
      </c>
      <c r="S50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1" t="inlineStr">
        <is>
          <t>C-279</t>
        </is>
      </c>
      <c r="U501" t="inlineStr">
        <is>
          <t>B下放·无邮箱（群发触达不到）</t>
        </is>
      </c>
      <c r="V501" t="inlineStr"/>
    </row>
    <row r="502">
      <c r="A502" t="inlineStr">
        <is>
          <t>Distec Ltd</t>
        </is>
      </c>
      <c r="B502" t="inlineStr">
        <is>
          <t>英国</t>
        </is>
      </c>
      <c r="C502" t="inlineStr">
        <is>
          <t>Manchester</t>
        </is>
      </c>
      <c r="D502" t="inlineStr">
        <is>
          <t>distec.co.uk</t>
        </is>
      </c>
      <c r="E502" t="inlineStr">
        <is>
          <t>分销（HMS/N-Tron·Red Lion 渠道）</t>
        </is>
      </c>
      <c r="F502" t="inlineStr">
        <is>
          <t>Ewon + Intesis</t>
        </is>
      </c>
      <c r="G502" t="inlineStr">
        <is>
          <t>否</t>
        </is>
      </c>
      <c r="H502" t="inlineStr">
        <is>
          <t>HMS 渠道工业自动化分销，做 Intesis/Ewon 楼宇与远程运维 → 项目里需要交换机，做配套增量</t>
        </is>
      </c>
      <c r="I502" t="inlineStr">
        <is>
          <t>LT-IS6310G</t>
        </is>
      </c>
      <c r="J502" t="inlineStr">
        <is>
          <t>官网联系页（HMS 名录只公开地址与网址）</t>
        </is>
      </c>
      <c r="K502" t="inlineStr">
        <is>
          <t>★★</t>
        </is>
      </c>
      <c r="L502" t="inlineStr">
        <is>
          <t>未触达</t>
        </is>
      </c>
      <c r="M502" t="inlineStr">
        <is>
          <t>2026-09-22</t>
        </is>
      </c>
      <c r="N502" t="inlineStr"/>
      <c r="O502" t="inlineStr"/>
      <c r="P502" t="inlineStr"/>
      <c r="Q502" t="inlineStr"/>
      <c r="R502" t="inlineStr">
        <is>
          <t>C</t>
        </is>
      </c>
      <c r="S50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2" t="inlineStr">
        <is>
          <t>C-280</t>
        </is>
      </c>
      <c r="U502" t="inlineStr">
        <is>
          <t>B下放·无邮箱（群发触达不到）</t>
        </is>
      </c>
      <c r="V502" t="inlineStr"/>
    </row>
    <row r="503">
      <c r="A503" t="inlineStr">
        <is>
          <t>Future Focus Energy Ltd</t>
        </is>
      </c>
      <c r="B503" t="inlineStr">
        <is>
          <t>英国</t>
        </is>
      </c>
      <c r="C503" t="inlineStr">
        <is>
          <t>Blackpool</t>
        </is>
      </c>
      <c r="D503" t="inlineStr">
        <is>
          <t>futurefocusenergy.co.uk</t>
        </is>
      </c>
      <c r="E503" t="inlineStr">
        <is>
          <t>分销（HMS/N-Tron·Red Lion 渠道）</t>
        </is>
      </c>
      <c r="F503" t="inlineStr">
        <is>
          <t>Intesis</t>
        </is>
      </c>
      <c r="G503" t="inlineStr">
        <is>
          <t>否</t>
        </is>
      </c>
      <c r="H503" t="inlineStr">
        <is>
          <t>HMS 渠道工业自动化分销，做 Intesis/Ewon 楼宇与远程运维 → 项目里需要交换机，做配套增量</t>
        </is>
      </c>
      <c r="I503" t="inlineStr">
        <is>
          <t>LT-IS6310G</t>
        </is>
      </c>
      <c r="J503" t="inlineStr">
        <is>
          <t>官网联系页（HMS 名录只公开地址与网址）</t>
        </is>
      </c>
      <c r="K503" t="inlineStr">
        <is>
          <t>★★</t>
        </is>
      </c>
      <c r="L503" t="inlineStr">
        <is>
          <t>未触达</t>
        </is>
      </c>
      <c r="M503" t="inlineStr">
        <is>
          <t>2026-09-22</t>
        </is>
      </c>
      <c r="N503" t="inlineStr"/>
      <c r="O503" t="inlineStr"/>
      <c r="P503" t="inlineStr"/>
      <c r="Q503" t="inlineStr"/>
      <c r="R503" t="inlineStr">
        <is>
          <t>C</t>
        </is>
      </c>
      <c r="S50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3" t="inlineStr">
        <is>
          <t>C-281</t>
        </is>
      </c>
      <c r="U503" t="inlineStr">
        <is>
          <t>B下放·无邮箱（群发触达不到）</t>
        </is>
      </c>
      <c r="V503" t="inlineStr"/>
    </row>
    <row r="504">
      <c r="A504" t="inlineStr">
        <is>
          <t>IVORY EGG (UK) LIMITED</t>
        </is>
      </c>
      <c r="B504" t="inlineStr">
        <is>
          <t>英国</t>
        </is>
      </c>
      <c r="C504" t="inlineStr">
        <is>
          <t>Nottingham</t>
        </is>
      </c>
      <c r="D504" t="inlineStr">
        <is>
          <t>ivoryegg.co.uk</t>
        </is>
      </c>
      <c r="E504" t="inlineStr">
        <is>
          <t>分销（HMS/N-Tron·Red Lion 渠道）</t>
        </is>
      </c>
      <c r="F504" t="inlineStr">
        <is>
          <t>N-Tron + Red Lion + Anybus + Ewon</t>
        </is>
      </c>
      <c r="G504" t="inlineStr">
        <is>
          <t>否</t>
        </is>
      </c>
      <c r="H504" t="inlineStr">
        <is>
          <t>卖 N-Tron/Red Lion 工业交换机（8口非网管约 $500+）→ 中性货同规格 LT-IS6310G 约 $91，做第二供应商/替换，价差 5 倍</t>
        </is>
      </c>
      <c r="I504" t="inlineStr">
        <is>
          <t>LT-IS6310G</t>
        </is>
      </c>
      <c r="J504" t="inlineStr">
        <is>
          <t>官网联系页（HMS 名录只公开地址与网址）</t>
        </is>
      </c>
      <c r="K504" t="inlineStr">
        <is>
          <t>★★★</t>
        </is>
      </c>
      <c r="L504" t="inlineStr">
        <is>
          <t>未触达</t>
        </is>
      </c>
      <c r="M504" t="inlineStr">
        <is>
          <t>2026-09-22</t>
        </is>
      </c>
      <c r="N504" t="inlineStr"/>
      <c r="O504" t="inlineStr"/>
      <c r="P504" t="inlineStr"/>
      <c r="Q504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4" t="inlineStr">
        <is>
          <t>C</t>
        </is>
      </c>
      <c r="S504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4" t="inlineStr">
        <is>
          <t>C-282</t>
        </is>
      </c>
      <c r="U504" t="inlineStr">
        <is>
          <t>B下放·无邮箱（群发触达不到）</t>
        </is>
      </c>
      <c r="V504" t="inlineStr"/>
    </row>
    <row r="505">
      <c r="A505" t="inlineStr">
        <is>
          <t>LC Automation Ltd</t>
        </is>
      </c>
      <c r="B505" t="inlineStr">
        <is>
          <t>英国</t>
        </is>
      </c>
      <c r="C505" t="inlineStr">
        <is>
          <t>Blackburn</t>
        </is>
      </c>
      <c r="D505" t="inlineStr">
        <is>
          <t>lcautomation.com</t>
        </is>
      </c>
      <c r="E505" t="inlineStr">
        <is>
          <t>分销（HMS/N-Tron·Red Lion 渠道）</t>
        </is>
      </c>
      <c r="F505" t="inlineStr">
        <is>
          <t>N-Tron + Red Lion + Anybus + Ewon</t>
        </is>
      </c>
      <c r="G505" t="inlineStr">
        <is>
          <t>否</t>
        </is>
      </c>
      <c r="H505" t="inlineStr">
        <is>
          <t>卖 N-Tron/Red Lion 工业交换机（8口非网管约 $500+）→ 中性货同规格 LT-IS6310G 约 $91，做第二供应商/替换，价差 5 倍</t>
        </is>
      </c>
      <c r="I505" t="inlineStr">
        <is>
          <t>LT-IS6312XGP-4XS8GT</t>
        </is>
      </c>
      <c r="J505" t="inlineStr">
        <is>
          <t>官网联系页（HMS 名录只公开地址与网址）</t>
        </is>
      </c>
      <c r="K505" t="inlineStr">
        <is>
          <t>★★★</t>
        </is>
      </c>
      <c r="L505" t="inlineStr">
        <is>
          <t>未触达</t>
        </is>
      </c>
      <c r="M505" t="inlineStr">
        <is>
          <t>2026-09-22</t>
        </is>
      </c>
      <c r="N505" t="inlineStr"/>
      <c r="O505" t="inlineStr"/>
      <c r="P505" t="inlineStr"/>
      <c r="Q505" t="inlineStr">
        <is>
          <t>官网有 HMS 供应商专页 → 主力线</t>
        </is>
      </c>
      <c r="R505" t="inlineStr">
        <is>
          <t>C</t>
        </is>
      </c>
      <c r="S50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05" t="inlineStr">
        <is>
          <t>C-283</t>
        </is>
      </c>
      <c r="U505" t="inlineStr">
        <is>
          <t>B下放·无邮箱（群发触达不到）</t>
        </is>
      </c>
      <c r="V505" t="inlineStr"/>
    </row>
    <row r="506">
      <c r="A506" t="inlineStr">
        <is>
          <t>Liberty-izone Ltd.</t>
        </is>
      </c>
      <c r="B506" t="inlineStr">
        <is>
          <t>英国</t>
        </is>
      </c>
      <c r="C506" t="inlineStr"/>
      <c r="D506" t="inlineStr">
        <is>
          <t>liberty-i.com</t>
        </is>
      </c>
      <c r="E506" t="inlineStr">
        <is>
          <t>分销（MikroTik 官方）</t>
        </is>
      </c>
      <c r="F506" t="inlineStr">
        <is>
          <t>MikroTik（Master）</t>
        </is>
      </c>
      <c r="G506" t="inlineStr">
        <is>
          <t>否</t>
        </is>
      </c>
      <c r="H506" t="inlineStr">
        <is>
          <t>MikroTik 官方分销，商用线可直接比价，工业线为零 → 新品类增量</t>
        </is>
      </c>
      <c r="I506" t="inlineStr">
        <is>
          <t>LT-S8328GP-4GX24GT</t>
        </is>
      </c>
      <c r="J506" t="inlineStr">
        <is>
          <t>+44 844 880 6680 / sales@liberty-izone.com</t>
        </is>
      </c>
      <c r="K506" t="inlineStr">
        <is>
          <t>★★★</t>
        </is>
      </c>
      <c r="L506" t="inlineStr">
        <is>
          <t>未触达</t>
        </is>
      </c>
      <c r="M506" t="inlineStr">
        <is>
          <t>2026-09-22</t>
        </is>
      </c>
      <c r="N506" t="inlineStr"/>
      <c r="O506" t="inlineStr"/>
      <c r="P506" t="inlineStr"/>
      <c r="Q506" t="inlineStr">
        <is>
          <t>Guildford</t>
        </is>
      </c>
      <c r="R506" t="inlineStr">
        <is>
          <t>B</t>
        </is>
      </c>
      <c r="S506" t="inlineStr">
        <is>
          <t>通用分销商信号，无差异化切入点，慢慢跟</t>
        </is>
      </c>
      <c r="T506" t="inlineStr">
        <is>
          <t>B-414</t>
        </is>
      </c>
      <c r="U506" t="inlineStr"/>
      <c r="V506" t="inlineStr"/>
    </row>
    <row r="507">
      <c r="A507" t="inlineStr">
        <is>
          <t>MAC Solutions UK Ltd</t>
        </is>
      </c>
      <c r="B507" t="inlineStr">
        <is>
          <t>英国</t>
        </is>
      </c>
      <c r="C507" t="inlineStr">
        <is>
          <t>Redditch</t>
        </is>
      </c>
      <c r="D507" t="inlineStr">
        <is>
          <t>mac-solutions.net</t>
        </is>
      </c>
      <c r="E507" t="inlineStr">
        <is>
          <t>分销（HMS/N-Tron·Red Lion 渠道）</t>
        </is>
      </c>
      <c r="F507" t="inlineStr">
        <is>
          <t>N-Tron + Red Lion + Anybus + Ewon</t>
        </is>
      </c>
      <c r="G507" t="inlineStr">
        <is>
          <t>否</t>
        </is>
      </c>
      <c r="H507" t="inlineStr">
        <is>
          <t>卖 N-Tron/Red Lion 工业交换机（8口非网管约 $500+）→ 中性货同规格 LT-IS6310G 约 $91，做第二供应商/替换，价差 5 倍</t>
        </is>
      </c>
      <c r="I507" t="inlineStr">
        <is>
          <t>LT-IS6312XG-4XS8GT</t>
        </is>
      </c>
      <c r="J507" t="inlineStr">
        <is>
          <t>官网联系页（HMS 名录只公开地址与网址）</t>
        </is>
      </c>
      <c r="K507" t="inlineStr">
        <is>
          <t>★★★</t>
        </is>
      </c>
      <c r="L507" t="inlineStr">
        <is>
          <t>未触达</t>
        </is>
      </c>
      <c r="M507" t="inlineStr">
        <is>
          <t>2026-09-22</t>
        </is>
      </c>
      <c r="N507" t="inlineStr"/>
      <c r="O507" t="inlineStr"/>
      <c r="P507" t="inlineStr"/>
      <c r="Q507" t="inlineStr">
        <is>
          <t>【待补】本行由分销商名录批量导入，三星依据仅为渠道等级（分销（HMS/N-Tron·Red Lion 渠道））与「N-Tron + Red Lion + Anybus + Ewon」，尚无人工核实。建议先查证其是否已有工业交换机 / PoE++ 产品线，再定切入型号</t>
        </is>
      </c>
      <c r="R507" t="inlineStr">
        <is>
          <t>C</t>
        </is>
      </c>
      <c r="S507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7" t="inlineStr">
        <is>
          <t>C-284</t>
        </is>
      </c>
      <c r="U507" t="inlineStr">
        <is>
          <t>B下放·无邮箱（群发触达不到）</t>
        </is>
      </c>
      <c r="V507" t="inlineStr"/>
    </row>
    <row r="508">
      <c r="A508" t="inlineStr">
        <is>
          <t>MS Dist.</t>
        </is>
      </c>
      <c r="B508" t="inlineStr">
        <is>
          <t>英国</t>
        </is>
      </c>
      <c r="C508" t="inlineStr"/>
      <c r="D508" t="inlineStr">
        <is>
          <t>msdist.co.uk</t>
        </is>
      </c>
      <c r="E508" t="inlineStr">
        <is>
          <t>分销（MikroTik 官方）</t>
        </is>
      </c>
      <c r="F508" t="inlineStr">
        <is>
          <t>MikroTik（Reseller）</t>
        </is>
      </c>
      <c r="G508" t="inlineStr">
        <is>
          <t>否</t>
        </is>
      </c>
      <c r="H508" t="inlineStr">
        <is>
          <t>卖 MikroTik 但缺工业/ERPS/PoE++ → 用同价位工业线补他的产品缺口</t>
        </is>
      </c>
      <c r="I508" t="inlineStr">
        <is>
          <t>LT-IS6312XGP-4XS8GT</t>
        </is>
      </c>
      <c r="J508" t="inlineStr">
        <is>
          <t>01295 220 330 / hello@msdist.co.uk</t>
        </is>
      </c>
      <c r="K508" t="inlineStr">
        <is>
          <t>★★</t>
        </is>
      </c>
      <c r="L508" t="inlineStr">
        <is>
          <t>未触达</t>
        </is>
      </c>
      <c r="M508" t="inlineStr">
        <is>
          <t>2026-09-22</t>
        </is>
      </c>
      <c r="N508" t="inlineStr"/>
      <c r="O508" t="inlineStr"/>
      <c r="P508" t="inlineStr"/>
      <c r="Q508" t="inlineStr">
        <is>
          <t>Oxfordshire；【2026-09-22 补】官网列 Netonix WISP 交换机（PoE、宽温、DC 输入）为代理品牌。</t>
        </is>
      </c>
      <c r="R508" t="inlineStr">
        <is>
          <t>B</t>
        </is>
      </c>
      <c r="S508" t="inlineStr">
        <is>
          <t>有信号（交换专长、PoE/监控/门禁、ISP/骨干）但需先验证需求或联系人不具体</t>
        </is>
      </c>
      <c r="T508" t="inlineStr">
        <is>
          <t>B-416</t>
        </is>
      </c>
      <c r="U508" t="inlineStr"/>
      <c r="V508" t="inlineStr"/>
    </row>
    <row r="509">
      <c r="A509" t="inlineStr">
        <is>
          <t>Millbeck</t>
        </is>
      </c>
      <c r="B509" t="inlineStr">
        <is>
          <t>英国</t>
        </is>
      </c>
      <c r="C509" t="inlineStr"/>
      <c r="D509" t="inlineStr">
        <is>
          <t>millbeck.co.uk</t>
        </is>
      </c>
      <c r="E509" t="inlineStr">
        <is>
          <t>分销</t>
        </is>
      </c>
      <c r="F509" t="inlineStr">
        <is>
          <t>Teltonika（Diamond 最高级）</t>
        </is>
      </c>
      <c r="G509" t="inlineStr">
        <is>
          <t>否</t>
        </is>
      </c>
      <c r="H509" t="inlineStr">
        <is>
          <t>他们只有8口→补16/24口与10G</t>
        </is>
      </c>
      <c r="I509" t="inlineStr">
        <is>
          <t>LT-IS6318XG-2XS16GT</t>
        </is>
      </c>
      <c r="J509" t="inlineStr">
        <is>
          <t>官网</t>
        </is>
      </c>
      <c r="K509" t="inlineStr">
        <is>
          <t>★★★</t>
        </is>
      </c>
      <c r="L509" t="inlineStr">
        <is>
          <t>未触达</t>
        </is>
      </c>
      <c r="M509" t="inlineStr">
        <is>
          <t>反向信号/2026-09</t>
        </is>
      </c>
      <c r="N509" t="inlineStr"/>
      <c r="O509" t="inlineStr"/>
      <c r="P509" t="inlineStr"/>
      <c r="Q509" t="inlineStr">
        <is>
          <t>【待补】本行由分销商名录批量导入，三星依据仅为渠道等级（分销）与「Teltonika（Diamond 最高级）」，尚无人工核实。建议先查证其是否已有工业交换机 / PoE++ 产品线，再定切入型号</t>
        </is>
      </c>
      <c r="R509" t="inlineStr">
        <is>
          <t>C</t>
        </is>
      </c>
      <c r="S5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09" t="inlineStr">
        <is>
          <t>C-285</t>
        </is>
      </c>
      <c r="U509" t="inlineStr">
        <is>
          <t>B下放·无邮箱（群发触达不到）</t>
        </is>
      </c>
      <c r="V509" t="inlineStr"/>
    </row>
    <row r="510">
      <c r="A510" t="inlineStr">
        <is>
          <t>Morgan Ingland Limited（miatlantic.com）</t>
        </is>
      </c>
      <c r="B510" t="inlineStr">
        <is>
          <t>英国</t>
        </is>
      </c>
      <c r="C510" t="inlineStr"/>
      <c r="D510" t="inlineStr">
        <is>
          <t>miatlantic.com</t>
        </is>
      </c>
      <c r="E510" t="inlineStr">
        <is>
          <t>分销（MikroTik 官方）</t>
        </is>
      </c>
      <c r="F510" t="inlineStr">
        <is>
          <t>MikroTik（Reseller）</t>
        </is>
      </c>
      <c r="G510" t="inlineStr">
        <is>
          <t>否</t>
        </is>
      </c>
      <c r="H510" t="inlineStr">
        <is>
          <t>卖 MikroTik 但缺工业/ERPS/PoE++ → 用同价位工业线补他的产品缺口</t>
        </is>
      </c>
      <c r="I510" t="inlineStr">
        <is>
          <t>LT-IS6312XG-4XS8GT</t>
        </is>
      </c>
      <c r="J510" t="inlineStr">
        <is>
          <t>0808 189 1246 / info@miatlantic.com</t>
        </is>
      </c>
      <c r="K510" t="inlineStr">
        <is>
          <t>★★</t>
        </is>
      </c>
      <c r="L510" t="inlineStr">
        <is>
          <t>未触达</t>
        </is>
      </c>
      <c r="M510" t="inlineStr">
        <is>
          <t>2026-09-22</t>
        </is>
      </c>
      <c r="N510" t="inlineStr"/>
      <c r="O510" t="inlineStr"/>
      <c r="P510" t="inlineStr"/>
      <c r="Q510" t="inlineStr">
        <is>
          <t>Birmingham</t>
        </is>
      </c>
      <c r="R510" t="inlineStr">
        <is>
          <t>B</t>
        </is>
      </c>
      <c r="S510" t="inlineStr">
        <is>
          <t>通用分销商信号，无差异化切入点，慢慢跟</t>
        </is>
      </c>
      <c r="T510" t="inlineStr">
        <is>
          <t>B-418</t>
        </is>
      </c>
      <c r="U510" t="inlineStr"/>
      <c r="V510" t="inlineStr"/>
    </row>
    <row r="511">
      <c r="A511" t="inlineStr">
        <is>
          <t>NetXL Distribution Ltd.</t>
        </is>
      </c>
      <c r="B511" t="inlineStr">
        <is>
          <t>英国</t>
        </is>
      </c>
      <c r="C511" t="inlineStr"/>
      <c r="D511" t="inlineStr">
        <is>
          <t>netxl.com</t>
        </is>
      </c>
      <c r="E511" t="inlineStr">
        <is>
          <t>分销（MikroTik 官方）</t>
        </is>
      </c>
      <c r="F511" t="inlineStr">
        <is>
          <t>MikroTik（Master）</t>
        </is>
      </c>
      <c r="G511" t="inlineStr">
        <is>
          <t>否</t>
        </is>
      </c>
      <c r="H511" t="inlineStr">
        <is>
          <t>netxl.com/mikrotik 专页 → 单品牌主推</t>
        </is>
      </c>
      <c r="I511" t="inlineStr">
        <is>
          <t>LT-S8328XG-4XS8GT-S</t>
        </is>
      </c>
      <c r="J511" t="inlineStr">
        <is>
          <t>+44 330 043 3000 / help@netxl.com</t>
        </is>
      </c>
      <c r="K511" t="inlineStr">
        <is>
          <t>★★★</t>
        </is>
      </c>
      <c r="L511" t="inlineStr">
        <is>
          <t>未触达</t>
        </is>
      </c>
      <c r="M511" t="inlineStr">
        <is>
          <t>2026-09-22</t>
        </is>
      </c>
      <c r="N511" t="inlineStr"/>
      <c r="O511" t="inlineStr"/>
      <c r="P511" t="inlineStr"/>
      <c r="Q511" t="inlineStr">
        <is>
          <t>Guildford</t>
        </is>
      </c>
      <c r="R511" t="inlineStr">
        <is>
          <t>B</t>
        </is>
      </c>
      <c r="S511" t="inlineStr">
        <is>
          <t>通用分销商信号，无差异化切入点，慢慢跟</t>
        </is>
      </c>
      <c r="T511" t="inlineStr">
        <is>
          <t>B-419</t>
        </is>
      </c>
      <c r="U511" t="inlineStr"/>
      <c r="V511" t="inlineStr"/>
    </row>
    <row r="512">
      <c r="A512" t="inlineStr">
        <is>
          <t>Netceed UK</t>
        </is>
      </c>
      <c r="B512" t="inlineStr">
        <is>
          <t>英国</t>
        </is>
      </c>
      <c r="C512" t="inlineStr"/>
      <c r="D512" t="inlineStr">
        <is>
          <t>uk-store.netceed.com</t>
        </is>
      </c>
      <c r="E512" t="inlineStr">
        <is>
          <t>分销（PLANET 授权）</t>
        </is>
      </c>
      <c r="F512" t="inlineStr">
        <is>
          <t>PLANET 工业交换机</t>
        </is>
      </c>
      <c r="G512" t="inlineStr">
        <is>
          <t>否</t>
        </is>
      </c>
      <c r="H512" t="inlineStr">
        <is>
          <t>台厂 PLANET 工业线（DIN 导轨、宽温）英国渠道</t>
        </is>
      </c>
      <c r="I512" t="inlineStr">
        <is>
          <t>LT-IS6312XGP-4XS8GT</t>
        </is>
      </c>
      <c r="J512" t="inlineStr">
        <is>
          <t>官网 Contact 页</t>
        </is>
      </c>
      <c r="K512" t="inlineStr">
        <is>
          <t>★★</t>
        </is>
      </c>
      <c r="L512" t="inlineStr">
        <is>
          <t>未触达</t>
        </is>
      </c>
      <c r="M512" t="inlineStr">
        <is>
          <t>Netonix/PLANET 经销商名录/2026-09</t>
        </is>
      </c>
      <c r="N512" t="inlineStr"/>
      <c r="O512" t="inlineStr"/>
      <c r="P512" t="inlineStr"/>
      <c r="Q512" t="inlineStr">
        <is>
          <t>【2026-09-22 新增】Netceed UK 商店在售 PLANET DIN 导轨工业交换机（IGS-10020HPT 8口270W PoE、IGS-4215-4P4T2S、IGS-501T 5口）。</t>
        </is>
      </c>
      <c r="R512" t="inlineStr">
        <is>
          <t>C</t>
        </is>
      </c>
      <c r="S51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2" t="inlineStr">
        <is>
          <t>C-286</t>
        </is>
      </c>
      <c r="U512" t="inlineStr">
        <is>
          <t>B下放·无邮箱（群发触达不到）</t>
        </is>
      </c>
      <c r="V512" t="inlineStr"/>
    </row>
    <row r="513">
      <c r="A513" t="inlineStr">
        <is>
          <t>Pymatek Automation</t>
        </is>
      </c>
      <c r="B513" t="inlineStr">
        <is>
          <t>英国</t>
        </is>
      </c>
      <c r="C513" t="inlineStr"/>
      <c r="D513" t="inlineStr">
        <is>
          <t>pymatek.co.uk</t>
        </is>
      </c>
      <c r="E513" t="inlineStr">
        <is>
          <t>分销（EtherWAN 授权）</t>
        </is>
      </c>
      <c r="F513" t="inlineStr">
        <is>
          <t>EtherWAN 英国分销商（同时在西班牙及拉美多国分销）；站点按品牌建档，主营工业自动化供货</t>
        </is>
      </c>
      <c r="G513" t="inlineStr">
        <is>
          <t>否</t>
        </is>
      </c>
      <c r="H513" t="inlineStr">
        <is>
          <t>台厂渠道话术</t>
        </is>
      </c>
      <c r="I513" t="inlineStr">
        <is>
          <t>LT-IS6312XGP-4XS8GT</t>
        </is>
      </c>
      <c r="J513" t="inlineStr">
        <is>
          <t>官网联系页</t>
        </is>
      </c>
      <c r="K513" t="inlineStr">
        <is>
          <t>★★</t>
        </is>
      </c>
      <c r="L513" t="inlineStr">
        <is>
          <t>未触达</t>
        </is>
      </c>
      <c r="M513" t="inlineStr">
        <is>
          <t>EtherWAN/Advantech 渠道名录（经销商定位法）</t>
        </is>
      </c>
      <c r="N513" t="inlineStr"/>
      <c r="O513" t="inlineStr"/>
      <c r="P513" t="inlineStr"/>
      <c r="Q513" t="inlineStr">
        <is>
          <t>sales@pymatek.co.uk；电话 +44 01543 22 62 66 / 手机 +44 07852 475676；VAT GB 2060 155 3431。【2026-09-22 补】经 EtherWAN（台厂，1996 年创立，现被德国 Phoenix Contact 收购）渠道名录确认为其分销商。</t>
        </is>
      </c>
      <c r="R513" t="inlineStr">
        <is>
          <t>B</t>
        </is>
      </c>
      <c r="S513" t="inlineStr">
        <is>
          <t>有信号（工业/楼宇）但需先验证需求或联系人不具体</t>
        </is>
      </c>
      <c r="T513" t="inlineStr">
        <is>
          <t>B-421</t>
        </is>
      </c>
      <c r="U513" t="inlineStr"/>
      <c r="V513" t="inlineStr"/>
    </row>
    <row r="514">
      <c r="A514" t="inlineStr">
        <is>
          <t>Ron Touw / MikroTik Training UK</t>
        </is>
      </c>
      <c r="B514" t="inlineStr">
        <is>
          <t>英国</t>
        </is>
      </c>
      <c r="C514" t="inlineStr">
        <is>
          <t>Whitstable</t>
        </is>
      </c>
      <c r="D514" t="inlineStr">
        <is>
          <t>mikrotiktraining.co.uk</t>
        </is>
      </c>
      <c r="E514" t="inlineStr">
        <is>
          <t>集成商/顾问（MikroTik 认证）</t>
        </is>
      </c>
      <c r="F514" t="inlineStr">
        <is>
          <t>MikroTik 认证顾问 10 证全拿</t>
        </is>
      </c>
      <c r="G514" t="inlineStr">
        <is>
          <t>否</t>
        </is>
      </c>
      <c r="H514" t="inlineStr">
        <is>
          <t>MikroTik 认证顾问：自己做方案/集成/运维并自行采购设备 → 用 ERPS/IGMP/VLAN/CLI/MIB 这类技术语言切入，不打价格战</t>
        </is>
      </c>
      <c r="I514" t="inlineStr">
        <is>
          <t>LT-S8328XGP-4XS24GT-S</t>
        </is>
      </c>
      <c r="J514" t="inlineStr">
        <is>
          <t>+44 1227 314316 / training@hoka.co.uk</t>
        </is>
      </c>
      <c r="K514" t="inlineStr">
        <is>
          <t>★★★</t>
        </is>
      </c>
      <c r="L514" t="inlineStr">
        <is>
          <t>未触达</t>
        </is>
      </c>
      <c r="M514" t="inlineStr">
        <is>
          <t>2026-09-22</t>
        </is>
      </c>
      <c r="N514" t="inlineStr"/>
      <c r="O514" t="inlineStr"/>
      <c r="P514" t="inlineStr"/>
      <c r="Q514" t="inlineStr">
        <is>
          <t>★ 10 证全拿 + 英国培训讲师；无线勘测与设计、固定网络基础设施设计、BGP/MPLS/VPLS/OSPF、流量管理</t>
        </is>
      </c>
      <c r="R514" t="inlineStr">
        <is>
          <t>B</t>
        </is>
      </c>
      <c r="S514" t="inlineStr">
        <is>
          <t>有信号（ISP/骨干、影响力/渠道）但需先验证需求或联系人不具体</t>
        </is>
      </c>
      <c r="T514" t="inlineStr">
        <is>
          <t>B-422</t>
        </is>
      </c>
      <c r="U514" t="inlineStr"/>
      <c r="V514" t="inlineStr"/>
    </row>
    <row r="515">
      <c r="A515" t="inlineStr">
        <is>
          <t>Saratota</t>
        </is>
      </c>
      <c r="B515" t="inlineStr">
        <is>
          <t>英国</t>
        </is>
      </c>
      <c r="C515" t="inlineStr"/>
      <c r="D515" t="inlineStr">
        <is>
          <t>saratota.com</t>
        </is>
      </c>
      <c r="E515" t="inlineStr">
        <is>
          <t>分销（PLANET 授权）</t>
        </is>
      </c>
      <c r="F515" t="inlineStr">
        <is>
          <t>PLANET（台厂工业/商用交换机）</t>
        </is>
      </c>
      <c r="G515" t="inlineStr">
        <is>
          <t>否</t>
        </is>
      </c>
      <c r="H515" t="inlineStr">
        <is>
          <t>台厂 PLANET 的英国分销；台厂不是客户，其渠道才是目标</t>
        </is>
      </c>
      <c r="I515" t="inlineStr">
        <is>
          <t>LT-IS6312XGP-4XS8GT</t>
        </is>
      </c>
      <c r="J515" t="inlineStr">
        <is>
          <t>官网 Contact 页</t>
        </is>
      </c>
      <c r="K515" t="inlineStr">
        <is>
          <t>★★</t>
        </is>
      </c>
      <c r="L515" t="inlineStr">
        <is>
          <t>未触达</t>
        </is>
      </c>
      <c r="M515" t="inlineStr">
        <is>
          <t>Netonix/PLANET 经销商名录/2026-09</t>
        </is>
      </c>
      <c r="N515" t="inlineStr"/>
      <c r="O515" t="inlineStr"/>
      <c r="P515" t="inlineStr"/>
      <c r="Q515" t="inlineStr">
        <is>
          <t>【2026-09-22 新增】saratota.com 页面标注 Planet Technology UK distributor / supplier，上架 PLANET 工业 PoE 与太阳能供电交换机。；【2026-09-22 补】经 EtherWAN（台厂，1996 年创立，现被德国 Phoenix Contact 收购）渠道名录确认为其分销商。上架 EtherWAN 多台具体型号：ED3331 同轴以太网延长器、ED3601 工业千兆 VDSL2 延长器、EX36180 工业 8 口 PoE+ 交换机。</t>
        </is>
      </c>
      <c r="R515" t="inlineStr">
        <is>
          <t>C</t>
        </is>
      </c>
      <c r="S51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15" t="inlineStr">
        <is>
          <t>C-287</t>
        </is>
      </c>
      <c r="U515" t="inlineStr">
        <is>
          <t>B下放·无邮箱（群发触达不到）</t>
        </is>
      </c>
      <c r="V515" t="inlineStr"/>
    </row>
    <row r="516">
      <c r="A516" t="inlineStr">
        <is>
          <t>Switch SFP</t>
        </is>
      </c>
      <c r="B516" t="inlineStr">
        <is>
          <t>英国</t>
        </is>
      </c>
      <c r="C516" t="inlineStr"/>
      <c r="D516" t="inlineStr">
        <is>
          <t>switchsfp.com</t>
        </is>
      </c>
      <c r="E516" t="inlineStr">
        <is>
          <t>分销</t>
        </is>
      </c>
      <c r="F516" t="inlineStr">
        <is>
          <t>Antaira</t>
        </is>
      </c>
      <c r="G516" t="inlineStr">
        <is>
          <t>否</t>
        </is>
      </c>
      <c r="H516" t="inlineStr">
        <is>
          <t>同价位替代</t>
        </is>
      </c>
      <c r="I516" t="inlineStr">
        <is>
          <t>LT-IS6312XG-4XS8GT</t>
        </is>
      </c>
      <c r="J516" t="inlineStr">
        <is>
          <t>sales@switchsfp.com</t>
        </is>
      </c>
      <c r="K516" t="inlineStr">
        <is>
          <t>★★</t>
        </is>
      </c>
      <c r="L516" t="inlineStr">
        <is>
          <t>未触达</t>
        </is>
      </c>
      <c r="M516" t="inlineStr">
        <is>
          <t>反向信号/2026-09</t>
        </is>
      </c>
      <c r="N516" t="inlineStr"/>
      <c r="O516" t="inlineStr"/>
      <c r="P516" t="inlineStr"/>
      <c r="Q516" t="inlineStr"/>
      <c r="R516" t="inlineStr">
        <is>
          <t>B</t>
        </is>
      </c>
      <c r="S516" t="inlineStr">
        <is>
          <t>通用分销商信号，无差异化切入点，慢慢跟</t>
        </is>
      </c>
      <c r="T516" t="inlineStr">
        <is>
          <t>B-424</t>
        </is>
      </c>
      <c r="U516" t="inlineStr"/>
      <c r="V516" t="inlineStr"/>
    </row>
    <row r="517">
      <c r="A517" t="inlineStr">
        <is>
          <t>Telasys Ltd</t>
        </is>
      </c>
      <c r="B517" t="inlineStr">
        <is>
          <t>英国</t>
        </is>
      </c>
      <c r="C517" t="inlineStr"/>
      <c r="D517" t="inlineStr">
        <is>
          <t>telasys.com</t>
        </is>
      </c>
      <c r="E517" t="inlineStr">
        <is>
          <t>分销（MikroTik 官方）</t>
        </is>
      </c>
      <c r="F517" t="inlineStr">
        <is>
          <t>MikroTik（Reseller）</t>
        </is>
      </c>
      <c r="G517" t="inlineStr">
        <is>
          <t>否</t>
        </is>
      </c>
      <c r="H517" t="inlineStr">
        <is>
          <t>卖 MikroTik 但缺工业/ERPS/PoE++ → 用同价位工业线补他的产品缺口</t>
        </is>
      </c>
      <c r="I517" t="inlineStr">
        <is>
          <t>LT-IS6312XGP-4XS8GT</t>
        </is>
      </c>
      <c r="J517" t="inlineStr">
        <is>
          <t>+44 2920 002722 / info@telasys.com</t>
        </is>
      </c>
      <c r="K517" t="inlineStr">
        <is>
          <t>★★</t>
        </is>
      </c>
      <c r="L517" t="inlineStr">
        <is>
          <t>未触达</t>
        </is>
      </c>
      <c r="M517" t="inlineStr">
        <is>
          <t>2026-09-22</t>
        </is>
      </c>
      <c r="N517" t="inlineStr"/>
      <c r="O517" t="inlineStr"/>
      <c r="P517" t="inlineStr"/>
      <c r="Q517" t="inlineStr">
        <is>
          <t>Cardiff</t>
        </is>
      </c>
      <c r="R517" t="inlineStr">
        <is>
          <t>B</t>
        </is>
      </c>
      <c r="S517" t="inlineStr">
        <is>
          <t>通用分销商信号，无差异化切入点，慢慢跟</t>
        </is>
      </c>
      <c r="T517" t="inlineStr">
        <is>
          <t>B-425</t>
        </is>
      </c>
      <c r="U517" t="inlineStr"/>
      <c r="V517" t="inlineStr"/>
    </row>
    <row r="518">
      <c r="A518" t="inlineStr">
        <is>
          <t>Transend</t>
        </is>
      </c>
      <c r="B518" t="inlineStr">
        <is>
          <t>英国</t>
        </is>
      </c>
      <c r="C518" t="inlineStr"/>
      <c r="D518" t="inlineStr">
        <is>
          <t>transenduk.com</t>
        </is>
      </c>
      <c r="E518" t="inlineStr">
        <is>
          <t>分销（ComNet 授权）</t>
        </is>
      </c>
      <c r="F518" t="inlineStr">
        <is>
          <t>ComNet</t>
        </is>
      </c>
      <c r="G518" t="inlineStr">
        <is>
          <t>否</t>
        </is>
      </c>
      <c r="H518" t="inlineStr">
        <is>
          <t>CCTV/PoE 同规格第二供应源</t>
        </is>
      </c>
      <c r="I518" t="inlineStr">
        <is>
          <t>LT-IS6310GP-2GX8GT</t>
        </is>
      </c>
      <c r="J518" t="inlineStr">
        <is>
          <t>transenduk.com</t>
        </is>
      </c>
      <c r="K518" t="inlineStr">
        <is>
          <t>★★</t>
        </is>
      </c>
      <c r="L518" t="inlineStr">
        <is>
          <t>未触达</t>
        </is>
      </c>
      <c r="M518" t="inlineStr">
        <is>
          <t>2026-09-22</t>
        </is>
      </c>
      <c r="N518" t="inlineStr"/>
      <c r="O518" t="inlineStr"/>
      <c r="P518" t="inlineStr"/>
      <c r="Q518" t="inlineStr"/>
      <c r="R518" t="inlineStr">
        <is>
          <t>C</t>
        </is>
      </c>
      <c r="S51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18" t="inlineStr">
        <is>
          <t>C-288</t>
        </is>
      </c>
      <c r="U518" t="inlineStr">
        <is>
          <t>B下放·无邮箱（群发触达不到）</t>
        </is>
      </c>
      <c r="V518" t="inlineStr"/>
    </row>
    <row r="519">
      <c r="A519" t="inlineStr">
        <is>
          <t>VoiceHost Limited</t>
        </is>
      </c>
      <c r="B519" t="inlineStr">
        <is>
          <t>英国</t>
        </is>
      </c>
      <c r="C519" t="inlineStr"/>
      <c r="D519" t="inlineStr">
        <is>
          <t>store.voicehost.co.uk</t>
        </is>
      </c>
      <c r="E519" t="inlineStr">
        <is>
          <t>分销（MikroTik 官方）</t>
        </is>
      </c>
      <c r="F519" t="inlineStr">
        <is>
          <t>MikroTik（Reseller）</t>
        </is>
      </c>
      <c r="G519" t="inlineStr">
        <is>
          <t>否</t>
        </is>
      </c>
      <c r="H519" t="inlineStr">
        <is>
          <t>卖 MikroTik 但缺工业/ERPS/PoE++ → 用同价位工业线补他的产品缺口</t>
        </is>
      </c>
      <c r="I519" t="inlineStr">
        <is>
          <t>LT-IS6312XG-4XS8GT</t>
        </is>
      </c>
      <c r="J519" t="inlineStr">
        <is>
          <t>0345 561 0561 / support@voicehost.co.uk</t>
        </is>
      </c>
      <c r="K519" t="inlineStr">
        <is>
          <t>★★</t>
        </is>
      </c>
      <c r="L519" t="inlineStr">
        <is>
          <t>未触达</t>
        </is>
      </c>
      <c r="M519" t="inlineStr">
        <is>
          <t>2026-09-22</t>
        </is>
      </c>
      <c r="N519" t="inlineStr"/>
      <c r="O519" t="inlineStr"/>
      <c r="P519" t="inlineStr"/>
      <c r="Q519" t="inlineStr">
        <is>
          <t>Norwich</t>
        </is>
      </c>
      <c r="R519" t="inlineStr">
        <is>
          <t>B</t>
        </is>
      </c>
      <c r="S519" t="inlineStr">
        <is>
          <t>通用分销商信号，无差异化切入点，慢慢跟</t>
        </is>
      </c>
      <c r="T519" t="inlineStr">
        <is>
          <t>B-427</t>
        </is>
      </c>
      <c r="U519" t="inlineStr"/>
      <c r="V519" t="inlineStr"/>
    </row>
    <row r="520">
      <c r="A520" t="inlineStr">
        <is>
          <t>Westbase Networks</t>
        </is>
      </c>
      <c r="B520" t="inlineStr">
        <is>
          <t>英国</t>
        </is>
      </c>
      <c r="C520" t="inlineStr"/>
      <c r="D520" t="inlineStr">
        <is>
          <t>eu.westbase.io</t>
        </is>
      </c>
      <c r="E520" t="inlineStr">
        <is>
          <t>分销（Netonix 官方）</t>
        </is>
      </c>
      <c r="F520" t="inlineStr">
        <is>
          <t>Netonix（WISP PoE 交换机）</t>
        </is>
      </c>
      <c r="G520" t="inlineStr">
        <is>
          <t>否</t>
        </is>
      </c>
      <c r="H520" t="inlineStr">
        <is>
          <t>官方 Netonix 英国 + 欧洲分销，代理全系 WISP 交换机；手上有 Netonix 存量客户</t>
        </is>
      </c>
      <c r="I520" t="inlineStr">
        <is>
          <t>LT-IS6312XGP-4XS8GT</t>
        </is>
      </c>
      <c r="J520" t="inlineStr">
        <is>
          <t>官网 Contact 页</t>
        </is>
      </c>
      <c r="K520" t="inlineStr">
        <is>
          <t>★★</t>
        </is>
      </c>
      <c r="L520" t="inlineStr">
        <is>
          <t>未触达</t>
        </is>
      </c>
      <c r="M520" t="inlineStr">
        <is>
          <t>Netonix/PLANET 经销商名录/2026-09</t>
        </is>
      </c>
      <c r="N520" t="inlineStr"/>
      <c r="O520" t="inlineStr"/>
      <c r="P520" t="inlineStr"/>
      <c r="Q520" t="inlineStr">
        <is>
          <t>【2026-09-22 新增】eu.westbase.io 自称 official Netonix UK and European distributor，代理 WISP Switch 全系。Netonix 为美式 WISP PoE 交换机（宽温、DC 输入）。；【2026-09-22 补】确认为 Moxa 英国及欧洲分销商，且官网产品线同时包含 MikroTik（路由与交换机）。Netonix + Moxa + MikroTik 三重信号叠加——既懂 Moxa 工业级定位，也熟悉 MikroTik 价位段，是 SmartByte 工业线最直接的切入点。</t>
        </is>
      </c>
      <c r="R520" t="inlineStr">
        <is>
          <t>C</t>
        </is>
      </c>
      <c r="S52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④冒出内部联系人。原判：有信号（交换专长、PoE/监控/门禁、工业/楼宇）但需先验证需求或联系人不具体</t>
        </is>
      </c>
      <c r="T520" t="inlineStr">
        <is>
          <t>C-289</t>
        </is>
      </c>
      <c r="U520" t="inlineStr">
        <is>
          <t>B下放·无邮箱（群发触达不到）</t>
        </is>
      </c>
      <c r="V520" t="inlineStr"/>
    </row>
    <row r="521">
      <c r="A521" t="inlineStr">
        <is>
          <t>broadbandbuyer.com</t>
        </is>
      </c>
      <c r="B521" t="inlineStr">
        <is>
          <t>英国</t>
        </is>
      </c>
      <c r="C521" t="inlineStr"/>
      <c r="D521" t="inlineStr">
        <is>
          <t>broadbandbuyer.com</t>
        </is>
      </c>
      <c r="E521" t="inlineStr">
        <is>
          <t>分销（MikroTik 官方）</t>
        </is>
      </c>
      <c r="F521" t="inlineStr">
        <is>
          <t>MikroTik（Reseller）</t>
        </is>
      </c>
      <c r="G521" t="inlineStr">
        <is>
          <t>否</t>
        </is>
      </c>
      <c r="H521" t="inlineStr">
        <is>
          <t>MikroTik 官方分销，商用线可直接比价，工业线为零 → 新品类增量</t>
        </is>
      </c>
      <c r="I521" t="inlineStr">
        <is>
          <t>LT-S8328XG-4XS8GT-S</t>
        </is>
      </c>
      <c r="J521" t="inlineStr">
        <is>
          <t>01908 760795 / info@broadbandbuyer.com</t>
        </is>
      </c>
      <c r="K521" t="inlineStr">
        <is>
          <t>★★</t>
        </is>
      </c>
      <c r="L521" t="inlineStr">
        <is>
          <t>未触达</t>
        </is>
      </c>
      <c r="M521" t="inlineStr">
        <is>
          <t>2026-09-22</t>
        </is>
      </c>
      <c r="N521" t="inlineStr"/>
      <c r="O521" t="inlineStr"/>
      <c r="P521" t="inlineStr"/>
      <c r="Q521" t="inlineStr">
        <is>
          <t>Milton Keynes</t>
        </is>
      </c>
      <c r="R521" t="inlineStr">
        <is>
          <t>B</t>
        </is>
      </c>
      <c r="S521" t="inlineStr">
        <is>
          <t>通用分销商信号，无差异化切入点，慢慢跟</t>
        </is>
      </c>
      <c r="T521" t="inlineStr">
        <is>
          <t>B-429</t>
        </is>
      </c>
      <c r="U521" t="inlineStr"/>
      <c r="V521" t="inlineStr"/>
    </row>
    <row r="522">
      <c r="A522" t="inlineStr">
        <is>
          <t>Aris Vink / SDC</t>
        </is>
      </c>
      <c r="B522" t="inlineStr">
        <is>
          <t>荷兰</t>
        </is>
      </c>
      <c r="C522" t="inlineStr">
        <is>
          <t>Zoetermeer</t>
        </is>
      </c>
      <c r="D522" t="inlineStr">
        <is>
          <t>sdc.nl</t>
        </is>
      </c>
      <c r="E522" t="inlineStr">
        <is>
          <t>集成商/顾问（MikroTik 认证）</t>
        </is>
      </c>
      <c r="F522" t="inlineStr">
        <is>
          <t>MikroTik 认证顾问 MTCNA+MTCRE</t>
        </is>
      </c>
      <c r="G522" t="inlineStr">
        <is>
          <t>否</t>
        </is>
      </c>
      <c r="H522" t="inlineStr">
        <is>
          <t>MikroTik 认证顾问：自己做方案/集成/运维并自行采购设备 → 用 ERPS/IGMP/VLAN/CLI/MIB 这类技术语言切入，不打价格战</t>
        </is>
      </c>
      <c r="I522" t="inlineStr">
        <is>
          <t>LT-S8328XGP-4XS24GT-S</t>
        </is>
      </c>
      <c r="J522" t="inlineStr">
        <is>
          <t>+31 6 17552148 / aris@sdc.nl</t>
        </is>
      </c>
      <c r="K522" t="inlineStr">
        <is>
          <t>★★★</t>
        </is>
      </c>
      <c r="L522" t="inlineStr">
        <is>
          <t>未触达</t>
        </is>
      </c>
      <c r="M522" t="inlineStr">
        <is>
          <t>2026-09-22</t>
        </is>
      </c>
      <c r="N522" t="inlineStr"/>
      <c r="O522" t="inlineStr"/>
      <c r="P522" t="inlineStr"/>
      <c r="Q522" t="inlineStr">
        <is>
          <t>★ 自述在某 MikroTik **Value Added Master Distributor 做售前顾问 + 认证讲师**，帮代理商设计/实施/运维 MikroTik 网络 →  distributor 内部的人，最接近「品类经理」入口</t>
        </is>
      </c>
      <c r="R522" t="inlineStr">
        <is>
          <t>B</t>
        </is>
      </c>
      <c r="S522" t="inlineStr">
        <is>
          <t>有信号（影响力/渠道）但需先验证需求或联系人不具体</t>
        </is>
      </c>
      <c r="T522" t="inlineStr">
        <is>
          <t>B-430</t>
        </is>
      </c>
      <c r="U522" t="inlineStr"/>
      <c r="V522" t="inlineStr"/>
    </row>
    <row r="523">
      <c r="A523" t="inlineStr">
        <is>
          <t>Computer Products Professional Benelux B.V.</t>
        </is>
      </c>
      <c r="B523" t="inlineStr">
        <is>
          <t>荷兰</t>
        </is>
      </c>
      <c r="C523" t="inlineStr">
        <is>
          <t>Puttershoek（比荷卢）</t>
        </is>
      </c>
      <c r="D523" t="inlineStr">
        <is>
          <t>cppb.nl</t>
        </is>
      </c>
      <c r="E523" t="inlineStr">
        <is>
          <t>分销（HMS/N-Tron·Red Lion 渠道）</t>
        </is>
      </c>
      <c r="F523" t="inlineStr">
        <is>
          <t>N-Tron + Red Lion + Anybus + Ewon + Ixxat + Intesis</t>
        </is>
      </c>
      <c r="G523" t="inlineStr">
        <is>
          <t>否</t>
        </is>
      </c>
      <c r="H523" t="inlineStr">
        <is>
          <t>卖 N-Tron/Red Lion 工业交换机（8口非网管约 $500+）→ 中性货同规格 LT-IS6310G 约 $91，做第二供应商/替换，价差 5 倍</t>
        </is>
      </c>
      <c r="I523" t="inlineStr">
        <is>
          <t>LT-IS6312XGP-4XS8GT</t>
        </is>
      </c>
      <c r="J523" t="inlineStr">
        <is>
          <t>官网联系页（HMS 名录只公开地址与网址）</t>
        </is>
      </c>
      <c r="K523" t="inlineStr">
        <is>
          <t>★★★</t>
        </is>
      </c>
      <c r="L523" t="inlineStr">
        <is>
          <t>未触达</t>
        </is>
      </c>
      <c r="M523" t="inlineStr">
        <is>
          <t>2026-09-22</t>
        </is>
      </c>
      <c r="N523" t="inlineStr"/>
      <c r="O523" t="inlineStr"/>
      <c r="P523" t="inlineStr"/>
      <c r="Q523" t="inlineStr">
        <is>
          <t>HMS 全品牌 → 比荷卢主力代理</t>
        </is>
      </c>
      <c r="R523" t="inlineStr">
        <is>
          <t>C</t>
        </is>
      </c>
      <c r="S523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23" t="inlineStr">
        <is>
          <t>C-290</t>
        </is>
      </c>
      <c r="U523" t="inlineStr">
        <is>
          <t>B下放·无邮箱（群发触达不到）</t>
        </is>
      </c>
      <c r="V523" t="inlineStr"/>
    </row>
    <row r="524">
      <c r="A524" t="inlineStr">
        <is>
          <t>Corné van Halteren / DAEL</t>
        </is>
      </c>
      <c r="B524" t="inlineStr">
        <is>
          <t>荷兰</t>
        </is>
      </c>
      <c r="C524" t="inlineStr">
        <is>
          <t>'s-Hertogenbosch</t>
        </is>
      </c>
      <c r="D524" t="inlineStr">
        <is>
          <t>dael.com</t>
        </is>
      </c>
      <c r="E524" t="inlineStr">
        <is>
          <t>集成商/顾问（MikroTik 认证）</t>
        </is>
      </c>
      <c r="F524" t="inlineStr">
        <is>
          <t>MikroTik 认证顾问 MTCNA+MTCRE</t>
        </is>
      </c>
      <c r="G524" t="inlineStr">
        <is>
          <t>否</t>
        </is>
      </c>
      <c r="H524" t="inlineStr">
        <is>
          <t>MikroTik 认证顾问：自己做方案/集成/运维并自行采购设备 → 用 ERPS/IGMP/VLAN/CLI/MIB 这类技术语言切入，不打价格战</t>
        </is>
      </c>
      <c r="I524" t="inlineStr">
        <is>
          <t>LT-S8328G-4XS24GT-S</t>
        </is>
      </c>
      <c r="J524" t="inlineStr">
        <is>
          <t>+31 6 28026574 / corne.vanhalteren@dael.com</t>
        </is>
      </c>
      <c r="K524" t="inlineStr">
        <is>
          <t>★★★</t>
        </is>
      </c>
      <c r="L524" t="inlineStr">
        <is>
          <t>未触达</t>
        </is>
      </c>
      <c r="M524" t="inlineStr">
        <is>
          <t>2026-09-22</t>
        </is>
      </c>
      <c r="N524" t="inlineStr"/>
      <c r="O524" t="inlineStr"/>
      <c r="P524" t="inlineStr"/>
      <c r="Q524" t="inlineStr">
        <is>
          <t>DAEL 公司有 2 位 MikroTik 顾问：Corné van Halteren（网络规划/实施/MikroTik 硬件管理）；Benito Stijger（benito.stijger@dael.com，+31 6 14333514，MTCSE 安全方向：防火墙、VPN、攻击防护）</t>
        </is>
      </c>
      <c r="R524" t="inlineStr">
        <is>
          <t>B</t>
        </is>
      </c>
      <c r="S524" t="inlineStr">
        <is>
          <t>通用分销商信号，无差异化切入点，慢慢跟</t>
        </is>
      </c>
      <c r="T524" t="inlineStr">
        <is>
          <t>B-432</t>
        </is>
      </c>
      <c r="U524" t="inlineStr"/>
      <c r="V524" t="inlineStr"/>
    </row>
    <row r="525">
      <c r="A525" t="inlineStr">
        <is>
          <t>Fokko van den Bosch</t>
        </is>
      </c>
      <c r="B525" t="inlineStr">
        <is>
          <t>荷兰</t>
        </is>
      </c>
      <c r="C525" t="inlineStr">
        <is>
          <t>Den Haag</t>
        </is>
      </c>
      <c r="D525" t="inlineStr">
        <is>
          <t>it-support.nl</t>
        </is>
      </c>
      <c r="E525" t="inlineStr">
        <is>
          <t>集成商/顾问（MikroTik 认证）</t>
        </is>
      </c>
      <c r="F525" t="inlineStr">
        <is>
          <t>MikroTik 认证顾问 MTCNA+MTCRE</t>
        </is>
      </c>
      <c r="G525" t="inlineStr">
        <is>
          <t>否</t>
        </is>
      </c>
      <c r="H525" t="inlineStr">
        <is>
          <t>MikroTik 认证顾问：自己做方案/集成/运维并自行采购设备 → 用 ERPS/IGMP/VLAN/CLI/MIB 这类技术语言切入，不打价格战</t>
        </is>
      </c>
      <c r="I525" t="inlineStr">
        <is>
          <t>LT-S8328G-4XS24GT-S</t>
        </is>
      </c>
      <c r="J525" t="inlineStr">
        <is>
          <t>+31 6 24259171 / fokko@it-support.nl</t>
        </is>
      </c>
      <c r="K525" t="inlineStr">
        <is>
          <t>★★</t>
        </is>
      </c>
      <c r="L525" t="inlineStr">
        <is>
          <t>未触达</t>
        </is>
      </c>
      <c r="M525" t="inlineStr">
        <is>
          <t>2026-09-22</t>
        </is>
      </c>
      <c r="N525" t="inlineStr"/>
      <c r="O525" t="inlineStr"/>
      <c r="P525" t="inlineStr"/>
      <c r="Q525" t="inlineStr"/>
      <c r="R525" t="inlineStr">
        <is>
          <t>B</t>
        </is>
      </c>
      <c r="S525" t="inlineStr">
        <is>
          <t>通用分销商信号，无差异化切入点，慢慢跟</t>
        </is>
      </c>
      <c r="T525" t="inlineStr">
        <is>
          <t>B-433</t>
        </is>
      </c>
      <c r="U525" t="inlineStr"/>
      <c r="V525" t="inlineStr"/>
    </row>
    <row r="526">
      <c r="A526" t="inlineStr">
        <is>
          <t>Interstroom informatietechnologie b.v.</t>
        </is>
      </c>
      <c r="B526" t="inlineStr">
        <is>
          <t>荷兰</t>
        </is>
      </c>
      <c r="C526" t="inlineStr"/>
      <c r="D526" t="inlineStr">
        <is>
          <t>interstroom.nl</t>
        </is>
      </c>
      <c r="E526" t="inlineStr">
        <is>
          <t>分销（MikroTik 官方）</t>
        </is>
      </c>
      <c r="F526" t="inlineStr">
        <is>
          <t>MikroTik（Reseller）</t>
        </is>
      </c>
      <c r="G526" t="inlineStr">
        <is>
          <t>否</t>
        </is>
      </c>
      <c r="H526" t="inlineStr">
        <is>
          <t>卖 MikroTik 但缺工业/ERPS/PoE++ → 用同价位工业线补他的产品缺口</t>
        </is>
      </c>
      <c r="I526" t="inlineStr">
        <is>
          <t>LT-IS6312XG-4XS8GT</t>
        </is>
      </c>
      <c r="J526" t="inlineStr">
        <is>
          <t>+31 74 245 20 50 / sales@interstroom.nl</t>
        </is>
      </c>
      <c r="K526" t="inlineStr">
        <is>
          <t>★★</t>
        </is>
      </c>
      <c r="L526" t="inlineStr">
        <is>
          <t>未触达</t>
        </is>
      </c>
      <c r="M526" t="inlineStr">
        <is>
          <t>2026-09-22</t>
        </is>
      </c>
      <c r="N526" t="inlineStr"/>
      <c r="O526" t="inlineStr"/>
      <c r="P526" t="inlineStr"/>
      <c r="Q526" t="inlineStr">
        <is>
          <t>Hengelo</t>
        </is>
      </c>
      <c r="R526" t="inlineStr">
        <is>
          <t>B</t>
        </is>
      </c>
      <c r="S526" t="inlineStr">
        <is>
          <t>通用分销商信号，无差异化切入点，慢慢跟</t>
        </is>
      </c>
      <c r="T526" t="inlineStr">
        <is>
          <t>B-434</t>
        </is>
      </c>
      <c r="U526" t="inlineStr"/>
      <c r="V526" t="inlineStr"/>
    </row>
    <row r="527">
      <c r="A527" t="inlineStr">
        <is>
          <t>JPK Consulting</t>
        </is>
      </c>
      <c r="B527" t="inlineStr">
        <is>
          <t>荷兰</t>
        </is>
      </c>
      <c r="C527" t="inlineStr"/>
      <c r="D527" t="inlineStr">
        <is>
          <t>jpk-consulting.nl</t>
        </is>
      </c>
      <c r="E527" t="inlineStr">
        <is>
          <t>分销（MikroTik 官方）</t>
        </is>
      </c>
      <c r="F527" t="inlineStr">
        <is>
          <t>MikroTik（Reseller）</t>
        </is>
      </c>
      <c r="G527" t="inlineStr">
        <is>
          <t>否</t>
        </is>
      </c>
      <c r="H527" t="inlineStr">
        <is>
          <t>卖 MikroTik 但缺工业/ERPS/PoE++ → 用同价位工业线补他的产品缺口</t>
        </is>
      </c>
      <c r="I527" t="inlineStr">
        <is>
          <t>LT-IS6312XGP-4XS8GT</t>
        </is>
      </c>
      <c r="J527" t="inlineStr">
        <is>
          <t>038 234 0 333 / info@jpk-consulting.nl</t>
        </is>
      </c>
      <c r="K527" t="inlineStr">
        <is>
          <t>★★</t>
        </is>
      </c>
      <c r="L527" t="inlineStr">
        <is>
          <t>未触达</t>
        </is>
      </c>
      <c r="M527" t="inlineStr">
        <is>
          <t>2026-09-22</t>
        </is>
      </c>
      <c r="N527" t="inlineStr"/>
      <c r="O527" t="inlineStr"/>
      <c r="P527" t="inlineStr"/>
      <c r="Q527" t="inlineStr">
        <is>
          <t>Zwolle</t>
        </is>
      </c>
      <c r="R527" t="inlineStr">
        <is>
          <t>B</t>
        </is>
      </c>
      <c r="S527" t="inlineStr">
        <is>
          <t>通用分销商信号，无差异化切入点，慢慢跟</t>
        </is>
      </c>
      <c r="T527" t="inlineStr">
        <is>
          <t>B-435</t>
        </is>
      </c>
      <c r="U527" t="inlineStr"/>
      <c r="V527" t="inlineStr"/>
    </row>
    <row r="528">
      <c r="A528" t="inlineStr">
        <is>
          <t>Jan Geert Hek / Qtopia</t>
        </is>
      </c>
      <c r="B528" t="inlineStr">
        <is>
          <t>荷兰</t>
        </is>
      </c>
      <c r="C528" t="inlineStr">
        <is>
          <t>Heelweg</t>
        </is>
      </c>
      <c r="D528" t="inlineStr">
        <is>
          <t>qtopia.nl</t>
        </is>
      </c>
      <c r="E528" t="inlineStr">
        <is>
          <t>集成商/顾问（MikroTik 认证）</t>
        </is>
      </c>
      <c r="F528" t="inlineStr">
        <is>
          <t>MikroTik 认证顾问 MTCNA+MTCRE</t>
        </is>
      </c>
      <c r="G528" t="inlineStr">
        <is>
          <t>否</t>
        </is>
      </c>
      <c r="H528" t="inlineStr">
        <is>
          <t>MikroTik 认证顾问：自己做方案/集成/运维并自行采购设备 → 用 ERPS/IGMP/VLAN/CLI/MIB 这类技术语言切入，不打价格战</t>
        </is>
      </c>
      <c r="I528" t="inlineStr">
        <is>
          <t>LT-S8328G-4XS24GT-S</t>
        </is>
      </c>
      <c r="J528" t="inlineStr">
        <is>
          <t>+31 6 47764254 / j.g.hek@qtopia.nl</t>
        </is>
      </c>
      <c r="K528" t="inlineStr">
        <is>
          <t>★★</t>
        </is>
      </c>
      <c r="L528" t="inlineStr">
        <is>
          <t>未触达</t>
        </is>
      </c>
      <c r="M528" t="inlineStr">
        <is>
          <t>2026-09-22</t>
        </is>
      </c>
      <c r="N528" t="inlineStr"/>
      <c r="O528" t="inlineStr"/>
      <c r="P528" t="inlineStr"/>
      <c r="Q528" t="inlineStr"/>
      <c r="R528" t="inlineStr">
        <is>
          <t>B</t>
        </is>
      </c>
      <c r="S528" t="inlineStr">
        <is>
          <t>通用分销商信号，无差异化切入点，慢慢跟</t>
        </is>
      </c>
      <c r="T528" t="inlineStr">
        <is>
          <t>B-436</t>
        </is>
      </c>
      <c r="U528" t="inlineStr"/>
      <c r="V528" t="inlineStr"/>
    </row>
    <row r="529">
      <c r="A529" t="inlineStr">
        <is>
          <t>Jasper Hagoort / Dside</t>
        </is>
      </c>
      <c r="B529" t="inlineStr">
        <is>
          <t>荷兰</t>
        </is>
      </c>
      <c r="C529" t="inlineStr">
        <is>
          <t>Geertruidenberg</t>
        </is>
      </c>
      <c r="D529" t="inlineStr">
        <is>
          <t>dside.nl</t>
        </is>
      </c>
      <c r="E529" t="inlineStr">
        <is>
          <t>集成商/顾问（MikroTik 认证）</t>
        </is>
      </c>
      <c r="F529" t="inlineStr">
        <is>
          <t>MikroTik 认证顾问 MTCNA+MTCWE+MTCTCE+MTCIPv6E+MTCSE</t>
        </is>
      </c>
      <c r="G529" t="inlineStr">
        <is>
          <t>否</t>
        </is>
      </c>
      <c r="H529" t="inlineStr">
        <is>
          <t>MikroTik 认证顾问：自己做方案/集成/运维并自行采购设备 → 用 ERPS/IGMP/VLAN/CLI/MIB 这类技术语言切入，不打价格战</t>
        </is>
      </c>
      <c r="I529" t="inlineStr">
        <is>
          <t>LT-S8328G-4XS24GT-S</t>
        </is>
      </c>
      <c r="J529" t="inlineStr">
        <is>
          <t>+31 6 50462617 / jasper@dside.nl</t>
        </is>
      </c>
      <c r="K529" t="inlineStr">
        <is>
          <t>★★★</t>
        </is>
      </c>
      <c r="L529" t="inlineStr">
        <is>
          <t>未触达</t>
        </is>
      </c>
      <c r="M529" t="inlineStr">
        <is>
          <t>2026-09-22</t>
        </is>
      </c>
      <c r="N529" t="inlineStr"/>
      <c r="O529" t="inlineStr"/>
      <c r="P529" t="inlineStr"/>
      <c r="Q529" t="inlineStr">
        <is>
          <t>含 MTCTCE（流量控制）+ MTCSE（安全）</t>
        </is>
      </c>
      <c r="R529" t="inlineStr">
        <is>
          <t>B</t>
        </is>
      </c>
      <c r="S529" t="inlineStr">
        <is>
          <t>通用分销商信号，无差异化切入点，慢慢跟</t>
        </is>
      </c>
      <c r="T529" t="inlineStr">
        <is>
          <t>B-437</t>
        </is>
      </c>
      <c r="U529" t="inlineStr"/>
      <c r="V529" t="inlineStr"/>
    </row>
    <row r="530">
      <c r="A530" t="inlineStr">
        <is>
          <t>Jeroen Bleuel</t>
        </is>
      </c>
      <c r="B530" t="inlineStr">
        <is>
          <t>荷兰</t>
        </is>
      </c>
      <c r="C530" t="inlineStr">
        <is>
          <t>Reduzum</t>
        </is>
      </c>
      <c r="D530" t="inlineStr"/>
      <c r="E530" t="inlineStr">
        <is>
          <t>集成商/顾问（MikroTik 认证）</t>
        </is>
      </c>
      <c r="F530" t="inlineStr">
        <is>
          <t>MikroTik 认证顾问 MTCNA+MTCRE+MTCSE</t>
        </is>
      </c>
      <c r="G530" t="inlineStr">
        <is>
          <t>否</t>
        </is>
      </c>
      <c r="H530" t="inlineStr">
        <is>
          <t>MikroTik 认证顾问：自己做方案/集成/运维并自行采购设备 → 用 ERPS/IGMP/VLAN/CLI/MIB 这类技术语言切入，不打价格战</t>
        </is>
      </c>
      <c r="I530" t="inlineStr">
        <is>
          <t>LT-S8328G-4XS24GT-S</t>
        </is>
      </c>
      <c r="J530" t="inlineStr">
        <is>
          <t>+31 6 38920124 / jeroen.bleuel@gmail.com</t>
        </is>
      </c>
      <c r="K530" t="inlineStr">
        <is>
          <t>★★</t>
        </is>
      </c>
      <c r="L530" t="inlineStr">
        <is>
          <t>未触达</t>
        </is>
      </c>
      <c r="M530" t="inlineStr">
        <is>
          <t>2026-09-22</t>
        </is>
      </c>
      <c r="N530" t="inlineStr"/>
      <c r="O530" t="inlineStr"/>
      <c r="P530" t="inlineStr"/>
      <c r="Q530" t="inlineStr">
        <is>
          <t>英德荷三语</t>
        </is>
      </c>
      <c r="R530" t="inlineStr">
        <is>
          <t>B</t>
        </is>
      </c>
      <c r="S530" t="inlineStr">
        <is>
          <t>通用分销商信号，无差异化切入点，慢慢跟</t>
        </is>
      </c>
      <c r="T530" t="inlineStr">
        <is>
          <t>B-438</t>
        </is>
      </c>
      <c r="U530" t="inlineStr"/>
      <c r="V530" t="inlineStr"/>
    </row>
    <row r="531">
      <c r="A531" t="inlineStr">
        <is>
          <t>Lextron B.V.</t>
        </is>
      </c>
      <c r="B531" t="inlineStr">
        <is>
          <t>荷兰</t>
        </is>
      </c>
      <c r="C531" t="inlineStr"/>
      <c r="D531" t="inlineStr">
        <is>
          <t>lextron.nl</t>
        </is>
      </c>
      <c r="E531" t="inlineStr">
        <is>
          <t>分销（ORing 授权）</t>
        </is>
      </c>
      <c r="F531" t="inlineStr">
        <is>
          <t>ORing</t>
        </is>
      </c>
      <c r="G531" t="inlineStr">
        <is>
          <t>否</t>
        </is>
      </c>
      <c r="H531" t="inlineStr">
        <is>
          <t>荷兰工业网络分销</t>
        </is>
      </c>
      <c r="I531" t="inlineStr">
        <is>
          <t>LT-IS6312XG-4XS8GT</t>
        </is>
      </c>
      <c r="J531" t="inlineStr">
        <is>
          <t>+31 162 220229</t>
        </is>
      </c>
      <c r="K531" t="inlineStr">
        <is>
          <t>★★★</t>
        </is>
      </c>
      <c r="L531" t="inlineStr">
        <is>
          <t>未触达</t>
        </is>
      </c>
      <c r="M531" t="inlineStr">
        <is>
          <t>ORing经销商名录/2026-09</t>
        </is>
      </c>
      <c r="N531" t="inlineStr"/>
      <c r="O531" t="inlineStr"/>
      <c r="P531" t="inlineStr"/>
      <c r="Q531" t="inlineStr">
        <is>
          <t>【待补】本行由分销商名录批量导入，三星依据仅为渠道等级（分销（ORing 授权））与「ORing」，尚无人工核实。建议先查证其是否已有工业交换机 / PoE++ 产品线，再定切入型号</t>
        </is>
      </c>
      <c r="R531" t="inlineStr">
        <is>
          <t>C</t>
        </is>
      </c>
      <c r="S53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31" t="inlineStr">
        <is>
          <t>C-291</t>
        </is>
      </c>
      <c r="U531" t="inlineStr">
        <is>
          <t>B下放·无邮箱（群发触达不到）</t>
        </is>
      </c>
      <c r="V531" t="inlineStr"/>
    </row>
    <row r="532">
      <c r="A532" t="inlineStr">
        <is>
          <t>Maurice van der Grijspaarde / GPE Networks</t>
        </is>
      </c>
      <c r="B532" t="inlineStr">
        <is>
          <t>荷兰</t>
        </is>
      </c>
      <c r="C532" t="inlineStr">
        <is>
          <t>Haarlem</t>
        </is>
      </c>
      <c r="D532" t="inlineStr">
        <is>
          <t>gpe-networks.com</t>
        </is>
      </c>
      <c r="E532" t="inlineStr">
        <is>
          <t>集成商/顾问（MikroTik 认证）</t>
        </is>
      </c>
      <c r="F532" t="inlineStr">
        <is>
          <t>MikroTik 认证顾问 10 证全拿</t>
        </is>
      </c>
      <c r="G532" t="inlineStr">
        <is>
          <t>否</t>
        </is>
      </c>
      <c r="H532" t="inlineStr">
        <is>
          <t>MikroTik 认证顾问：自己做方案/集成/运维并自行采购设备 → 用 ERPS/IGMP/VLAN/CLI/MIB 这类技术语言切入，不打价格战</t>
        </is>
      </c>
      <c r="I532" t="inlineStr">
        <is>
          <t>LT-S8328XGP-4XS24GT-S</t>
        </is>
      </c>
      <c r="J532" t="inlineStr">
        <is>
          <t>+31 23 7640540 / info@gpe-networks.com</t>
        </is>
      </c>
      <c r="K532" t="inlineStr">
        <is>
          <t>★★★</t>
        </is>
      </c>
      <c r="L532" t="inlineStr">
        <is>
          <t>未触达</t>
        </is>
      </c>
      <c r="M532" t="inlineStr">
        <is>
          <t>2026-09-22</t>
        </is>
      </c>
      <c r="N532" t="inlineStr"/>
      <c r="O532" t="inlineStr"/>
      <c r="P532" t="inlineStr"/>
      <c r="Q532" t="inlineStr">
        <is>
          <t>★ 10 证全拿；2015 年起专职 MikroTik，专做复杂场景方案</t>
        </is>
      </c>
      <c r="R532" t="inlineStr">
        <is>
          <t>B</t>
        </is>
      </c>
      <c r="S532" t="inlineStr">
        <is>
          <t>通用分销商信号，无差异化切入点，慢慢跟</t>
        </is>
      </c>
      <c r="T532" t="inlineStr">
        <is>
          <t>B-440</t>
        </is>
      </c>
      <c r="U532" t="inlineStr"/>
      <c r="V532" t="inlineStr"/>
    </row>
    <row r="533">
      <c r="A533" t="inlineStr">
        <is>
          <t>Menno van Krimpen / Libernet</t>
        </is>
      </c>
      <c r="B533" t="inlineStr">
        <is>
          <t>荷兰</t>
        </is>
      </c>
      <c r="C533" t="inlineStr">
        <is>
          <t>Werkendam</t>
        </is>
      </c>
      <c r="D533" t="inlineStr">
        <is>
          <t>libernet.nl</t>
        </is>
      </c>
      <c r="E533" t="inlineStr">
        <is>
          <t>集成商/顾问（MikroTik 认证）</t>
        </is>
      </c>
      <c r="F533" t="inlineStr">
        <is>
          <t>MikroTik 认证顾问 MTCNA+MTCRE+MTCWE</t>
        </is>
      </c>
      <c r="G533" t="inlineStr">
        <is>
          <t>否</t>
        </is>
      </c>
      <c r="H533" t="inlineStr">
        <is>
          <t>MikroTik 认证顾问：自己做方案/集成/运维并自行采购设备 → 用 ERPS/IGMP/VLAN/CLI/MIB 这类技术语言切入，不打价格战</t>
        </is>
      </c>
      <c r="I533" t="inlineStr">
        <is>
          <t>LT-S8328XG-4XS24GT-S</t>
        </is>
      </c>
      <c r="J533" t="inlineStr">
        <is>
          <t>+31 85 902 1012 / info@libernet.nl</t>
        </is>
      </c>
      <c r="K533" t="inlineStr">
        <is>
          <t>★★★</t>
        </is>
      </c>
      <c r="L533" t="inlineStr">
        <is>
          <t>未触达</t>
        </is>
      </c>
      <c r="M533" t="inlineStr">
        <is>
          <t>2026-09-22</t>
        </is>
      </c>
      <c r="N533" t="inlineStr"/>
      <c r="O533" t="inlineStr"/>
      <c r="P533" t="inlineStr"/>
      <c r="Q533" t="inlineStr">
        <is>
          <t>★ 荷兰第一位 MikroTik 认证讲师；资深 WISP 运营商，PtP/PtMP、VoIP、Hotspot、流量整形、负载均衡；可上门培训</t>
        </is>
      </c>
      <c r="R533" t="inlineStr">
        <is>
          <t>B</t>
        </is>
      </c>
      <c r="S533" t="inlineStr">
        <is>
          <t>有信号（ISP/骨干、影响力/渠道）但需先验证需求或联系人不具体</t>
        </is>
      </c>
      <c r="T533" t="inlineStr">
        <is>
          <t>B-441</t>
        </is>
      </c>
      <c r="U533" t="inlineStr"/>
      <c r="V533" t="inlineStr"/>
    </row>
    <row r="534">
      <c r="A534" t="inlineStr">
        <is>
          <t>Michiel Visser / Connection Services</t>
        </is>
      </c>
      <c r="B534" t="inlineStr">
        <is>
          <t>荷兰</t>
        </is>
      </c>
      <c r="C534" t="inlineStr">
        <is>
          <t>Deventer</t>
        </is>
      </c>
      <c r="D534" t="inlineStr">
        <is>
          <t>connectionservices.nl</t>
        </is>
      </c>
      <c r="E534" t="inlineStr">
        <is>
          <t>集成商/顾问（MikroTik 认证）</t>
        </is>
      </c>
      <c r="F534" t="inlineStr">
        <is>
          <t>MikroTik 认证顾问 MTCNA+MTCRE+MTCWE+MTCINE+MTCIPv6E+MTCSE</t>
        </is>
      </c>
      <c r="G534" t="inlineStr">
        <is>
          <t>否</t>
        </is>
      </c>
      <c r="H534" t="inlineStr">
        <is>
          <t>MikroTik 认证顾问：自己做方案/集成/运维并自行采购设备 → 用 ERPS/IGMP/VLAN/CLI/MIB 这类技术语言切入，不打价格战</t>
        </is>
      </c>
      <c r="I534" t="inlineStr">
        <is>
          <t>LT-S8328XGP-4XS24GT-S</t>
        </is>
      </c>
      <c r="J534" t="inlineStr">
        <is>
          <t>+31 6 29047127 / michiel@connectionservices.nl</t>
        </is>
      </c>
      <c r="K534" t="inlineStr">
        <is>
          <t>★★★</t>
        </is>
      </c>
      <c r="L534" t="inlineStr">
        <is>
          <t>未触达</t>
        </is>
      </c>
      <c r="M534" t="inlineStr">
        <is>
          <t>2026-09-22</t>
        </is>
      </c>
      <c r="N534" t="inlineStr"/>
      <c r="O534" t="inlineStr"/>
      <c r="P534" t="inlineStr"/>
      <c r="Q534" t="inlineStr">
        <is>
          <t>含 MTCINE（ISP 互联）+ MTCWE（无线）</t>
        </is>
      </c>
      <c r="R534" t="inlineStr">
        <is>
          <t>B</t>
        </is>
      </c>
      <c r="S534" t="inlineStr">
        <is>
          <t>有信号（ISP/骨干）但需先验证需求或联系人不具体</t>
        </is>
      </c>
      <c r="T534" t="inlineStr">
        <is>
          <t>B-442</t>
        </is>
      </c>
      <c r="U534" t="inlineStr"/>
      <c r="V534" t="inlineStr"/>
    </row>
    <row r="535">
      <c r="A535" t="inlineStr">
        <is>
          <t>MikroTrain（荷兰 MikroTik 培训）</t>
        </is>
      </c>
      <c r="B535" t="inlineStr">
        <is>
          <t>荷兰</t>
        </is>
      </c>
      <c r="C535" t="inlineStr"/>
      <c r="D535" t="inlineStr">
        <is>
          <t>mikrotrain.nl</t>
        </is>
      </c>
      <c r="E535" t="inlineStr">
        <is>
          <t>集成商/顾问（MikroTik 认证）</t>
        </is>
      </c>
      <c r="F535" t="inlineStr">
        <is>
          <t>MikroTik 认证顾问 认证讲师（教 MTCNA→MTCINE 全部课程）</t>
        </is>
      </c>
      <c r="G535" t="inlineStr">
        <is>
          <t>否</t>
        </is>
      </c>
      <c r="H535" t="inlineStr">
        <is>
          <t>MikroTik 认证顾问：自己做方案/集成/运维并自行采购设备 → 用 ERPS/IGMP/VLAN/CLI/MIB 这类技术语言切入，不打价格战</t>
        </is>
      </c>
      <c r="I535" t="inlineStr">
        <is>
          <t>LT-S8328XG-4XS24GT-S</t>
        </is>
      </c>
      <c r="J535" t="inlineStr">
        <is>
          <t>+31 6 12224005 / info@mikrotrain.nl</t>
        </is>
      </c>
      <c r="K535" t="inlineStr">
        <is>
          <t>★★★</t>
        </is>
      </c>
      <c r="L535" t="inlineStr">
        <is>
          <t>未触达</t>
        </is>
      </c>
      <c r="M535" t="inlineStr">
        <is>
          <t>2026-09-22</t>
        </is>
      </c>
      <c r="N535" t="inlineStr"/>
      <c r="O535" t="inlineStr"/>
      <c r="P535" t="inlineStr"/>
      <c r="Q535" t="inlineStr">
        <is>
          <t>★ 荷兰 MikroTik 培训机构，教全部等级课程；也接项目支持、WiFi 测试、站点勘测、安全评估</t>
        </is>
      </c>
      <c r="R535" t="inlineStr">
        <is>
          <t>B</t>
        </is>
      </c>
      <c r="S535" t="inlineStr">
        <is>
          <t>有信号（影响力/渠道）但需先验证需求或联系人不具体</t>
        </is>
      </c>
      <c r="T535" t="inlineStr">
        <is>
          <t>B-443</t>
        </is>
      </c>
      <c r="U535" t="inlineStr"/>
      <c r="V535" t="inlineStr"/>
    </row>
    <row r="536">
      <c r="A536" t="inlineStr">
        <is>
          <t>Robbin van den Berg / RvdB ICT</t>
        </is>
      </c>
      <c r="B536" t="inlineStr">
        <is>
          <t>荷兰</t>
        </is>
      </c>
      <c r="C536" t="inlineStr">
        <is>
          <t>IJsselstein</t>
        </is>
      </c>
      <c r="D536" t="inlineStr">
        <is>
          <t>rvdbict.nl</t>
        </is>
      </c>
      <c r="E536" t="inlineStr">
        <is>
          <t>集成商/顾问（MikroTik 认证）</t>
        </is>
      </c>
      <c r="F536" t="inlineStr">
        <is>
          <t>MikroTik 认证顾问 MTCNA+MTCSE</t>
        </is>
      </c>
      <c r="G536" t="inlineStr">
        <is>
          <t>否</t>
        </is>
      </c>
      <c r="H536" t="inlineStr">
        <is>
          <t>MikroTik 认证顾问：自己做方案/集成/运维并自行采购设备 → 用 ERPS/IGMP/VLAN/CLI/MIB 这类技术语言切入，不打价格战</t>
        </is>
      </c>
      <c r="I536" t="inlineStr">
        <is>
          <t>LT-S8328G-4XS24GT-S</t>
        </is>
      </c>
      <c r="J536" t="inlineStr">
        <is>
          <t>+31 6 19600106 / Info@rvdbict.nl</t>
        </is>
      </c>
      <c r="K536" t="inlineStr">
        <is>
          <t>★★</t>
        </is>
      </c>
      <c r="L536" t="inlineStr">
        <is>
          <t>未触达</t>
        </is>
      </c>
      <c r="M536" t="inlineStr">
        <is>
          <t>2026-09-22</t>
        </is>
      </c>
      <c r="N536" t="inlineStr"/>
      <c r="O536" t="inlineStr"/>
      <c r="P536" t="inlineStr"/>
      <c r="Q536" t="inlineStr">
        <is>
          <t>【2026-09-23】另经 MikroTik 官方认证顾问名录确认其为认证顾问，持 MTCRE、MTCSE；驻 IJsselstein。</t>
        </is>
      </c>
      <c r="R536" t="inlineStr">
        <is>
          <t>B</t>
        </is>
      </c>
      <c r="S536" t="inlineStr">
        <is>
          <t>通用分销商信号，无差异化切入点，慢慢跟</t>
        </is>
      </c>
      <c r="T536" t="inlineStr">
        <is>
          <t>B-444</t>
        </is>
      </c>
      <c r="U536" t="inlineStr"/>
      <c r="V536" t="inlineStr"/>
    </row>
    <row r="537">
      <c r="A537" t="inlineStr">
        <is>
          <t>Routershop.nl</t>
        </is>
      </c>
      <c r="B537" t="inlineStr">
        <is>
          <t>荷兰</t>
        </is>
      </c>
      <c r="C537" t="inlineStr"/>
      <c r="D537" t="inlineStr">
        <is>
          <t>routershop.nl</t>
        </is>
      </c>
      <c r="E537" t="inlineStr">
        <is>
          <t>分销（MikroTik 官方）</t>
        </is>
      </c>
      <c r="F537" t="inlineStr">
        <is>
          <t>MikroTik（Reseller）</t>
        </is>
      </c>
      <c r="G537" t="inlineStr">
        <is>
          <t>否</t>
        </is>
      </c>
      <c r="H537" t="inlineStr">
        <is>
          <t>域名就是 routershop → 单品牌依赖极高，最容易切第二品牌</t>
        </is>
      </c>
      <c r="I537" t="inlineStr">
        <is>
          <t>LT-IS6312XGP-4XS8GT</t>
        </is>
      </c>
      <c r="J537" t="inlineStr">
        <is>
          <t>030 669 14222 / info@routershop.nl</t>
        </is>
      </c>
      <c r="K537" t="inlineStr">
        <is>
          <t>★★★</t>
        </is>
      </c>
      <c r="L537" t="inlineStr">
        <is>
          <t>未触达</t>
        </is>
      </c>
      <c r="M537" t="inlineStr">
        <is>
          <t>2026-09-22</t>
        </is>
      </c>
      <c r="N537" t="inlineStr"/>
      <c r="O537" t="inlineStr"/>
      <c r="P537" t="inlineStr"/>
      <c r="Q537" t="inlineStr">
        <is>
          <t>Utrecht</t>
        </is>
      </c>
      <c r="R537" t="inlineStr">
        <is>
          <t>B</t>
        </is>
      </c>
      <c r="S537" t="inlineStr">
        <is>
          <t>通用分销商信号，无差异化切入点，慢慢跟</t>
        </is>
      </c>
      <c r="T537" t="inlineStr">
        <is>
          <t>B-445</t>
        </is>
      </c>
      <c r="U537" t="inlineStr"/>
      <c r="V537" t="inlineStr"/>
    </row>
    <row r="538">
      <c r="A538" t="inlineStr">
        <is>
          <t>SDC Group</t>
        </is>
      </c>
      <c r="B538" t="inlineStr">
        <is>
          <t>荷兰</t>
        </is>
      </c>
      <c r="C538" t="inlineStr"/>
      <c r="D538" t="inlineStr">
        <is>
          <t>sdcgroup.nl</t>
        </is>
      </c>
      <c r="E538" t="inlineStr">
        <is>
          <t>分销（MikroTik 官方）</t>
        </is>
      </c>
      <c r="F538" t="inlineStr">
        <is>
          <t>MikroTik（Master+VAD）</t>
        </is>
      </c>
      <c r="G538" t="inlineStr">
        <is>
          <t>否</t>
        </is>
      </c>
      <c r="H538" t="inlineStr">
        <is>
          <t>MikroTik 官方分销，商用线可直接比价，工业线为零 → 新品类增量</t>
        </is>
      </c>
      <c r="I538" t="inlineStr">
        <is>
          <t>LT-S8328GP-4GX24GT</t>
        </is>
      </c>
      <c r="J538" t="inlineStr">
        <is>
          <t>+31 314 371 111 / verkoop@sdcgroup.nl</t>
        </is>
      </c>
      <c r="K538" t="inlineStr">
        <is>
          <t>★★★</t>
        </is>
      </c>
      <c r="L538" t="inlineStr">
        <is>
          <t>未触达</t>
        </is>
      </c>
      <c r="M538" t="inlineStr">
        <is>
          <t>2026-09-22</t>
        </is>
      </c>
      <c r="N538" t="inlineStr"/>
      <c r="O538" t="inlineStr"/>
      <c r="P538" t="inlineStr"/>
      <c r="Q538" t="inlineStr">
        <is>
          <t>Doetinchem</t>
        </is>
      </c>
      <c r="R538" t="inlineStr">
        <is>
          <t>B</t>
        </is>
      </c>
      <c r="S538" t="inlineStr">
        <is>
          <t>通用分销商信号，无差异化切入点，慢慢跟</t>
        </is>
      </c>
      <c r="T538" t="inlineStr">
        <is>
          <t>B-446</t>
        </is>
      </c>
      <c r="U538" t="inlineStr"/>
      <c r="V538" t="inlineStr"/>
    </row>
    <row r="539">
      <c r="A539" t="inlineStr">
        <is>
          <t>Stephan Szarafinski / MNW</t>
        </is>
      </c>
      <c r="B539" t="inlineStr">
        <is>
          <t>荷兰</t>
        </is>
      </c>
      <c r="C539" t="inlineStr">
        <is>
          <t>Bussum</t>
        </is>
      </c>
      <c r="D539" t="inlineStr">
        <is>
          <t>mnw.nl</t>
        </is>
      </c>
      <c r="E539" t="inlineStr">
        <is>
          <t>集成商/顾问（MikroTik 认证）</t>
        </is>
      </c>
      <c r="F539" t="inlineStr">
        <is>
          <t>MikroTik 认证顾问 MTCNA+MTCRE+MTCWE</t>
        </is>
      </c>
      <c r="G539" t="inlineStr">
        <is>
          <t>否</t>
        </is>
      </c>
      <c r="H539" t="inlineStr">
        <is>
          <t>MikroTik 认证顾问：自己做方案/集成/运维并自行采购设备 → 用 ERPS/IGMP/VLAN/CLI/MIB 这类技术语言切入，不打价格战</t>
        </is>
      </c>
      <c r="I539" t="inlineStr">
        <is>
          <t>LT-S8328G-4XS24GT-S</t>
        </is>
      </c>
      <c r="J539" t="inlineStr">
        <is>
          <t>+31 35 6426800 / stephan@mnw.nl</t>
        </is>
      </c>
      <c r="K539" t="inlineStr">
        <is>
          <t>★★★</t>
        </is>
      </c>
      <c r="L539" t="inlineStr">
        <is>
          <t>未触达</t>
        </is>
      </c>
      <c r="M539" t="inlineStr">
        <is>
          <t>2026-09-22</t>
        </is>
      </c>
      <c r="N539" t="inlineStr"/>
      <c r="O539" t="inlineStr"/>
      <c r="P539" t="inlineStr"/>
      <c r="Q539" t="inlineStr">
        <is>
          <t>自述 2003 年起做 MikroTik 专家 → 荷兰最早一批用户，影响力型</t>
        </is>
      </c>
      <c r="R539" t="inlineStr">
        <is>
          <t>B</t>
        </is>
      </c>
      <c r="S539" t="inlineStr">
        <is>
          <t>通用分销商信号，无差异化切入点，慢慢跟</t>
        </is>
      </c>
      <c r="T539" t="inlineStr">
        <is>
          <t>B-447</t>
        </is>
      </c>
      <c r="U539" t="inlineStr"/>
      <c r="V539" t="inlineStr"/>
    </row>
    <row r="540">
      <c r="A540" t="inlineStr">
        <is>
          <t>Wimood（wimoodshop.nl）</t>
        </is>
      </c>
      <c r="B540" t="inlineStr">
        <is>
          <t>荷兰</t>
        </is>
      </c>
      <c r="C540" t="inlineStr"/>
      <c r="D540" t="inlineStr">
        <is>
          <t>wimoodshop.nl</t>
        </is>
      </c>
      <c r="E540" t="inlineStr">
        <is>
          <t>分销（MikroTik 官方）</t>
        </is>
      </c>
      <c r="F540" t="inlineStr">
        <is>
          <t>MikroTik（Master+VAD）</t>
        </is>
      </c>
      <c r="G540" t="inlineStr">
        <is>
          <t>否</t>
        </is>
      </c>
      <c r="H540" t="inlineStr">
        <is>
          <t>MikroTik 官方分销，商用线可直接比价，工业线为零 → 新品类增量</t>
        </is>
      </c>
      <c r="I540" t="inlineStr">
        <is>
          <t>LT-S8328XG-4XS8GT-S</t>
        </is>
      </c>
      <c r="J540" t="inlineStr">
        <is>
          <t>+31 187 82 0204 / info@wimood.nl</t>
        </is>
      </c>
      <c r="K540" t="inlineStr">
        <is>
          <t>★★★</t>
        </is>
      </c>
      <c r="L540" t="inlineStr">
        <is>
          <t>未触达</t>
        </is>
      </c>
      <c r="M540" t="inlineStr">
        <is>
          <t>2026-09-22</t>
        </is>
      </c>
      <c r="N540" t="inlineStr"/>
      <c r="O540" t="inlineStr"/>
      <c r="P540" t="inlineStr"/>
      <c r="Q540" t="inlineStr">
        <is>
          <t>Goedereede</t>
        </is>
      </c>
      <c r="R540" t="inlineStr">
        <is>
          <t>B</t>
        </is>
      </c>
      <c r="S540" t="inlineStr">
        <is>
          <t>通用分销商信号，无差异化切入点，慢慢跟</t>
        </is>
      </c>
      <c r="T540" t="inlineStr">
        <is>
          <t>B-448</t>
        </is>
      </c>
      <c r="U540" t="inlineStr"/>
      <c r="V540" t="inlineStr"/>
    </row>
    <row r="541">
      <c r="A541" t="inlineStr">
        <is>
          <t>Koning &amp; Hartman B.V.</t>
        </is>
      </c>
      <c r="B541" t="inlineStr">
        <is>
          <t>荷兰/比利时</t>
        </is>
      </c>
      <c r="C541" t="inlineStr"/>
      <c r="D541" t="inlineStr">
        <is>
          <t>koningenhartman.com</t>
        </is>
      </c>
      <c r="E541" t="inlineStr">
        <is>
          <t>分销（ORing 授权）</t>
        </is>
      </c>
      <c r="F541" t="inlineStr">
        <is>
          <t>ORing</t>
        </is>
      </c>
      <c r="G541" t="inlineStr">
        <is>
          <t>否</t>
        </is>
      </c>
      <c r="H541" t="inlineStr">
        <is>
          <t>Benelux 工业网络分销，第二供应源</t>
        </is>
      </c>
      <c r="I541" t="inlineStr">
        <is>
          <t>LT-IS6312XG-4XS8GT</t>
        </is>
      </c>
      <c r="J541" t="inlineStr">
        <is>
          <t>+31-88-1818 666 / +32 2 257 02 00</t>
        </is>
      </c>
      <c r="K541" t="inlineStr">
        <is>
          <t>★★★</t>
        </is>
      </c>
      <c r="L541" t="inlineStr">
        <is>
          <t>未触达</t>
        </is>
      </c>
      <c r="M541" t="inlineStr">
        <is>
          <t>ORing经销商名录/2026-09</t>
        </is>
      </c>
      <c r="N541" t="inlineStr"/>
      <c r="O541" t="inlineStr"/>
      <c r="P541" t="inlineStr"/>
      <c r="Q541" t="inlineStr">
        <is>
          <t>比荷卢全覆盖 【范围外】不在本次目标区域（欧洲+美加）内，暂不触达，留档备用</t>
        </is>
      </c>
      <c r="R541" t="inlineStr">
        <is>
          <t>C</t>
        </is>
      </c>
      <c r="S54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1" t="inlineStr">
        <is>
          <t>C-292</t>
        </is>
      </c>
      <c r="U541" t="inlineStr">
        <is>
          <t>B下放·无邮箱（群发触达不到）</t>
        </is>
      </c>
      <c r="V541" t="inlineStr"/>
    </row>
    <row r="542">
      <c r="A542" t="inlineStr">
        <is>
          <t>SmartSD</t>
        </is>
      </c>
      <c r="B542" t="inlineStr">
        <is>
          <t>荷兰/比利时/法国</t>
        </is>
      </c>
      <c r="C542" t="inlineStr"/>
      <c r="D542" t="inlineStr">
        <is>
          <t>smartsd.com</t>
        </is>
      </c>
      <c r="E542" t="inlineStr">
        <is>
          <t>分销（ComNet 授权）</t>
        </is>
      </c>
      <c r="F542" t="inlineStr">
        <is>
          <t>ComNet</t>
        </is>
      </c>
      <c r="G542" t="inlineStr">
        <is>
          <t>否</t>
        </is>
      </c>
      <c r="H542" t="inlineStr">
        <is>
          <t>安防传输分销 → PoE 交换机是配套品类</t>
        </is>
      </c>
      <c r="I542" t="inlineStr">
        <is>
          <t>LT-IS6320G-4GX16GT-D</t>
        </is>
      </c>
      <c r="J542" t="inlineStr">
        <is>
          <t>smartsd.com</t>
        </is>
      </c>
      <c r="K542" t="inlineStr">
        <is>
          <t>★★★</t>
        </is>
      </c>
      <c r="L542" t="inlineStr">
        <is>
          <t>未触达</t>
        </is>
      </c>
      <c r="M542" t="inlineStr">
        <is>
          <t>2026-09-22</t>
        </is>
      </c>
      <c r="N542" t="inlineStr"/>
      <c r="O542" t="inlineStr"/>
      <c r="P542" t="inlineStr"/>
      <c r="Q542" t="inlineStr">
        <is>
          <t>ComNet 比荷卢+法国分销 【范围外】不在本次目标区域（欧洲+美加）内，暂不触达，留档备用</t>
        </is>
      </c>
      <c r="R542" t="inlineStr">
        <is>
          <t>C</t>
        </is>
      </c>
      <c r="S542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2" t="inlineStr">
        <is>
          <t>C-293</t>
        </is>
      </c>
      <c r="U542" t="inlineStr">
        <is>
          <t>B下放·无邮箱（群发触达不到）</t>
        </is>
      </c>
      <c r="V542" t="inlineStr"/>
    </row>
    <row r="543">
      <c r="A543" t="inlineStr">
        <is>
          <t>Bruno Caiola Ricardo / Sinaltech</t>
        </is>
      </c>
      <c r="B543" t="inlineStr">
        <is>
          <t>葡萄牙</t>
        </is>
      </c>
      <c r="C543" t="inlineStr">
        <is>
          <t>Sintra</t>
        </is>
      </c>
      <c r="D543" t="inlineStr">
        <is>
          <t>sinaltech.pt</t>
        </is>
      </c>
      <c r="E543" t="inlineStr">
        <is>
          <t>集成商/顾问（MikroTik 认证）</t>
        </is>
      </c>
      <c r="F543" t="inlineStr">
        <is>
          <t>MikroTik 认证顾问 MTCNA+MTCRE</t>
        </is>
      </c>
      <c r="G543" t="inlineStr">
        <is>
          <t>否</t>
        </is>
      </c>
      <c r="H543" t="inlineStr">
        <is>
          <t>MikroTik 认证顾问：自己做方案/集成/运维并自行采购设备 → 用 ERPS/IGMP/VLAN/CLI/MIB 这类技术语言切入，不打价格战</t>
        </is>
      </c>
      <c r="I543" t="inlineStr">
        <is>
          <t>LT-S8328G-4XS24GT-S</t>
        </is>
      </c>
      <c r="J543" t="inlineStr">
        <is>
          <t>+351 931 048 461 / bruno.ricardo@sinaltech.pt</t>
        </is>
      </c>
      <c r="K543" t="inlineStr">
        <is>
          <t>★★</t>
        </is>
      </c>
      <c r="L543" t="inlineStr">
        <is>
          <t>未触达</t>
        </is>
      </c>
      <c r="M543" t="inlineStr">
        <is>
          <t>2026-09-22</t>
        </is>
      </c>
      <c r="N543" t="inlineStr"/>
      <c r="O543" t="inlineStr"/>
      <c r="P543" t="inlineStr"/>
      <c r="Q543" t="inlineStr"/>
      <c r="R543" t="inlineStr">
        <is>
          <t>B</t>
        </is>
      </c>
      <c r="S543" t="inlineStr">
        <is>
          <t>通用分销商信号，无差异化切入点，慢慢跟</t>
        </is>
      </c>
      <c r="T543" t="inlineStr">
        <is>
          <t>B-451</t>
        </is>
      </c>
      <c r="U543" t="inlineStr"/>
      <c r="V543" t="inlineStr"/>
    </row>
    <row r="544">
      <c r="A544" t="inlineStr">
        <is>
          <t>Camacho / Engenheiros</t>
        </is>
      </c>
      <c r="B544" t="inlineStr">
        <is>
          <t>葡萄牙</t>
        </is>
      </c>
      <c r="C544" t="inlineStr"/>
      <c r="D544" t="inlineStr">
        <is>
          <t>engenheiros.pt</t>
        </is>
      </c>
      <c r="E544" t="inlineStr">
        <is>
          <t>集成商/顾问（MikroTik 认证）</t>
        </is>
      </c>
      <c r="F544" t="inlineStr">
        <is>
          <t xml:space="preserve">MikroTik 认证顾问 </t>
        </is>
      </c>
      <c r="G544" t="inlineStr">
        <is>
          <t>否</t>
        </is>
      </c>
      <c r="H544" t="inlineStr">
        <is>
          <t>MikroTik 认证顾问：自己做方案/集成/运维并自行采购设备 → 用 ERPS/IGMP/VLAN/CLI/MIB 这类技术语言切入，不打价格战</t>
        </is>
      </c>
      <c r="I544" t="inlineStr">
        <is>
          <t>LT-S8328G-4XS24GT-S</t>
        </is>
      </c>
      <c r="J544" t="inlineStr">
        <is>
          <t>+351 965 869 277 / camacho@engenheiros.pt</t>
        </is>
      </c>
      <c r="K544" t="inlineStr">
        <is>
          <t>★★</t>
        </is>
      </c>
      <c r="L544" t="inlineStr">
        <is>
          <t>未触达</t>
        </is>
      </c>
      <c r="M544" t="inlineStr">
        <is>
          <t>2026-09-22</t>
        </is>
      </c>
      <c r="N544" t="inlineStr"/>
      <c r="O544" t="inlineStr"/>
      <c r="P544" t="inlineStr"/>
      <c r="Q544" t="inlineStr"/>
      <c r="R544" t="inlineStr">
        <is>
          <t>B</t>
        </is>
      </c>
      <c r="S544" t="inlineStr">
        <is>
          <t>通用分销商信号，无差异化切入点，慢慢跟</t>
        </is>
      </c>
      <c r="T544" t="inlineStr">
        <is>
          <t>B-452</t>
        </is>
      </c>
      <c r="U544" t="inlineStr"/>
      <c r="V544" t="inlineStr"/>
    </row>
    <row r="545">
      <c r="A545" t="inlineStr">
        <is>
          <t>MVA - Electrotécnia</t>
        </is>
      </c>
      <c r="B545" t="inlineStr">
        <is>
          <t>葡萄牙</t>
        </is>
      </c>
      <c r="C545" t="inlineStr"/>
      <c r="D545" t="inlineStr">
        <is>
          <t>mva.pt</t>
        </is>
      </c>
      <c r="E545" t="inlineStr">
        <is>
          <t>分销（Westermo Reseller）</t>
        </is>
      </c>
      <c r="F545" t="inlineStr">
        <is>
          <t>Westermo</t>
        </is>
      </c>
      <c r="G545" t="inlineStr">
        <is>
          <t>否</t>
        </is>
      </c>
      <c r="H545" t="inlineStr">
        <is>
          <t>工业/轨道同规格 1/3 价第二供应源</t>
        </is>
      </c>
      <c r="I545" t="inlineStr">
        <is>
          <t>LT-IS6312XG-4XS8GT</t>
        </is>
      </c>
      <c r="J545" t="inlineStr">
        <is>
          <t>+351 214 879 000</t>
        </is>
      </c>
      <c r="K545" t="inlineStr">
        <is>
          <t>★★</t>
        </is>
      </c>
      <c r="L545" t="inlineStr">
        <is>
          <t>未触达</t>
        </is>
      </c>
      <c r="M545" t="inlineStr">
        <is>
          <t>2026-09-22</t>
        </is>
      </c>
      <c r="N545" t="inlineStr"/>
      <c r="O545" t="inlineStr"/>
      <c r="P545" t="inlineStr"/>
      <c r="Q545" t="inlineStr">
        <is>
          <t>【2026-09-23】Westermo 官方 where-to-buy 名录确认的分销商。葡萄牙 reseller（本地库存）。</t>
        </is>
      </c>
      <c r="R545" t="inlineStr">
        <is>
          <t>C</t>
        </is>
      </c>
      <c r="S545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45" t="inlineStr">
        <is>
          <t>C-294</t>
        </is>
      </c>
      <c r="U545" t="inlineStr">
        <is>
          <t>B下放·无邮箱（群发触达不到）</t>
        </is>
      </c>
      <c r="V545" t="inlineStr"/>
    </row>
    <row r="546">
      <c r="A546" t="inlineStr">
        <is>
          <t>Officelan</t>
        </is>
      </c>
      <c r="B546" t="inlineStr">
        <is>
          <t>葡萄牙</t>
        </is>
      </c>
      <c r="C546" t="inlineStr"/>
      <c r="D546" t="inlineStr">
        <is>
          <t>shop.officelan.pt</t>
        </is>
      </c>
      <c r="E546" t="inlineStr">
        <is>
          <t>分销（MikroTik 官方）</t>
        </is>
      </c>
      <c r="F546" t="inlineStr">
        <is>
          <t>MikroTik（Master+VAD）</t>
        </is>
      </c>
      <c r="G546" t="inlineStr">
        <is>
          <t>否</t>
        </is>
      </c>
      <c r="H546" t="inlineStr">
        <is>
          <t>MikroTik 官方分销，商用线可直接比价，工业线为零 → 新品类增量</t>
        </is>
      </c>
      <c r="I546" t="inlineStr">
        <is>
          <t>LT-S8328XG-4XS8GT-S</t>
        </is>
      </c>
      <c r="J546" t="inlineStr">
        <is>
          <t>+351 232 186 575 / comercial@officelan.pt</t>
        </is>
      </c>
      <c r="K546" t="inlineStr">
        <is>
          <t>★★★</t>
        </is>
      </c>
      <c r="L546" t="inlineStr">
        <is>
          <t>未触达</t>
        </is>
      </c>
      <c r="M546" t="inlineStr">
        <is>
          <t>2026-09-22</t>
        </is>
      </c>
      <c r="N546" t="inlineStr"/>
      <c r="O546" t="inlineStr"/>
      <c r="P546" t="inlineStr"/>
      <c r="Q546" t="inlineStr">
        <is>
          <t>Canas de Senhorim</t>
        </is>
      </c>
      <c r="R546" t="inlineStr">
        <is>
          <t>B</t>
        </is>
      </c>
      <c r="S546" t="inlineStr">
        <is>
          <t>通用分销商信号，无差异化切入点，慢慢跟</t>
        </is>
      </c>
      <c r="T546" t="inlineStr">
        <is>
          <t>B-454</t>
        </is>
      </c>
      <c r="U546" t="inlineStr"/>
      <c r="V546" t="inlineStr"/>
    </row>
    <row r="547">
      <c r="A547" t="inlineStr">
        <is>
          <t>Rogério Costa</t>
        </is>
      </c>
      <c r="B547" t="inlineStr">
        <is>
          <t>葡萄牙</t>
        </is>
      </c>
      <c r="C547" t="inlineStr">
        <is>
          <t>Braga</t>
        </is>
      </c>
      <c r="D547" t="inlineStr"/>
      <c r="E547" t="inlineStr">
        <is>
          <t>集成商/顾问（MikroTik 认证）</t>
        </is>
      </c>
      <c r="F547" t="inlineStr">
        <is>
          <t>MikroTik 认证顾问 MTCNA+MTCIPv6E</t>
        </is>
      </c>
      <c r="G547" t="inlineStr">
        <is>
          <t>否</t>
        </is>
      </c>
      <c r="H547" t="inlineStr">
        <is>
          <t>MikroTik 认证顾问：自己做方案/集成/运维并自行采购设备 → 用 ERPS/IGMP/VLAN/CLI/MIB 这类技术语言切入，不打价格战</t>
        </is>
      </c>
      <c r="I547" t="inlineStr">
        <is>
          <t>LT-S8328G-4XS24GT-S</t>
        </is>
      </c>
      <c r="J547" t="inlineStr">
        <is>
          <t>+351 914 846 382 / costa_rogerio@yahoo.com</t>
        </is>
      </c>
      <c r="K547" t="inlineStr">
        <is>
          <t>★★★</t>
        </is>
      </c>
      <c r="L547" t="inlineStr">
        <is>
          <t>未触达</t>
        </is>
      </c>
      <c r="M547" t="inlineStr">
        <is>
          <t>2026-09-22</t>
        </is>
      </c>
      <c r="N547" t="inlineStr"/>
      <c r="O547" t="inlineStr"/>
      <c r="P547" t="inlineStr"/>
      <c r="Q547" t="inlineStr">
        <is>
          <t>认证网络顾问，做 MikroTik RouterOS 基础设施的运维/设计/实施/排障/优化；有 LinkedIn 主页；英西葡三语</t>
        </is>
      </c>
      <c r="R547" t="inlineStr">
        <is>
          <t>B</t>
        </is>
      </c>
      <c r="S547" t="inlineStr">
        <is>
          <t>通用分销商信号，无差异化切入点，慢慢跟</t>
        </is>
      </c>
      <c r="T547" t="inlineStr">
        <is>
          <t>B-455</t>
        </is>
      </c>
      <c r="U547" t="inlineStr"/>
      <c r="V547" t="inlineStr"/>
    </row>
    <row r="548">
      <c r="A548" t="inlineStr">
        <is>
          <t>TRUENET</t>
        </is>
      </c>
      <c r="B548" t="inlineStr">
        <is>
          <t>葡萄牙</t>
        </is>
      </c>
      <c r="C548" t="inlineStr"/>
      <c r="D548" t="inlineStr">
        <is>
          <t>truenet.pt</t>
        </is>
      </c>
      <c r="E548" t="inlineStr">
        <is>
          <t>分销（MikroTik 官方）</t>
        </is>
      </c>
      <c r="F548" t="inlineStr">
        <is>
          <t>MikroTik（Master+VAD）</t>
        </is>
      </c>
      <c r="G548" t="inlineStr">
        <is>
          <t>否</t>
        </is>
      </c>
      <c r="H548" t="inlineStr">
        <is>
          <t>卖 MikroTik 但缺工业/ERPS/PoE++ → 用同价位工业线补他的产品缺口</t>
        </is>
      </c>
      <c r="I548" t="inlineStr">
        <is>
          <t>LT-IS6312XGP-4XS8GT</t>
        </is>
      </c>
      <c r="J548" t="inlineStr">
        <is>
          <t>+351 936 794 301 / comercial@truenet.pt</t>
        </is>
      </c>
      <c r="K548" t="inlineStr">
        <is>
          <t>★★★</t>
        </is>
      </c>
      <c r="L548" t="inlineStr">
        <is>
          <t>未触达</t>
        </is>
      </c>
      <c r="M548" t="inlineStr">
        <is>
          <t>2026-09-22</t>
        </is>
      </c>
      <c r="N548" t="inlineStr"/>
      <c r="O548" t="inlineStr"/>
      <c r="P548" t="inlineStr"/>
      <c r="Q548" t="inlineStr">
        <is>
          <t>Lisboa</t>
        </is>
      </c>
      <c r="R548" t="inlineStr">
        <is>
          <t>B</t>
        </is>
      </c>
      <c r="S548" t="inlineStr">
        <is>
          <t>通用分销商信号，无差异化切入点，慢慢跟</t>
        </is>
      </c>
      <c r="T548" t="inlineStr">
        <is>
          <t>B-456</t>
        </is>
      </c>
      <c r="U548" t="inlineStr"/>
      <c r="V548" t="inlineStr"/>
    </row>
    <row r="549">
      <c r="A549" t="inlineStr">
        <is>
          <t>Adrián González Notario</t>
        </is>
      </c>
      <c r="B549" t="inlineStr">
        <is>
          <t>西班牙</t>
        </is>
      </c>
      <c r="C549" t="inlineStr">
        <is>
          <t>Madrid</t>
        </is>
      </c>
      <c r="D549" t="inlineStr">
        <is>
          <t>adrnet.site</t>
        </is>
      </c>
      <c r="E549" t="inlineStr">
        <is>
          <t>集成商/顾问（MikroTik 认证）</t>
        </is>
      </c>
      <c r="F549" t="inlineStr">
        <is>
          <t>MikroTik 认证顾问 MTCNA+MTCRE+MTCINE</t>
        </is>
      </c>
      <c r="G549" t="inlineStr">
        <is>
          <t>否</t>
        </is>
      </c>
      <c r="H549" t="inlineStr">
        <is>
          <t>MikroTik 认证顾问：自己做方案/集成/运维并自行采购设备 → 用 ERPS/IGMP/VLAN/CLI/MIB 这类技术语言切入，不打价格战</t>
        </is>
      </c>
      <c r="I549" t="inlineStr">
        <is>
          <t>LT-S8328G-4XS24GT-S</t>
        </is>
      </c>
      <c r="J549" t="inlineStr">
        <is>
          <t>services@adrnet.site</t>
        </is>
      </c>
      <c r="K549" t="inlineStr">
        <is>
          <t>★★</t>
        </is>
      </c>
      <c r="L549" t="inlineStr">
        <is>
          <t>未触达</t>
        </is>
      </c>
      <c r="M549" t="inlineStr">
        <is>
          <t>2026-09-22</t>
        </is>
      </c>
      <c r="N549" t="inlineStr"/>
      <c r="O549" t="inlineStr"/>
      <c r="P549" t="inlineStr"/>
      <c r="Q549" t="inlineStr"/>
      <c r="R549" t="inlineStr">
        <is>
          <t>B</t>
        </is>
      </c>
      <c r="S549" t="inlineStr">
        <is>
          <t>通用分销商信号，无差异化切入点，慢慢跟</t>
        </is>
      </c>
      <c r="T549" t="inlineStr">
        <is>
          <t>B-457</t>
        </is>
      </c>
      <c r="U549" t="inlineStr"/>
      <c r="V549" t="inlineStr"/>
    </row>
    <row r="550">
      <c r="A550" t="inlineStr">
        <is>
          <t>Arber Reca Sina</t>
        </is>
      </c>
      <c r="B550" t="inlineStr">
        <is>
          <t>西班牙</t>
        </is>
      </c>
      <c r="C550" t="inlineStr">
        <is>
          <t>Seville</t>
        </is>
      </c>
      <c r="D550" t="inlineStr"/>
      <c r="E550" t="inlineStr">
        <is>
          <t>集成商/顾问（MikroTik 认证）</t>
        </is>
      </c>
      <c r="F550" t="inlineStr">
        <is>
          <t>MikroTik 认证顾问 MTCNA+MTCIPv6E</t>
        </is>
      </c>
      <c r="G550" t="inlineStr">
        <is>
          <t>否</t>
        </is>
      </c>
      <c r="H550" t="inlineStr">
        <is>
          <t>MikroTik 认证顾问：自己做方案/集成/运维并自行采购设备 → 用 ERPS/IGMP/VLAN/CLI/MIB 这类技术语言切入，不打价格战</t>
        </is>
      </c>
      <c r="I550" t="inlineStr">
        <is>
          <t>LT-S8328G-4XS24GT-S</t>
        </is>
      </c>
      <c r="J550" t="inlineStr">
        <is>
          <t>+34 636 423 442 / arberreca@gmail.com</t>
        </is>
      </c>
      <c r="K550" t="inlineStr">
        <is>
          <t>★★</t>
        </is>
      </c>
      <c r="L550" t="inlineStr">
        <is>
          <t>未触达</t>
        </is>
      </c>
      <c r="M550" t="inlineStr">
        <is>
          <t>2026-09-22</t>
        </is>
      </c>
      <c r="N550" t="inlineStr"/>
      <c r="O550" t="inlineStr"/>
      <c r="P550" t="inlineStr"/>
      <c r="Q550" t="inlineStr">
        <is>
          <t>路由、防火墙、无线、网络设计、QoS</t>
        </is>
      </c>
      <c r="R550" t="inlineStr">
        <is>
          <t>B</t>
        </is>
      </c>
      <c r="S550" t="inlineStr">
        <is>
          <t>通用分销商信号，无差异化切入点，慢慢跟</t>
        </is>
      </c>
      <c r="T550" t="inlineStr">
        <is>
          <t>B-458</t>
        </is>
      </c>
      <c r="U550" t="inlineStr"/>
      <c r="V550" t="inlineStr"/>
    </row>
    <row r="551">
      <c r="A551" t="inlineStr">
        <is>
          <t>Cablewindow</t>
        </is>
      </c>
      <c r="B551" t="inlineStr">
        <is>
          <t>西班牙</t>
        </is>
      </c>
      <c r="C551" t="inlineStr">
        <is>
          <t>马德里</t>
        </is>
      </c>
      <c r="D551" t="inlineStr">
        <is>
          <t>cablewindow.com</t>
        </is>
      </c>
      <c r="E551" t="inlineStr">
        <is>
          <t>分销</t>
        </is>
      </c>
      <c r="F551" t="inlineStr">
        <is>
          <t>工业DIN（管理型/PoE）</t>
        </is>
      </c>
      <c r="G551" t="inlineStr">
        <is>
          <t>否</t>
        </is>
      </c>
      <c r="H551" t="inlineStr">
        <is>
          <t>第二供应源</t>
        </is>
      </c>
      <c r="I551" t="inlineStr">
        <is>
          <t>LT-IS6312XGP-4XS8GT</t>
        </is>
      </c>
      <c r="J551" t="inlineStr">
        <is>
          <t>+34 917987780</t>
        </is>
      </c>
      <c r="K551" t="inlineStr">
        <is>
          <t>★★</t>
        </is>
      </c>
      <c r="L551" t="inlineStr">
        <is>
          <t>未触达</t>
        </is>
      </c>
      <c r="M551" t="inlineStr">
        <is>
          <t>反向信号/2026-09</t>
        </is>
      </c>
      <c r="N551" t="inlineStr"/>
      <c r="O551" t="inlineStr"/>
      <c r="P551" t="inlineStr"/>
      <c r="Q551" t="inlineStr">
        <is>
          <t>Calle Laguna del Marquesado 12</t>
        </is>
      </c>
      <c r="R551" t="inlineStr">
        <is>
          <t>C</t>
        </is>
      </c>
      <c r="S55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④冒出内部联系人。原判：有信号（PoE/监控/门禁、工业/楼宇）但需先验证需求或联系人不具体</t>
        </is>
      </c>
      <c r="T551" t="inlineStr">
        <is>
          <t>C-295</t>
        </is>
      </c>
      <c r="U551" t="inlineStr">
        <is>
          <t>B下放·无邮箱（群发触达不到）</t>
        </is>
      </c>
      <c r="V551" t="inlineStr"/>
    </row>
    <row r="552">
      <c r="A552" t="inlineStr">
        <is>
          <t>CiudadWireless</t>
        </is>
      </c>
      <c r="B552" t="inlineStr">
        <is>
          <t>西班牙</t>
        </is>
      </c>
      <c r="C552" t="inlineStr"/>
      <c r="D552" t="inlineStr">
        <is>
          <t>ciudadwireless.com</t>
        </is>
      </c>
      <c r="E552" t="inlineStr">
        <is>
          <t>分销（MikroTik 官方）</t>
        </is>
      </c>
      <c r="F552" t="inlineStr">
        <is>
          <t>MikroTik（Reseller）</t>
        </is>
      </c>
      <c r="G552" t="inlineStr">
        <is>
          <t>否</t>
        </is>
      </c>
      <c r="H552" t="inlineStr">
        <is>
          <t>卖 MikroTik 但缺工业/ERPS/PoE++ → 用同价位工业线补他的产品缺口</t>
        </is>
      </c>
      <c r="I552" t="inlineStr">
        <is>
          <t>LT-IS6312XGP-4XS8GT</t>
        </is>
      </c>
      <c r="J552" t="inlineStr">
        <is>
          <t>+34 91 060 97 21 / info@ciudadwireless.com</t>
        </is>
      </c>
      <c r="K552" t="inlineStr">
        <is>
          <t>★★</t>
        </is>
      </c>
      <c r="L552" t="inlineStr">
        <is>
          <t>未触达</t>
        </is>
      </c>
      <c r="M552" t="inlineStr">
        <is>
          <t>2026-09-22</t>
        </is>
      </c>
      <c r="N552" t="inlineStr"/>
      <c r="O552" t="inlineStr"/>
      <c r="P552" t="inlineStr"/>
      <c r="Q552" t="inlineStr">
        <is>
          <t>Madrid</t>
        </is>
      </c>
      <c r="R552" t="inlineStr">
        <is>
          <t>B</t>
        </is>
      </c>
      <c r="S552" t="inlineStr">
        <is>
          <t>通用分销商信号，无差异化切入点，慢慢跟</t>
        </is>
      </c>
      <c r="T552" t="inlineStr">
        <is>
          <t>B-460</t>
        </is>
      </c>
      <c r="U552" t="inlineStr"/>
      <c r="V552" t="inlineStr"/>
    </row>
    <row r="553">
      <c r="A553" t="inlineStr">
        <is>
          <t>DITECAL S.L</t>
        </is>
      </c>
      <c r="B553" t="inlineStr">
        <is>
          <t>西班牙</t>
        </is>
      </c>
      <c r="C553" t="inlineStr"/>
      <c r="D553" t="inlineStr">
        <is>
          <t>tienda.ditecal.es</t>
        </is>
      </c>
      <c r="E553" t="inlineStr">
        <is>
          <t>分销（MikroTik 官方）</t>
        </is>
      </c>
      <c r="F553" t="inlineStr">
        <is>
          <t>MikroTik（Reseller）</t>
        </is>
      </c>
      <c r="G553" t="inlineStr">
        <is>
          <t>否</t>
        </is>
      </c>
      <c r="H553" t="inlineStr">
        <is>
          <t>卖 MikroTik 但缺工业/ERPS/PoE++ → 用同价位工业线补他的产品缺口</t>
        </is>
      </c>
      <c r="I553" t="inlineStr">
        <is>
          <t>LT-IS6312XG-4XS8GT</t>
        </is>
      </c>
      <c r="J553" t="inlineStr">
        <is>
          <t>+34 953 004 850 / pedidos@ditecal.es</t>
        </is>
      </c>
      <c r="K553" t="inlineStr">
        <is>
          <t>★★</t>
        </is>
      </c>
      <c r="L553" t="inlineStr">
        <is>
          <t>未触达</t>
        </is>
      </c>
      <c r="M553" t="inlineStr">
        <is>
          <t>2026-09-22</t>
        </is>
      </c>
      <c r="N553" t="inlineStr"/>
      <c r="O553" t="inlineStr"/>
      <c r="P553" t="inlineStr"/>
      <c r="Q553" t="inlineStr">
        <is>
          <t>Alcalá la Real</t>
        </is>
      </c>
      <c r="R553" t="inlineStr">
        <is>
          <t>B</t>
        </is>
      </c>
      <c r="S553" t="inlineStr">
        <is>
          <t>通用分销商信号，无差异化切入点，慢慢跟</t>
        </is>
      </c>
      <c r="T553" t="inlineStr">
        <is>
          <t>B-461</t>
        </is>
      </c>
      <c r="U553" t="inlineStr"/>
      <c r="V553" t="inlineStr"/>
    </row>
    <row r="554">
      <c r="A554" t="inlineStr">
        <is>
          <t>DMI COMPUTER</t>
        </is>
      </c>
      <c r="B554" t="inlineStr">
        <is>
          <t>西班牙</t>
        </is>
      </c>
      <c r="C554" t="inlineStr"/>
      <c r="D554" t="inlineStr">
        <is>
          <t>dmi.es</t>
        </is>
      </c>
      <c r="E554" t="inlineStr">
        <is>
          <t>分销（MikroTik 官方）</t>
        </is>
      </c>
      <c r="F554" t="inlineStr">
        <is>
          <t>MikroTik（Master+VAD）</t>
        </is>
      </c>
      <c r="G554" t="inlineStr">
        <is>
          <t>否</t>
        </is>
      </c>
      <c r="H554" t="inlineStr">
        <is>
          <t>MikroTik 官方分销，商用线可直接比价，工业线为零 → 新品类增量</t>
        </is>
      </c>
      <c r="I554" t="inlineStr">
        <is>
          <t>LT-S8328GP-4GX24GT</t>
        </is>
      </c>
      <c r="J554" t="inlineStr">
        <is>
          <t>91 670 28 48 / clientes@dmi.es</t>
        </is>
      </c>
      <c r="K554" t="inlineStr">
        <is>
          <t>★★★</t>
        </is>
      </c>
      <c r="L554" t="inlineStr">
        <is>
          <t>未触达</t>
        </is>
      </c>
      <c r="M554" t="inlineStr">
        <is>
          <t>2026-09-22</t>
        </is>
      </c>
      <c r="N554" t="inlineStr"/>
      <c r="O554" t="inlineStr"/>
      <c r="P554" t="inlineStr"/>
      <c r="Q554" t="inlineStr">
        <is>
          <t>Madrid</t>
        </is>
      </c>
      <c r="R554" t="inlineStr">
        <is>
          <t>B</t>
        </is>
      </c>
      <c r="S554" t="inlineStr">
        <is>
          <t>通用分销商信号，无差异化切入点，慢慢跟</t>
        </is>
      </c>
      <c r="T554" t="inlineStr">
        <is>
          <t>B-462</t>
        </is>
      </c>
      <c r="U554" t="inlineStr"/>
      <c r="V554" t="inlineStr"/>
    </row>
    <row r="555">
      <c r="A555" t="inlineStr">
        <is>
          <t>Darío Noguera / Lanpixel</t>
        </is>
      </c>
      <c r="B555" t="inlineStr">
        <is>
          <t>西班牙</t>
        </is>
      </c>
      <c r="C555" t="inlineStr">
        <is>
          <t>Barcelona</t>
        </is>
      </c>
      <c r="D555" t="inlineStr">
        <is>
          <t>lanpixel.com</t>
        </is>
      </c>
      <c r="E555" t="inlineStr">
        <is>
          <t>集成商/顾问（MikroTik 认证）</t>
        </is>
      </c>
      <c r="F555" t="inlineStr">
        <is>
          <t>MikroTik 认证顾问 MTCNA+MTCRE+MTCSE</t>
        </is>
      </c>
      <c r="G555" t="inlineStr">
        <is>
          <t>否</t>
        </is>
      </c>
      <c r="H555" t="inlineStr">
        <is>
          <t>MikroTik 认证顾问：自己做方案/集成/运维并自行采购设备 → 用 ERPS/IGMP/VLAN/CLI/MIB 这类技术语言切入，不打价格战</t>
        </is>
      </c>
      <c r="I555" t="inlineStr">
        <is>
          <t>LT-S8328XGP-4XS24GT-S</t>
        </is>
      </c>
      <c r="J555" t="inlineStr">
        <is>
          <t>+34 660 306 934 / dario@lanpixel.com</t>
        </is>
      </c>
      <c r="K555" t="inlineStr">
        <is>
          <t>★★★</t>
        </is>
      </c>
      <c r="L555" t="inlineStr">
        <is>
          <t>未触达</t>
        </is>
      </c>
      <c r="M555" t="inlineStr">
        <is>
          <t>2026-09-22</t>
        </is>
      </c>
      <c r="N555" t="inlineStr"/>
      <c r="O555" t="inlineStr"/>
      <c r="P555" t="inlineStr"/>
      <c r="Q555" t="inlineStr">
        <is>
          <t>15+ 年，既做培训也做生产网络设计；防火墙加固、VPN/IPSec、流量管理、QoS、高可用；兼 Linux/自动化/RADIUS/监控</t>
        </is>
      </c>
      <c r="R555" t="inlineStr">
        <is>
          <t>B</t>
        </is>
      </c>
      <c r="S555" t="inlineStr">
        <is>
          <t>有信号（影响力/渠道）但需先验证需求或联系人不具体</t>
        </is>
      </c>
      <c r="T555" t="inlineStr">
        <is>
          <t>B-463</t>
        </is>
      </c>
      <c r="U555" t="inlineStr"/>
      <c r="V555" t="inlineStr"/>
    </row>
    <row r="556">
      <c r="A556" t="inlineStr">
        <is>
          <t>David Forteza Rey Casasnovas</t>
        </is>
      </c>
      <c r="B556" t="inlineStr">
        <is>
          <t>西班牙</t>
        </is>
      </c>
      <c r="C556" t="inlineStr">
        <is>
          <t>Colonia de Sant Jordi（马略卡）</t>
        </is>
      </c>
      <c r="D556" t="inlineStr"/>
      <c r="E556" t="inlineStr">
        <is>
          <t>集成商/顾问（MikroTik 认证）</t>
        </is>
      </c>
      <c r="F556" t="inlineStr">
        <is>
          <t>MikroTik 认证顾问 MTCNA+MTCSE</t>
        </is>
      </c>
      <c r="G556" t="inlineStr">
        <is>
          <t>否</t>
        </is>
      </c>
      <c r="H556" t="inlineStr">
        <is>
          <t>MikroTik 认证顾问：自己做方案/集成/运维并自行采购设备 → 用 ERPS/IGMP/VLAN/CLI/MIB 这类技术语言切入，不打价格战</t>
        </is>
      </c>
      <c r="I556" t="inlineStr">
        <is>
          <t>LT-S8328G-4XS24GT-S</t>
        </is>
      </c>
      <c r="J556" t="inlineStr">
        <is>
          <t>+34 744 408 692 / davidfortezarey@gmail.com</t>
        </is>
      </c>
      <c r="K556" t="inlineStr">
        <is>
          <t>★★</t>
        </is>
      </c>
      <c r="L556" t="inlineStr">
        <is>
          <t>未触达</t>
        </is>
      </c>
      <c r="M556" t="inlineStr">
        <is>
          <t>2026-09-22</t>
        </is>
      </c>
      <c r="N556" t="inlineStr"/>
      <c r="O556" t="inlineStr"/>
      <c r="P556" t="inlineStr"/>
      <c r="Q556" t="inlineStr">
        <is>
          <t>各类 MikroTik 网络的搭建/配置/排障</t>
        </is>
      </c>
      <c r="R556" t="inlineStr">
        <is>
          <t>B</t>
        </is>
      </c>
      <c r="S556" t="inlineStr">
        <is>
          <t>通用分销商信号，无差异化切入点，慢慢跟</t>
        </is>
      </c>
      <c r="T556" t="inlineStr">
        <is>
          <t>B-464</t>
        </is>
      </c>
      <c r="U556" t="inlineStr"/>
      <c r="V556" t="inlineStr"/>
    </row>
    <row r="557">
      <c r="A557" t="inlineStr">
        <is>
          <t>Ditecom</t>
        </is>
      </c>
      <c r="B557" t="inlineStr">
        <is>
          <t>西班牙</t>
        </is>
      </c>
      <c r="C557" t="inlineStr">
        <is>
          <t>马德里</t>
        </is>
      </c>
      <c r="D557" t="inlineStr">
        <is>
          <t>ditecom.com</t>
        </is>
      </c>
      <c r="E557" t="inlineStr">
        <is>
          <t>分销+网店</t>
        </is>
      </c>
      <c r="F557" t="inlineStr">
        <is>
          <t>工业管理型（EX-9911M环网）</t>
        </is>
      </c>
      <c r="G557" t="inlineStr">
        <is>
          <t>否</t>
        </is>
      </c>
      <c r="H557" t="inlineStr">
        <is>
          <t>第二供应源；公开电话与邮箱</t>
        </is>
      </c>
      <c r="I557" t="inlineStr">
        <is>
          <t>LT-IS6312XG-4XS8GT</t>
        </is>
      </c>
      <c r="J557" t="inlineStr">
        <is>
          <t>+34 91 528 54 37 / info@ditecom.com</t>
        </is>
      </c>
      <c r="K557" t="inlineStr">
        <is>
          <t>★★★</t>
        </is>
      </c>
      <c r="L557" t="inlineStr">
        <is>
          <t>未触达</t>
        </is>
      </c>
      <c r="M557" t="inlineStr">
        <is>
          <t>反向信号/2026-09</t>
        </is>
      </c>
      <c r="N557" t="inlineStr"/>
      <c r="O557" t="inlineStr"/>
      <c r="P557" t="inlineStr"/>
      <c r="Q557" t="inlineStr">
        <is>
          <t>【待补】本行由分销商名录批量导入，三星依据仅为渠道等级（分销+网店）与「工业管理型（EX-9911M环网）」，尚无人工核实。建议先查证其是否已有工业交换机 / PoE++ 产品线，再定切入型号</t>
        </is>
      </c>
      <c r="R557" t="inlineStr">
        <is>
          <t>B</t>
        </is>
      </c>
      <c r="S557" t="inlineStr">
        <is>
          <t>三星依据仅为渠道等级，需求未核实，需先查证其是否已有工业/PoE 产品线</t>
        </is>
      </c>
      <c r="T557" t="inlineStr">
        <is>
          <t>B-465</t>
        </is>
      </c>
      <c r="U557" t="inlineStr"/>
      <c r="V557" t="inlineStr"/>
    </row>
    <row r="558">
      <c r="A558" t="inlineStr">
        <is>
          <t>Ekanet</t>
        </is>
      </c>
      <c r="B558" t="inlineStr">
        <is>
          <t>西班牙</t>
        </is>
      </c>
      <c r="C558" t="inlineStr"/>
      <c r="D558" t="inlineStr">
        <is>
          <t>ekanet.es</t>
        </is>
      </c>
      <c r="E558" t="inlineStr">
        <is>
          <t>分销</t>
        </is>
      </c>
      <c r="F558" t="inlineStr">
        <is>
          <t>PLANET 工业DIN（4–16口）</t>
        </is>
      </c>
      <c r="G558" t="inlineStr">
        <is>
          <t>否</t>
        </is>
      </c>
      <c r="H558" t="inlineStr">
        <is>
          <t>中性货；他们价格带很低(€34–139)</t>
        </is>
      </c>
      <c r="I558" t="inlineStr">
        <is>
          <t>LT-IS6310GP-2GX8GT</t>
        </is>
      </c>
      <c r="J558" t="inlineStr">
        <is>
          <t>官网</t>
        </is>
      </c>
      <c r="K558" t="inlineStr">
        <is>
          <t>★★★</t>
        </is>
      </c>
      <c r="L558" t="inlineStr">
        <is>
          <t>未触达</t>
        </is>
      </c>
      <c r="M558" t="inlineStr">
        <is>
          <t>反向信号/2026-09</t>
        </is>
      </c>
      <c r="N558" t="inlineStr"/>
      <c r="O558" t="inlineStr"/>
      <c r="P558" t="inlineStr"/>
      <c r="Q558" t="inlineStr">
        <is>
          <t>【待补】本行由分销商名录批量导入，三星依据仅为渠道等级（分销）与「PLANET 工业DIN（4–16口）」，尚无人工核实。建议先查证其是否已有工业交换机 / PoE++ 产品线，再定切入型号</t>
        </is>
      </c>
      <c r="R558" t="inlineStr">
        <is>
          <t>C</t>
        </is>
      </c>
      <c r="S55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58" t="inlineStr">
        <is>
          <t>C-296</t>
        </is>
      </c>
      <c r="U558" t="inlineStr">
        <is>
          <t>B下放·无邮箱（群发触达不到）</t>
        </is>
      </c>
      <c r="V558" t="inlineStr"/>
    </row>
    <row r="559">
      <c r="A559" t="inlineStr">
        <is>
          <t>Enric Perpinyà Pitarch / Perpi.tech</t>
        </is>
      </c>
      <c r="B559" t="inlineStr">
        <is>
          <t>西班牙</t>
        </is>
      </c>
      <c r="C559" t="inlineStr">
        <is>
          <t>Palma（马略卡）</t>
        </is>
      </c>
      <c r="D559" t="inlineStr">
        <is>
          <t>perpi.tech</t>
        </is>
      </c>
      <c r="E559" t="inlineStr">
        <is>
          <t>集成商/顾问（MikroTik 认证）</t>
        </is>
      </c>
      <c r="F559" t="inlineStr">
        <is>
          <t>MikroTik 认证顾问 MTCNA+MTCRE+MTCSE</t>
        </is>
      </c>
      <c r="G559" t="inlineStr">
        <is>
          <t>否</t>
        </is>
      </c>
      <c r="H559" t="inlineStr">
        <is>
          <t>MikroTik 认证顾问：自己做方案/集成/运维并自行采购设备 → 用 ERPS/IGMP/VLAN/CLI/MIB 这类技术语言切入，不打价格战</t>
        </is>
      </c>
      <c r="I559" t="inlineStr">
        <is>
          <t>LT-S8328G-4XS24GT-S</t>
        </is>
      </c>
      <c r="J559" t="inlineStr">
        <is>
          <t>+34 657 334 318 / enric@perpi.tech</t>
        </is>
      </c>
      <c r="K559" t="inlineStr">
        <is>
          <t>★★</t>
        </is>
      </c>
      <c r="L559" t="inlineStr">
        <is>
          <t>未触达</t>
        </is>
      </c>
      <c r="M559" t="inlineStr">
        <is>
          <t>2026-09-22</t>
        </is>
      </c>
      <c r="N559" t="inlineStr"/>
      <c r="O559" t="inlineStr"/>
      <c r="P559" t="inlineStr"/>
      <c r="Q559" t="inlineStr">
        <is>
          <t>Perpi.tech 的 CEO 兼联合创始人 → 决策人本人</t>
        </is>
      </c>
      <c r="R559" t="inlineStr">
        <is>
          <t>B</t>
        </is>
      </c>
      <c r="S559" t="inlineStr">
        <is>
          <t>通用分销商信号，无差异化切入点，慢慢跟</t>
        </is>
      </c>
      <c r="T559" t="inlineStr">
        <is>
          <t>B-467</t>
        </is>
      </c>
      <c r="U559" t="inlineStr"/>
      <c r="V559" t="inlineStr"/>
    </row>
    <row r="560">
      <c r="A560" t="inlineStr">
        <is>
          <t>Garma Electronica</t>
        </is>
      </c>
      <c r="B560" t="inlineStr">
        <is>
          <t>西班牙</t>
        </is>
      </c>
      <c r="C560" t="inlineStr">
        <is>
          <t>San Sebastián</t>
        </is>
      </c>
      <c r="D560" t="inlineStr">
        <is>
          <t>garmasl.com</t>
        </is>
      </c>
      <c r="E560" t="inlineStr">
        <is>
          <t>分销（HMS/N-Tron·Red Lion 渠道）</t>
        </is>
      </c>
      <c r="F560" t="inlineStr">
        <is>
          <t>N-Tron + Red Lion</t>
        </is>
      </c>
      <c r="G560" t="inlineStr">
        <is>
          <t>否</t>
        </is>
      </c>
      <c r="H560" t="inlineStr">
        <is>
          <t>卖 N-Tron/Red Lion 工业交换机（8口非网管约 $500+）→ 中性货同规格 LT-IS6310G 约 $91，做第二供应商，价差 5 倍</t>
        </is>
      </c>
      <c r="I560" t="inlineStr">
        <is>
          <t>LT-IS6310G</t>
        </is>
      </c>
      <c r="J560" t="inlineStr">
        <is>
          <t>官网联系页（HMS 名录只公开地址与网址）</t>
        </is>
      </c>
      <c r="K560" t="inlineStr">
        <is>
          <t>★★★</t>
        </is>
      </c>
      <c r="L560" t="inlineStr">
        <is>
          <t>未触达</t>
        </is>
      </c>
      <c r="M560" t="inlineStr">
        <is>
          <t>2026-09-22</t>
        </is>
      </c>
      <c r="N560" t="inlineStr"/>
      <c r="O560" t="inlineStr"/>
      <c r="P560" t="inlineStr"/>
      <c r="Q560" t="inlineStr">
        <is>
          <t>西班牙北部</t>
        </is>
      </c>
      <c r="R560" t="inlineStr">
        <is>
          <t>C</t>
        </is>
      </c>
      <c r="S56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60" t="inlineStr">
        <is>
          <t>C-297</t>
        </is>
      </c>
      <c r="U560" t="inlineStr">
        <is>
          <t>B下放·无邮箱（群发触达不到）</t>
        </is>
      </c>
      <c r="V560" t="inlineStr"/>
    </row>
    <row r="561">
      <c r="A561" t="inlineStr">
        <is>
          <t>Infortisa</t>
        </is>
      </c>
      <c r="B561" t="inlineStr">
        <is>
          <t>西班牙</t>
        </is>
      </c>
      <c r="C561" t="inlineStr"/>
      <c r="D561" t="inlineStr">
        <is>
          <t>infortisa.com</t>
        </is>
      </c>
      <c r="E561" t="inlineStr">
        <is>
          <t>分销（MikroTik 官方）</t>
        </is>
      </c>
      <c r="F561" t="inlineStr">
        <is>
          <t>MikroTik（Master）</t>
        </is>
      </c>
      <c r="G561" t="inlineStr">
        <is>
          <t>否</t>
        </is>
      </c>
      <c r="H561" t="inlineStr">
        <is>
          <t>卖 MikroTik 但缺工业/ERPS/PoE++ → 用同价位工业线补他的产品缺口</t>
        </is>
      </c>
      <c r="I561" t="inlineStr">
        <is>
          <t>LT-IS6312XGP-4XS8GT</t>
        </is>
      </c>
      <c r="J561" t="inlineStr">
        <is>
          <t>961 309 006 / ventas@infortisa.com</t>
        </is>
      </c>
      <c r="K561" t="inlineStr">
        <is>
          <t>★★★</t>
        </is>
      </c>
      <c r="L561" t="inlineStr">
        <is>
          <t>未触达</t>
        </is>
      </c>
      <c r="M561" t="inlineStr">
        <is>
          <t>2026-09-22</t>
        </is>
      </c>
      <c r="N561" t="inlineStr"/>
      <c r="O561" t="inlineStr"/>
      <c r="P561" t="inlineStr"/>
      <c r="Q561" t="inlineStr">
        <is>
          <t>Valencia</t>
        </is>
      </c>
      <c r="R561" t="inlineStr">
        <is>
          <t>B</t>
        </is>
      </c>
      <c r="S561" t="inlineStr">
        <is>
          <t>通用分销商信号，无差异化切入点，慢慢跟</t>
        </is>
      </c>
      <c r="T561" t="inlineStr">
        <is>
          <t>B-469</t>
        </is>
      </c>
      <c r="U561" t="inlineStr"/>
      <c r="V561" t="inlineStr"/>
    </row>
    <row r="562">
      <c r="A562" t="inlineStr">
        <is>
          <t>Instant Byte S.L.</t>
        </is>
      </c>
      <c r="B562" t="inlineStr">
        <is>
          <t>西班牙</t>
        </is>
      </c>
      <c r="C562" t="inlineStr"/>
      <c r="D562" t="inlineStr">
        <is>
          <t>instantbyte.com</t>
        </is>
      </c>
      <c r="E562" t="inlineStr">
        <is>
          <t>分销（MikroTik 官方）</t>
        </is>
      </c>
      <c r="F562" t="inlineStr">
        <is>
          <t>MikroTik（Master+VAD）</t>
        </is>
      </c>
      <c r="G562" t="inlineStr">
        <is>
          <t>否</t>
        </is>
      </c>
      <c r="H562" t="inlineStr">
        <is>
          <t>MikroTik 官方分销，商用线可直接比价，工业线为零 → 新品类增量</t>
        </is>
      </c>
      <c r="I562" t="inlineStr">
        <is>
          <t>LT-S8328XG-4XS8GT-S</t>
        </is>
      </c>
      <c r="J562" t="inlineStr">
        <is>
          <t>+34 91 084 10 11 / comercial@instantbyte.com</t>
        </is>
      </c>
      <c r="K562" t="inlineStr">
        <is>
          <t>★★★</t>
        </is>
      </c>
      <c r="L562" t="inlineStr">
        <is>
          <t>未触达</t>
        </is>
      </c>
      <c r="M562" t="inlineStr">
        <is>
          <t>2026-09-22</t>
        </is>
      </c>
      <c r="N562" t="inlineStr"/>
      <c r="O562" t="inlineStr"/>
      <c r="P562" t="inlineStr"/>
      <c r="Q562" t="inlineStr">
        <is>
          <t>Madrid</t>
        </is>
      </c>
      <c r="R562" t="inlineStr">
        <is>
          <t>B</t>
        </is>
      </c>
      <c r="S562" t="inlineStr">
        <is>
          <t>通用分销商信号，无差异化切入点，慢慢跟</t>
        </is>
      </c>
      <c r="T562" t="inlineStr">
        <is>
          <t>B-470</t>
        </is>
      </c>
      <c r="U562" t="inlineStr"/>
      <c r="V562" t="inlineStr"/>
    </row>
    <row r="563">
      <c r="A563" t="inlineStr">
        <is>
          <t>Jorge Agulló / IT Consultores</t>
        </is>
      </c>
      <c r="B563" t="inlineStr">
        <is>
          <t>西班牙</t>
        </is>
      </c>
      <c r="C563" t="inlineStr">
        <is>
          <t>Benidorm</t>
        </is>
      </c>
      <c r="D563" t="inlineStr">
        <is>
          <t>itconsultores.es</t>
        </is>
      </c>
      <c r="E563" t="inlineStr">
        <is>
          <t>集成商/顾问（MikroTik 认证）</t>
        </is>
      </c>
      <c r="F563" t="inlineStr">
        <is>
          <t>MikroTik 认证顾问 MTCNA+MTCRE</t>
        </is>
      </c>
      <c r="G563" t="inlineStr">
        <is>
          <t>否</t>
        </is>
      </c>
      <c r="H563" t="inlineStr">
        <is>
          <t>MikroTik 认证顾问：自己做方案/集成/运维并自行采购设备 → 用 ERPS/IGMP/VLAN/CLI/MIB 这类技术语言切入，不打价格战</t>
        </is>
      </c>
      <c r="I563" t="inlineStr">
        <is>
          <t>LT-S8328G-4XS24GT-S</t>
        </is>
      </c>
      <c r="J563" t="inlineStr">
        <is>
          <t>+34 966 830 220 / jorge.agullo@itconsultores.es</t>
        </is>
      </c>
      <c r="K563" t="inlineStr">
        <is>
          <t>★★</t>
        </is>
      </c>
      <c r="L563" t="inlineStr">
        <is>
          <t>未触达</t>
        </is>
      </c>
      <c r="M563" t="inlineStr">
        <is>
          <t>2026-09-22</t>
        </is>
      </c>
      <c r="N563" t="inlineStr"/>
      <c r="O563" t="inlineStr"/>
      <c r="P563" t="inlineStr"/>
      <c r="Q563" t="inlineStr"/>
      <c r="R563" t="inlineStr">
        <is>
          <t>B</t>
        </is>
      </c>
      <c r="S563" t="inlineStr">
        <is>
          <t>通用分销商信号，无差异化切入点，慢慢跟</t>
        </is>
      </c>
      <c r="T563" t="inlineStr">
        <is>
          <t>B-471</t>
        </is>
      </c>
      <c r="U563" t="inlineStr"/>
      <c r="V563" t="inlineStr"/>
    </row>
    <row r="564">
      <c r="A564" t="inlineStr">
        <is>
          <t>Jorge Castellet Marques</t>
        </is>
      </c>
      <c r="B564" t="inlineStr">
        <is>
          <t>西班牙</t>
        </is>
      </c>
      <c r="C564" t="inlineStr">
        <is>
          <t>Castellón de la Plana</t>
        </is>
      </c>
      <c r="D564" t="inlineStr">
        <is>
          <t>yatuaprendes.com</t>
        </is>
      </c>
      <c r="E564" t="inlineStr">
        <is>
          <t>集成商/顾问（MikroTik 认证）</t>
        </is>
      </c>
      <c r="F564" t="inlineStr">
        <is>
          <t>MikroTik 认证顾问 MTCNA+MTCRE+MTCTCE+MTCINE+MTCIPv6E+MTCSE</t>
        </is>
      </c>
      <c r="G564" t="inlineStr">
        <is>
          <t>否</t>
        </is>
      </c>
      <c r="H564" t="inlineStr">
        <is>
          <t>MikroTik 认证顾问：自己做方案/集成/运维并自行采购设备 → 用 ERPS/IGMP/VLAN/CLI/MIB 这类技术语言切入，不打价格战</t>
        </is>
      </c>
      <c r="I564" t="inlineStr">
        <is>
          <t>LT-S8328XG-4XS24GT-S</t>
        </is>
      </c>
      <c r="J564" t="inlineStr">
        <is>
          <t>+34 717 705 653 / j.castellet@yatuaprendes.com</t>
        </is>
      </c>
      <c r="K564" t="inlineStr">
        <is>
          <t>★★★</t>
        </is>
      </c>
      <c r="L564" t="inlineStr">
        <is>
          <t>未触达</t>
        </is>
      </c>
      <c r="M564" t="inlineStr">
        <is>
          <t>2026-09-22</t>
        </is>
      </c>
      <c r="N564" t="inlineStr"/>
      <c r="O564" t="inlineStr"/>
      <c r="P564" t="inlineStr"/>
      <c r="Q564" t="inlineStr">
        <is>
          <t>MikroTik 全科目认证讲师；从小型网到企业网与 ISP；还做 MikroTik 与 ACS 系统的集成</t>
        </is>
      </c>
      <c r="R564" t="inlineStr">
        <is>
          <t>B</t>
        </is>
      </c>
      <c r="S564" t="inlineStr">
        <is>
          <t>有信号（ISP/骨干、影响力/渠道）但需先验证需求或联系人不具体</t>
        </is>
      </c>
      <c r="T564" t="inlineStr">
        <is>
          <t>B-472</t>
        </is>
      </c>
      <c r="U564" t="inlineStr"/>
      <c r="V564" t="inlineStr"/>
    </row>
    <row r="565">
      <c r="A565" t="inlineStr">
        <is>
          <t>Jorge Montero</t>
        </is>
      </c>
      <c r="B565" t="inlineStr">
        <is>
          <t>西班牙</t>
        </is>
      </c>
      <c r="C565" t="inlineStr">
        <is>
          <t>Leganés (Madrid)</t>
        </is>
      </c>
      <c r="D565" t="inlineStr"/>
      <c r="E565" t="inlineStr">
        <is>
          <t>集成商/顾问（MikroTik 认证）</t>
        </is>
      </c>
      <c r="F565" t="inlineStr">
        <is>
          <t>MikroTik 认证顾问 MTCNA+MTCWE+MTCTCE+MTCINE+MTCSE</t>
        </is>
      </c>
      <c r="G565" t="inlineStr">
        <is>
          <t>否</t>
        </is>
      </c>
      <c r="H565" t="inlineStr">
        <is>
          <t>MikroTik 认证顾问：自己做方案/集成/运维并自行采购设备 → 用 ERPS/IGMP/VLAN/CLI/MIB 这类技术语言切入，不打价格战</t>
        </is>
      </c>
      <c r="I565" t="inlineStr">
        <is>
          <t>LT-S8328XG-4XS24GT-S</t>
        </is>
      </c>
      <c r="J565" t="inlineStr">
        <is>
          <t>+34 609 223 659 / cotiti@gmail.com</t>
        </is>
      </c>
      <c r="K565" t="inlineStr">
        <is>
          <t>★★★</t>
        </is>
      </c>
      <c r="L565" t="inlineStr">
        <is>
          <t>未触达</t>
        </is>
      </c>
      <c r="M565" t="inlineStr">
        <is>
          <t>2026-09-22</t>
        </is>
      </c>
      <c r="N565" t="inlineStr"/>
      <c r="O565" t="inlineStr"/>
      <c r="P565" t="inlineStr"/>
      <c r="Q565" t="inlineStr">
        <is>
          <t>含 MTCINE（ISP 互联）+ MTCTCE（流量控制）+ MTCSE（安全）</t>
        </is>
      </c>
      <c r="R565" t="inlineStr">
        <is>
          <t>B</t>
        </is>
      </c>
      <c r="S565" t="inlineStr">
        <is>
          <t>有信号（ISP/骨干）但需先验证需求或联系人不具体</t>
        </is>
      </c>
      <c r="T565" t="inlineStr">
        <is>
          <t>B-473</t>
        </is>
      </c>
      <c r="U565" t="inlineStr"/>
      <c r="V565" t="inlineStr"/>
    </row>
    <row r="566">
      <c r="A566" t="inlineStr">
        <is>
          <t>José María Catalá Ortega / Dualcom CB</t>
        </is>
      </c>
      <c r="B566" t="inlineStr">
        <is>
          <t>西班牙</t>
        </is>
      </c>
      <c r="C566" t="inlineStr">
        <is>
          <t>Santa Cruz de La Palma（加那利）</t>
        </is>
      </c>
      <c r="D566" t="inlineStr">
        <is>
          <t>dualcomcb.com</t>
        </is>
      </c>
      <c r="E566" t="inlineStr">
        <is>
          <t>集成商/顾问（MikroTik 认证）</t>
        </is>
      </c>
      <c r="F566" t="inlineStr">
        <is>
          <t>MikroTik 认证顾问 MTCNA+MTCRE</t>
        </is>
      </c>
      <c r="G566" t="inlineStr">
        <is>
          <t>否</t>
        </is>
      </c>
      <c r="H566" t="inlineStr">
        <is>
          <t>MikroTik 认证顾问：自己做方案/集成/运维并自行采购设备 → 用 ERPS/IGMP/VLAN/CLI/MIB 这类技术语言切入，不打价格战</t>
        </is>
      </c>
      <c r="I566" t="inlineStr">
        <is>
          <t>LT-S8328G-4XS24GT-S</t>
        </is>
      </c>
      <c r="J566" t="inlineStr">
        <is>
          <t>+34 620 823 599 / josecat@dualcomcb.com</t>
        </is>
      </c>
      <c r="K566" t="inlineStr">
        <is>
          <t>★★</t>
        </is>
      </c>
      <c r="L566" t="inlineStr">
        <is>
          <t>未触达</t>
        </is>
      </c>
      <c r="M566" t="inlineStr">
        <is>
          <t>2026-09-22</t>
        </is>
      </c>
      <c r="N566" t="inlineStr"/>
      <c r="O566" t="inlineStr"/>
      <c r="P566" t="inlineStr"/>
      <c r="Q566" t="inlineStr"/>
      <c r="R566" t="inlineStr">
        <is>
          <t>B</t>
        </is>
      </c>
      <c r="S566" t="inlineStr">
        <is>
          <t>通用分销商信号，无差异化切入点，慢慢跟</t>
        </is>
      </c>
      <c r="T566" t="inlineStr">
        <is>
          <t>B-474</t>
        </is>
      </c>
      <c r="U566" t="inlineStr"/>
      <c r="V566" t="inlineStr"/>
    </row>
    <row r="567">
      <c r="A567" t="inlineStr">
        <is>
          <t>Juan Miguel Gallardo Pérez / Codisa Telco Solutions</t>
        </is>
      </c>
      <c r="B567" t="inlineStr">
        <is>
          <t>西班牙</t>
        </is>
      </c>
      <c r="C567" t="inlineStr">
        <is>
          <t>Badajoz</t>
        </is>
      </c>
      <c r="D567" t="inlineStr">
        <is>
          <t>codisats.es</t>
        </is>
      </c>
      <c r="E567" t="inlineStr">
        <is>
          <t>集成商/顾问（MikroTik 认证）</t>
        </is>
      </c>
      <c r="F567" t="inlineStr">
        <is>
          <t>MikroTik 认证顾问 MTCNA+MTCRE+MTCWE+MTCTCE+MTCINE</t>
        </is>
      </c>
      <c r="G567" t="inlineStr">
        <is>
          <t>否</t>
        </is>
      </c>
      <c r="H567" t="inlineStr">
        <is>
          <t>MikroTik 认证顾问：自己做方案/集成/运维并自行采购设备 → 用 ERPS/IGMP/VLAN/CLI/MIB 这类技术语言切入，不打价格战</t>
        </is>
      </c>
      <c r="I567" t="inlineStr">
        <is>
          <t>LT-S8328XGP-4XS24GT-S</t>
        </is>
      </c>
      <c r="J567" t="inlineStr">
        <is>
          <t>+34 924 11 11 28 / jmgallardo@codisats.es</t>
        </is>
      </c>
      <c r="K567" t="inlineStr">
        <is>
          <t>★★★</t>
        </is>
      </c>
      <c r="L567" t="inlineStr">
        <is>
          <t>未触达</t>
        </is>
      </c>
      <c r="M567" t="inlineStr">
        <is>
          <t>2026-09-22</t>
        </is>
      </c>
      <c r="N567" t="inlineStr"/>
      <c r="O567" t="inlineStr"/>
      <c r="P567" t="inlineStr"/>
      <c r="Q567" t="inlineStr">
        <is>
          <t>ISP/WISP/**FTTx** 工程师；高可用、安全、访问控制、MPLS、动态路由、流量控制、脚本、VPN；可远程支持</t>
        </is>
      </c>
      <c r="R567" t="inlineStr">
        <is>
          <t>B</t>
        </is>
      </c>
      <c r="S567" t="inlineStr">
        <is>
          <t>有信号（ISP/骨干）但需先验证需求或联系人不具体</t>
        </is>
      </c>
      <c r="T567" t="inlineStr">
        <is>
          <t>B-475</t>
        </is>
      </c>
      <c r="U567" t="inlineStr"/>
      <c r="V567" t="inlineStr"/>
    </row>
    <row r="568">
      <c r="A568" t="inlineStr">
        <is>
          <t>LAUFQUEN COMUNICACIONES</t>
        </is>
      </c>
      <c r="B568" t="inlineStr">
        <is>
          <t>西班牙</t>
        </is>
      </c>
      <c r="C568" t="inlineStr"/>
      <c r="D568" t="inlineStr">
        <is>
          <t>es.laufquen.com</t>
        </is>
      </c>
      <c r="E568" t="inlineStr">
        <is>
          <t>分销（MikroTik 官方）</t>
        </is>
      </c>
      <c r="F568" t="inlineStr">
        <is>
          <t>MikroTik（Master+VAD）</t>
        </is>
      </c>
      <c r="G568" t="inlineStr">
        <is>
          <t>否</t>
        </is>
      </c>
      <c r="H568" t="inlineStr">
        <is>
          <t>卖 MikroTik 但缺工业/ERPS/PoE++ → 用同价位工业线补他的产品缺口</t>
        </is>
      </c>
      <c r="I568" t="inlineStr">
        <is>
          <t>LT-IS6312XGP-4XS8GT</t>
        </is>
      </c>
      <c r="J568" t="inlineStr">
        <is>
          <t>+34 91 599 8115 / fernando.novoa@laufquen.com</t>
        </is>
      </c>
      <c r="K568" t="inlineStr">
        <is>
          <t>★★★</t>
        </is>
      </c>
      <c r="L568" t="inlineStr">
        <is>
          <t>未触达</t>
        </is>
      </c>
      <c r="M568" t="inlineStr">
        <is>
          <t>2026-09-22</t>
        </is>
      </c>
      <c r="N568" t="inlineStr"/>
      <c r="O568" t="inlineStr"/>
      <c r="P568" t="inlineStr"/>
      <c r="Q568" t="inlineStr">
        <is>
          <t>Alcorcón (Madrid)</t>
        </is>
      </c>
      <c r="R568" t="inlineStr">
        <is>
          <t>B</t>
        </is>
      </c>
      <c r="S568" t="inlineStr">
        <is>
          <t>通用分销商信号，无差异化切入点，慢慢跟</t>
        </is>
      </c>
      <c r="T568" t="inlineStr">
        <is>
          <t>B-476</t>
        </is>
      </c>
      <c r="U568" t="inlineStr"/>
      <c r="V568" t="inlineStr"/>
    </row>
    <row r="569">
      <c r="A569" t="inlineStr">
        <is>
          <t>Leadernet Sistemas Telec</t>
        </is>
      </c>
      <c r="B569" t="inlineStr">
        <is>
          <t>西班牙</t>
        </is>
      </c>
      <c r="C569" t="inlineStr">
        <is>
          <t>Oricáin (Navarra)</t>
        </is>
      </c>
      <c r="D569" t="inlineStr">
        <is>
          <t>leadernet.es</t>
        </is>
      </c>
      <c r="E569" t="inlineStr">
        <is>
          <t>分销（HMS/N-Tron·Red Lion 渠道）</t>
        </is>
      </c>
      <c r="F569" t="inlineStr">
        <is>
          <t>N-Tron + Red Lion</t>
        </is>
      </c>
      <c r="G569" t="inlineStr">
        <is>
          <t>否</t>
        </is>
      </c>
      <c r="H569" t="inlineStr">
        <is>
          <t>卖 N-Tron/Red Lion 工业交换机（8口非网管约 $500+）→ 中性货同规格 LT-IS6310G 约 $91，做第二供应商，价差 5 倍</t>
        </is>
      </c>
      <c r="I569" t="inlineStr">
        <is>
          <t>LT-IS6312XG-4XS8GT</t>
        </is>
      </c>
      <c r="J569" t="inlineStr">
        <is>
          <t>官网联系页（HMS 名录只公开地址与网址）</t>
        </is>
      </c>
      <c r="K569" t="inlineStr">
        <is>
          <t>★★★</t>
        </is>
      </c>
      <c r="L569" t="inlineStr">
        <is>
          <t>未触达</t>
        </is>
      </c>
      <c r="M569" t="inlineStr">
        <is>
          <t>2026-09-22</t>
        </is>
      </c>
      <c r="N569" t="inlineStr"/>
      <c r="O569" t="inlineStr"/>
      <c r="P569" t="inlineStr"/>
      <c r="Q569" t="inlineStr">
        <is>
          <t>【待补】本行由分销商名录批量导入，三星依据仅为渠道等级（分销（HMS/N-Tron·Red Lion 渠道））与「N-Tron + Red Lion」，尚无人工核实。建议先查证其是否已有工业交换机 / PoE++ 产品线，再定切入型号</t>
        </is>
      </c>
      <c r="R569" t="inlineStr">
        <is>
          <t>C</t>
        </is>
      </c>
      <c r="S56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④冒出内部联系人。原判：三星依据仅为渠道等级，需求未核实，需先查证其是否已有工业/PoE 产品线</t>
        </is>
      </c>
      <c r="T569" t="inlineStr">
        <is>
          <t>C-298</t>
        </is>
      </c>
      <c r="U569" t="inlineStr">
        <is>
          <t>B下放·无邮箱（群发触达不到）</t>
        </is>
      </c>
      <c r="V569" t="inlineStr"/>
    </row>
    <row r="570">
      <c r="A570" t="inlineStr">
        <is>
          <t>Martin Ruiz / Ibersystems</t>
        </is>
      </c>
      <c r="B570" t="inlineStr">
        <is>
          <t>西班牙</t>
        </is>
      </c>
      <c r="C570" t="inlineStr">
        <is>
          <t>Mataró</t>
        </is>
      </c>
      <c r="D570" t="inlineStr">
        <is>
          <t>ibersystems.es</t>
        </is>
      </c>
      <c r="E570" t="inlineStr">
        <is>
          <t>集成商/顾问（MikroTik 认证）</t>
        </is>
      </c>
      <c r="F570" t="inlineStr">
        <is>
          <t>MikroTik 认证顾问 MTCNA+MTCRE+MTCWE+MTCSE</t>
        </is>
      </c>
      <c r="G570" t="inlineStr">
        <is>
          <t>否</t>
        </is>
      </c>
      <c r="H570" t="inlineStr">
        <is>
          <t>MikroTik 认证顾问：自己做方案/集成/运维并自行采购设备 → 用 ERPS/IGMP/VLAN/CLI/MIB 这类技术语言切入，不打价格战</t>
        </is>
      </c>
      <c r="I570" t="inlineStr">
        <is>
          <t>LT-S8328XG-4XS24GT-S</t>
        </is>
      </c>
      <c r="J570" t="inlineStr">
        <is>
          <t>+34 669 379 521 / Martinruiz@ibersystems.es</t>
        </is>
      </c>
      <c r="K570" t="inlineStr">
        <is>
          <t>★★★</t>
        </is>
      </c>
      <c r="L570" t="inlineStr">
        <is>
          <t>未触达</t>
        </is>
      </c>
      <c r="M570" t="inlineStr">
        <is>
          <t>2026-09-22</t>
        </is>
      </c>
      <c r="N570" t="inlineStr"/>
      <c r="O570" t="inlineStr"/>
      <c r="P570" t="inlineStr"/>
      <c r="Q570" t="inlineStr">
        <is>
          <t>高可用、无线 PtP/PtMP/Mesh、HotSpot、QoS、代理/防火墙、VPN；远程与现场支持</t>
        </is>
      </c>
      <c r="R570" t="inlineStr">
        <is>
          <t>B</t>
        </is>
      </c>
      <c r="S570" t="inlineStr">
        <is>
          <t>通用分销商信号，无差异化切入点，慢慢跟</t>
        </is>
      </c>
      <c r="T570" t="inlineStr">
        <is>
          <t>B-478</t>
        </is>
      </c>
      <c r="U570" t="inlineStr"/>
      <c r="V570" t="inlineStr"/>
    </row>
    <row r="571">
      <c r="A571" t="inlineStr">
        <is>
          <t>Omron Electronics Iberia</t>
        </is>
      </c>
      <c r="B571" t="inlineStr">
        <is>
          <t>西班牙</t>
        </is>
      </c>
      <c r="C571" t="inlineStr"/>
      <c r="D571" t="inlineStr">
        <is>
          <t>industrial.omron.es</t>
        </is>
      </c>
      <c r="E571" t="inlineStr">
        <is>
          <t>分销（Westermo Silver）</t>
        </is>
      </c>
      <c r="F571" t="inlineStr">
        <is>
          <t>Westermo</t>
        </is>
      </c>
      <c r="G571" t="inlineStr">
        <is>
          <t>否</t>
        </is>
      </c>
      <c r="H571" t="inlineStr">
        <is>
          <t>大集团自有渠道，宜先从其区域经销商切入</t>
        </is>
      </c>
      <c r="I571" t="inlineStr">
        <is>
          <t>LT-IS6320G-4GX16GT-D</t>
        </is>
      </c>
      <c r="J571" t="inlineStr">
        <is>
          <t>+34 913 777 900</t>
        </is>
      </c>
      <c r="K571" t="inlineStr">
        <is>
          <t>★</t>
        </is>
      </c>
      <c r="L571" t="inlineStr">
        <is>
          <t>未触达</t>
        </is>
      </c>
      <c r="M571" t="inlineStr">
        <is>
          <t>2026-09-22</t>
        </is>
      </c>
      <c r="N571" t="inlineStr"/>
      <c r="O571" t="inlineStr"/>
      <c r="P571" t="inlineStr"/>
      <c r="Q571" t="inlineStr">
        <is>
          <t>体量大、流程长，优先级低；【2026-09-23】Westermo 官方 where-to-buy 名录确认的分销商。西班牙 **Silver 分销商**。</t>
        </is>
      </c>
      <c r="R571" t="inlineStr">
        <is>
          <t>C</t>
        </is>
      </c>
      <c r="S57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1" t="inlineStr">
        <is>
          <t>C-299</t>
        </is>
      </c>
      <c r="U571" t="inlineStr">
        <is>
          <t>B下放·无邮箱（群发触达不到）</t>
        </is>
      </c>
      <c r="V571" t="inlineStr"/>
    </row>
    <row r="572">
      <c r="A572" t="inlineStr">
        <is>
          <t>Ricardo Bernao Gonzalez / Stratonetworks</t>
        </is>
      </c>
      <c r="B572" t="inlineStr">
        <is>
          <t>西班牙</t>
        </is>
      </c>
      <c r="C572" t="inlineStr">
        <is>
          <t>Daganzo de Arriba (Madrid)</t>
        </is>
      </c>
      <c r="D572" t="inlineStr">
        <is>
          <t>stratonetworks.com</t>
        </is>
      </c>
      <c r="E572" t="inlineStr">
        <is>
          <t>集成商/顾问（MikroTik 认证）</t>
        </is>
      </c>
      <c r="F572" t="inlineStr">
        <is>
          <t>MikroTik 认证顾问 MTCNA+MTCWE</t>
        </is>
      </c>
      <c r="G572" t="inlineStr">
        <is>
          <t>否</t>
        </is>
      </c>
      <c r="H572" t="inlineStr">
        <is>
          <t>MikroTik 认证顾问：自己做方案/集成/运维并自行采购设备 → 用 ERPS/IGMP/VLAN/CLI/MIB 这类技术语言切入，不打价格战</t>
        </is>
      </c>
      <c r="I572" t="inlineStr">
        <is>
          <t>LT-S8328G-4XS24GT-S</t>
        </is>
      </c>
      <c r="J572" t="inlineStr">
        <is>
          <t>+34 657 478 596 / ricardo@stratonetworks.com</t>
        </is>
      </c>
      <c r="K572" t="inlineStr">
        <is>
          <t>★★</t>
        </is>
      </c>
      <c r="L572" t="inlineStr">
        <is>
          <t>未触达</t>
        </is>
      </c>
      <c r="M572" t="inlineStr">
        <is>
          <t>2026-09-22</t>
        </is>
      </c>
      <c r="N572" t="inlineStr"/>
      <c r="O572" t="inlineStr"/>
      <c r="P572" t="inlineStr"/>
      <c r="Q572" t="inlineStr">
        <is>
          <t>15+ 年 MikroTik/RouterOS 实施经验，同时是 MikroTik 讲师</t>
        </is>
      </c>
      <c r="R572" t="inlineStr">
        <is>
          <t>B</t>
        </is>
      </c>
      <c r="S572" t="inlineStr">
        <is>
          <t>通用分销商信号，无差异化切入点，慢慢跟</t>
        </is>
      </c>
      <c r="T572" t="inlineStr">
        <is>
          <t>B-480</t>
        </is>
      </c>
      <c r="U572" t="inlineStr"/>
      <c r="V572" t="inlineStr"/>
    </row>
    <row r="573">
      <c r="A573" t="inlineStr">
        <is>
          <t>Santiago Balaguer Garcia</t>
        </is>
      </c>
      <c r="B573" t="inlineStr">
        <is>
          <t>西班牙</t>
        </is>
      </c>
      <c r="C573" t="inlineStr">
        <is>
          <t>Castellón de la Plana</t>
        </is>
      </c>
      <c r="D573" t="inlineStr">
        <is>
          <t>cursos-mikrotik.com</t>
        </is>
      </c>
      <c r="E573" t="inlineStr">
        <is>
          <t>集成商/顾问（MikroTik 认证）</t>
        </is>
      </c>
      <c r="F573" t="inlineStr">
        <is>
          <t>MikroTik 认证顾问 MTCNA+MTCTCE+MTCINE</t>
        </is>
      </c>
      <c r="G573" t="inlineStr">
        <is>
          <t>否</t>
        </is>
      </c>
      <c r="H573" t="inlineStr">
        <is>
          <t>MikroTik 认证顾问：自己做方案/集成/运维并自行采购设备 → 用 ERPS/IGMP/VLAN/CLI/MIB 这类技术语言切入，不打价格战</t>
        </is>
      </c>
      <c r="I573" t="inlineStr">
        <is>
          <t>LT-S8328G-4XS24GT-S</t>
        </is>
      </c>
      <c r="J573" t="inlineStr">
        <is>
          <t>+34 960 802 505 / santiagoayodar@hotmail.com</t>
        </is>
      </c>
      <c r="K573" t="inlineStr">
        <is>
          <t>★★</t>
        </is>
      </c>
      <c r="L573" t="inlineStr">
        <is>
          <t>未触达</t>
        </is>
      </c>
      <c r="M573" t="inlineStr">
        <is>
          <t>2026-09-22</t>
        </is>
      </c>
      <c r="N573" t="inlineStr"/>
      <c r="O573" t="inlineStr"/>
      <c r="P573" t="inlineStr"/>
      <c r="Q573" t="inlineStr">
        <is>
          <t>开 MikroTik 课程（cursos-mikrotik.com）；Diameter 协议、HotSpot、PPPoE/PPtP/L2TP/OVPN、AAA、高可用、**无线骨干网**</t>
        </is>
      </c>
      <c r="R573" t="inlineStr">
        <is>
          <t>B</t>
        </is>
      </c>
      <c r="S573" t="inlineStr">
        <is>
          <t>有信号（PoE/监控/门禁、ISP/骨干）但需先验证需求或联系人不具体</t>
        </is>
      </c>
      <c r="T573" t="inlineStr">
        <is>
          <t>B-481</t>
        </is>
      </c>
      <c r="U573" t="inlineStr"/>
      <c r="V573" t="inlineStr"/>
    </row>
    <row r="574">
      <c r="A574" t="inlineStr">
        <is>
          <t>Todo Telecom</t>
        </is>
      </c>
      <c r="B574" t="inlineStr">
        <is>
          <t>西班牙</t>
        </is>
      </c>
      <c r="C574" t="inlineStr"/>
      <c r="D574" t="inlineStr">
        <is>
          <t>todotelecom.com</t>
        </is>
      </c>
      <c r="E574" t="inlineStr">
        <is>
          <t>分销（MikroTik 官方）</t>
        </is>
      </c>
      <c r="F574" t="inlineStr">
        <is>
          <t>MikroTik（Master+VAD）</t>
        </is>
      </c>
      <c r="G574" t="inlineStr">
        <is>
          <t>否</t>
        </is>
      </c>
      <c r="H574" t="inlineStr">
        <is>
          <t>卖 MikroTik 但缺工业/ERPS/PoE++ → 用同价位工业线补他的产品缺口</t>
        </is>
      </c>
      <c r="I574" t="inlineStr">
        <is>
          <t>LT-IS6312XG-4XS8GT</t>
        </is>
      </c>
      <c r="J574" t="inlineStr">
        <is>
          <t>965 784 463 / webinfo@todotelecom.com</t>
        </is>
      </c>
      <c r="K574" t="inlineStr">
        <is>
          <t>★★★</t>
        </is>
      </c>
      <c r="L574" t="inlineStr">
        <is>
          <t>未触达</t>
        </is>
      </c>
      <c r="M574" t="inlineStr">
        <is>
          <t>2026-09-22</t>
        </is>
      </c>
      <c r="N574" t="inlineStr"/>
      <c r="O574" t="inlineStr"/>
      <c r="P574" t="inlineStr"/>
      <c r="Q574" t="inlineStr">
        <is>
          <t>Denia (Alicante)</t>
        </is>
      </c>
      <c r="R574" t="inlineStr">
        <is>
          <t>B</t>
        </is>
      </c>
      <c r="S574" t="inlineStr">
        <is>
          <t>通用分销商信号，无差异化切入点，慢慢跟</t>
        </is>
      </c>
      <c r="T574" t="inlineStr">
        <is>
          <t>B-482</t>
        </is>
      </c>
      <c r="U574" t="inlineStr"/>
      <c r="V574" t="inlineStr"/>
    </row>
    <row r="575">
      <c r="A575" t="inlineStr">
        <is>
          <t>Xavier Poza</t>
        </is>
      </c>
      <c r="B575" t="inlineStr">
        <is>
          <t>西班牙</t>
        </is>
      </c>
      <c r="C575" t="inlineStr">
        <is>
          <t>Llinars del Vallès</t>
        </is>
      </c>
      <c r="D575" t="inlineStr"/>
      <c r="E575" t="inlineStr">
        <is>
          <t>集成商/顾问（MikroTik 认证）</t>
        </is>
      </c>
      <c r="F575" t="inlineStr">
        <is>
          <t>MikroTik 认证顾问 MTCNA+MTCRE+MTCINE+MTCIPv6E</t>
        </is>
      </c>
      <c r="G575" t="inlineStr">
        <is>
          <t>否</t>
        </is>
      </c>
      <c r="H575" t="inlineStr">
        <is>
          <t>MikroTik 认证顾问：自己做方案/集成/运维并自行采购设备 → 用 ERPS/IGMP/VLAN/CLI/MIB 这类技术语言切入，不打价格战</t>
        </is>
      </c>
      <c r="I575" t="inlineStr">
        <is>
          <t>LT-S8328G-4XS24GT-S</t>
        </is>
      </c>
      <c r="J575" t="inlineStr">
        <is>
          <t>+34 938 481 901 / xavinetworks@gmail.com</t>
        </is>
      </c>
      <c r="K575" t="inlineStr">
        <is>
          <t>★★★</t>
        </is>
      </c>
      <c r="L575" t="inlineStr">
        <is>
          <t>未触达</t>
        </is>
      </c>
      <c r="M575" t="inlineStr">
        <is>
          <t>2026-09-22</t>
        </is>
      </c>
      <c r="N575" t="inlineStr"/>
      <c r="O575" t="inlineStr"/>
      <c r="P575" t="inlineStr"/>
      <c r="Q575" t="inlineStr">
        <is>
          <t>自述方向：开放、自由、中立的公共/社区网络（含 MTCINE 互联）</t>
        </is>
      </c>
      <c r="R575" t="inlineStr">
        <is>
          <t>B</t>
        </is>
      </c>
      <c r="S575" t="inlineStr">
        <is>
          <t>通用分销商信号，无差异化切入点，慢慢跟</t>
        </is>
      </c>
      <c r="T575" t="inlineStr">
        <is>
          <t>B-483</t>
        </is>
      </c>
      <c r="U575" t="inlineStr"/>
      <c r="V575" t="inlineStr"/>
    </row>
    <row r="576">
      <c r="A576" t="inlineStr">
        <is>
          <t>ecomshop</t>
        </is>
      </c>
      <c r="B576" t="inlineStr">
        <is>
          <t>西班牙</t>
        </is>
      </c>
      <c r="C576" t="inlineStr"/>
      <c r="D576" t="inlineStr">
        <is>
          <t>ecomshop.es</t>
        </is>
      </c>
      <c r="E576" t="inlineStr">
        <is>
          <t>B2B批发</t>
        </is>
      </c>
      <c r="F576" t="inlineStr">
        <is>
          <t>STONET/Teltonika/WI-TEK/Tachyon</t>
        </is>
      </c>
      <c r="G576" t="inlineStr">
        <is>
          <t>否</t>
        </is>
      </c>
      <c r="H576" t="inlineStr">
        <is>
          <t>批发渠道，已在卖中国系品牌→可切</t>
        </is>
      </c>
      <c r="I576" t="inlineStr">
        <is>
          <t>LT-IS6312XGP-4XS8GT</t>
        </is>
      </c>
      <c r="J576" t="inlineStr">
        <is>
          <t>官网</t>
        </is>
      </c>
      <c r="K576" t="inlineStr">
        <is>
          <t>★★★</t>
        </is>
      </c>
      <c r="L576" t="inlineStr">
        <is>
          <t>未触达</t>
        </is>
      </c>
      <c r="M576" t="inlineStr">
        <is>
          <t>反向信号/2026-09</t>
        </is>
      </c>
      <c r="N576" t="inlineStr"/>
      <c r="O576" t="inlineStr"/>
      <c r="P576" t="inlineStr"/>
      <c r="Q576" t="inlineStr">
        <is>
          <t>B2B Mayoristas</t>
        </is>
      </c>
      <c r="R576" t="inlineStr">
        <is>
          <t>C</t>
        </is>
      </c>
      <c r="S576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6" t="inlineStr">
        <is>
          <t>C-300</t>
        </is>
      </c>
      <c r="U576" t="inlineStr">
        <is>
          <t>B下放·无邮箱（群发触达不到）</t>
        </is>
      </c>
      <c r="V576" t="inlineStr"/>
    </row>
    <row r="577">
      <c r="A577" t="inlineStr">
        <is>
          <t>I C T INTERNATIONAL L.L.C.</t>
        </is>
      </c>
      <c r="B577" t="inlineStr">
        <is>
          <t>阿联酋</t>
        </is>
      </c>
      <c r="C577" t="inlineStr"/>
      <c r="D577" t="inlineStr">
        <is>
          <t>ict-international.ae</t>
        </is>
      </c>
      <c r="E577" t="inlineStr">
        <is>
          <t>分销（ORing 授权）</t>
        </is>
      </c>
      <c r="F577" t="inlineStr">
        <is>
          <t>ORing</t>
        </is>
      </c>
      <c r="G577" t="inlineStr">
        <is>
          <t>否</t>
        </is>
      </c>
      <c r="H577" t="inlineStr">
        <is>
          <t>工业/轨道同规格 1/3 价第二供应源</t>
        </is>
      </c>
      <c r="I577" t="inlineStr">
        <is>
          <t>LT-IS6312XGP-4XS8GT</t>
        </is>
      </c>
      <c r="J577" t="inlineStr">
        <is>
          <t>+971 4 221 6756 / contact@ict-international.ae</t>
        </is>
      </c>
      <c r="K577" t="inlineStr">
        <is>
          <t>★★</t>
        </is>
      </c>
      <c r="L577" t="inlineStr">
        <is>
          <t>未触达</t>
        </is>
      </c>
      <c r="M577" t="inlineStr">
        <is>
          <t>2026-09-22</t>
        </is>
      </c>
      <c r="N577" t="inlineStr"/>
      <c r="O577" t="inlineStr"/>
      <c r="P577" t="inlineStr"/>
      <c r="Q577" t="inlineStr">
        <is>
          <t>迪拜</t>
        </is>
      </c>
      <c r="R577" t="inlineStr">
        <is>
          <t>B</t>
        </is>
      </c>
      <c r="S577" t="inlineStr">
        <is>
          <t>通用分销商信号，无差异化切入点，慢慢跟</t>
        </is>
      </c>
      <c r="T577" t="inlineStr">
        <is>
          <t>B-485</t>
        </is>
      </c>
      <c r="U577" t="inlineStr"/>
      <c r="V577" t="inlineStr"/>
    </row>
    <row r="578">
      <c r="A578" t="inlineStr">
        <is>
          <t>eWorldMe</t>
        </is>
      </c>
      <c r="B578" t="inlineStr">
        <is>
          <t>阿联酋</t>
        </is>
      </c>
      <c r="C578" t="inlineStr"/>
      <c r="D578" t="inlineStr">
        <is>
          <t>moxa.eworldme.com</t>
        </is>
      </c>
      <c r="E578" t="inlineStr">
        <is>
          <t>分销</t>
        </is>
      </c>
      <c r="F578" t="inlineStr">
        <is>
          <t>Moxa</t>
        </is>
      </c>
      <c r="G578" t="inlineStr">
        <is>
          <t>否</t>
        </is>
      </c>
      <c r="H578" t="inlineStr">
        <is>
          <t>MEA渠道（T2）</t>
        </is>
      </c>
      <c r="I578" t="inlineStr">
        <is>
          <t>LT-IS6312XG-4XS8GT</t>
        </is>
      </c>
      <c r="J578" t="inlineStr">
        <is>
          <t>官网</t>
        </is>
      </c>
      <c r="K578" t="inlineStr">
        <is>
          <t>★★</t>
        </is>
      </c>
      <c r="L578" t="inlineStr">
        <is>
          <t>未触达</t>
        </is>
      </c>
      <c r="M578" t="inlineStr">
        <is>
          <t>反向信号/2026-09</t>
        </is>
      </c>
      <c r="N578" t="inlineStr"/>
      <c r="O578" t="inlineStr"/>
      <c r="P578" t="inlineStr"/>
      <c r="Q578" t="inlineStr"/>
      <c r="R578" t="inlineStr">
        <is>
          <t>C</t>
        </is>
      </c>
      <c r="S578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78" t="inlineStr">
        <is>
          <t>C-301</t>
        </is>
      </c>
      <c r="U578" t="inlineStr">
        <is>
          <t>B下放·无邮箱（群发触达不到）</t>
        </is>
      </c>
      <c r="V578" t="inlineStr"/>
    </row>
    <row r="579">
      <c r="A579" t="inlineStr">
        <is>
          <t>Accreda Ltd</t>
        </is>
      </c>
      <c r="B579" t="inlineStr">
        <is>
          <t>马耳他</t>
        </is>
      </c>
      <c r="C579" t="inlineStr"/>
      <c r="D579" t="inlineStr">
        <is>
          <t>accreda.eu</t>
        </is>
      </c>
      <c r="E579" t="inlineStr">
        <is>
          <t>分销（MikroTik 官方）</t>
        </is>
      </c>
      <c r="F579" t="inlineStr">
        <is>
          <t>MikroTik（Reseller）</t>
        </is>
      </c>
      <c r="G579" t="inlineStr">
        <is>
          <t>否</t>
        </is>
      </c>
      <c r="H579" t="inlineStr">
        <is>
          <t>卖 MikroTik 但缺工业/ERPS/PoE++ → 用同价位工业线补他的产品缺口</t>
        </is>
      </c>
      <c r="I579" t="inlineStr">
        <is>
          <t>LT-IS6312XG-4XS8GT</t>
        </is>
      </c>
      <c r="J579" t="inlineStr">
        <is>
          <t>+356 2205 6847 / sales@accreda.eu</t>
        </is>
      </c>
      <c r="K579" t="inlineStr">
        <is>
          <t>★★</t>
        </is>
      </c>
      <c r="L579" t="inlineStr">
        <is>
          <t>未触达</t>
        </is>
      </c>
      <c r="M579" t="inlineStr">
        <is>
          <t>2026-09-22</t>
        </is>
      </c>
      <c r="N579" t="inlineStr"/>
      <c r="O579" t="inlineStr"/>
      <c r="P579" t="inlineStr"/>
      <c r="Q579" t="inlineStr">
        <is>
          <t>Valletta</t>
        </is>
      </c>
      <c r="R579" t="inlineStr">
        <is>
          <t>B</t>
        </is>
      </c>
      <c r="S579" t="inlineStr">
        <is>
          <t>通用分销商信号，无差异化切入点，慢慢跟</t>
        </is>
      </c>
      <c r="T579" t="inlineStr">
        <is>
          <t>B-487</t>
        </is>
      </c>
      <c r="U579" t="inlineStr"/>
      <c r="V579" t="inlineStr"/>
    </row>
    <row r="580">
      <c r="A580" t="inlineStr">
        <is>
          <t>Tektraco</t>
        </is>
      </c>
      <c r="B580" t="inlineStr">
        <is>
          <t>马耳他</t>
        </is>
      </c>
      <c r="C580" t="inlineStr"/>
      <c r="D580" t="inlineStr">
        <is>
          <t>tektraco.com</t>
        </is>
      </c>
      <c r="E580" t="inlineStr">
        <is>
          <t>分销（Westermo Reseller）</t>
        </is>
      </c>
      <c r="F580" t="inlineStr">
        <is>
          <t>Westermo</t>
        </is>
      </c>
      <c r="G580" t="inlineStr">
        <is>
          <t>否</t>
        </is>
      </c>
      <c r="H580" t="inlineStr">
        <is>
          <t>工业/轨道同规格 1/3 价第二供应源</t>
        </is>
      </c>
      <c r="I580" t="inlineStr">
        <is>
          <t>LT-IS6312XGP-4XS8GT</t>
        </is>
      </c>
      <c r="J580" t="inlineStr">
        <is>
          <t>+356 21 378 088</t>
        </is>
      </c>
      <c r="K580" t="inlineStr">
        <is>
          <t>★</t>
        </is>
      </c>
      <c r="L580" t="inlineStr">
        <is>
          <t>未触达</t>
        </is>
      </c>
      <c r="M580" t="inlineStr">
        <is>
          <t>2026-09-22</t>
        </is>
      </c>
      <c r="N580" t="inlineStr"/>
      <c r="O580" t="inlineStr"/>
      <c r="P580" t="inlineStr"/>
      <c r="Q580" t="inlineStr">
        <is>
          <t>【2026-09-23】Westermo 官方 where-to-buy 名录确认的分销商。马耳他 reseller，具备认证技术支持与 Westermo 方案能力。</t>
        </is>
      </c>
      <c r="R580" t="inlineStr">
        <is>
          <t>C</t>
        </is>
      </c>
      <c r="S58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580" t="inlineStr">
        <is>
          <t>C-302</t>
        </is>
      </c>
      <c r="U580" t="inlineStr">
        <is>
          <t>B下放·无邮箱（群发触达不到）</t>
        </is>
      </c>
      <c r="V580" t="inlineStr"/>
    </row>
    <row r="581">
      <c r="A581" t="inlineStr">
        <is>
          <t>WST Systems Ltd</t>
        </is>
      </c>
      <c r="B581" t="inlineStr">
        <is>
          <t>马耳他</t>
        </is>
      </c>
      <c r="C581" t="inlineStr"/>
      <c r="D581" t="inlineStr">
        <is>
          <t>wstsystems.com</t>
        </is>
      </c>
      <c r="E581" t="inlineStr">
        <is>
          <t>分销（MikroTik 官方）</t>
        </is>
      </c>
      <c r="F581" t="inlineStr">
        <is>
          <t>MikroTik（Reseller）</t>
        </is>
      </c>
      <c r="G581" t="inlineStr">
        <is>
          <t>否</t>
        </is>
      </c>
      <c r="H581" t="inlineStr">
        <is>
          <t>MikroTik 官方分销，商用线可直接比价，工业线为零 → 新品类增量</t>
        </is>
      </c>
      <c r="I581" t="inlineStr">
        <is>
          <t>LT-S8328XG-4XS8GT-S</t>
        </is>
      </c>
      <c r="J581" t="inlineStr">
        <is>
          <t>+356 2144 7003 / nz@wstsystems.com</t>
        </is>
      </c>
      <c r="K581" t="inlineStr">
        <is>
          <t>★★</t>
        </is>
      </c>
      <c r="L581" t="inlineStr">
        <is>
          <t>未触达</t>
        </is>
      </c>
      <c r="M581" t="inlineStr">
        <is>
          <t>2026-09-22</t>
        </is>
      </c>
      <c r="N581" t="inlineStr"/>
      <c r="O581" t="inlineStr"/>
      <c r="P581" t="inlineStr"/>
      <c r="Q581" t="inlineStr">
        <is>
          <t>Birkirkara</t>
        </is>
      </c>
      <c r="R581" t="inlineStr">
        <is>
          <t>B</t>
        </is>
      </c>
      <c r="S581" t="inlineStr">
        <is>
          <t>通用分销商信号，无差异化切入点，慢慢跟</t>
        </is>
      </c>
      <c r="T581" t="inlineStr">
        <is>
          <t>B-489</t>
        </is>
      </c>
      <c r="U581" t="inlineStr"/>
      <c r="V581" t="inlineStr"/>
    </row>
    <row r="582">
      <c r="A582" t="inlineStr">
        <is>
          <t>Andrey Glushchenko / Core-Bridge</t>
        </is>
      </c>
      <c r="B582" t="inlineStr">
        <is>
          <t>黑山</t>
        </is>
      </c>
      <c r="C582" t="inlineStr">
        <is>
          <t>Bar</t>
        </is>
      </c>
      <c r="D582" t="inlineStr">
        <is>
          <t>core-bridge.me</t>
        </is>
      </c>
      <c r="E582" t="inlineStr">
        <is>
          <t>集成商/顾问（MikroTik 认证）</t>
        </is>
      </c>
      <c r="F582" t="inlineStr">
        <is>
          <t>MikroTik 认证顾问 MTCNA+MTCSE</t>
        </is>
      </c>
      <c r="G582" t="inlineStr">
        <is>
          <t>否</t>
        </is>
      </c>
      <c r="H582" t="inlineStr">
        <is>
          <t>MikroTik 认证顾问：自己做方案/集成/运维并自行采购设备 → 用 ERPS/IGMP/VLAN/CLI/MIB 这类技术语言切入，不打价格战</t>
        </is>
      </c>
      <c r="I582" t="inlineStr">
        <is>
          <t>LT-S8328G-4XS24GT-S</t>
        </is>
      </c>
      <c r="J582" t="inlineStr">
        <is>
          <t>+382 068 176 243 / AndreiGL@core-bridge.me</t>
        </is>
      </c>
      <c r="K582" t="inlineStr">
        <is>
          <t>★★</t>
        </is>
      </c>
      <c r="L582" t="inlineStr">
        <is>
          <t>未触达</t>
        </is>
      </c>
      <c r="M582" t="inlineStr">
        <is>
          <t>2026-09-22</t>
        </is>
      </c>
      <c r="N582" t="inlineStr"/>
      <c r="O582" t="inlineStr"/>
      <c r="P582" t="inlineStr"/>
      <c r="Q582" t="inlineStr">
        <is>
          <t>黑山**唯一**认证顾问（稀缺）；英俄塞三语</t>
        </is>
      </c>
      <c r="R582" t="inlineStr">
        <is>
          <t>B</t>
        </is>
      </c>
      <c r="S582" t="inlineStr">
        <is>
          <t>通用分销商信号，无差异化切入点，慢慢跟</t>
        </is>
      </c>
      <c r="T582" t="inlineStr">
        <is>
          <t>B-490</t>
        </is>
      </c>
      <c r="U582" t="inlineStr"/>
      <c r="V582" t="inlineStr"/>
    </row>
    <row r="583">
      <c r="A583" t="inlineStr">
        <is>
          <t>Netmont DOO</t>
        </is>
      </c>
      <c r="B583" t="inlineStr">
        <is>
          <t>黑山</t>
        </is>
      </c>
      <c r="C583" t="inlineStr"/>
      <c r="D583" t="inlineStr">
        <is>
          <t>netmont.me</t>
        </is>
      </c>
      <c r="E583" t="inlineStr">
        <is>
          <t>分销（MikroTik 官方）</t>
        </is>
      </c>
      <c r="F583" t="inlineStr">
        <is>
          <t>MikroTik（Master）</t>
        </is>
      </c>
      <c r="G583" t="inlineStr">
        <is>
          <t>否</t>
        </is>
      </c>
      <c r="H583" t="inlineStr">
        <is>
          <t>卖 MikroTik 但缺工业/ERPS/PoE++ → 用同价位工业线补他的产品缺口</t>
        </is>
      </c>
      <c r="I583" t="inlineStr">
        <is>
          <t>LT-IS6312XGP-4XS8GT</t>
        </is>
      </c>
      <c r="J583" t="inlineStr">
        <is>
          <t>+382 67 244 376 / info@setehnica.com</t>
        </is>
      </c>
      <c r="K583" t="inlineStr">
        <is>
          <t>★★★</t>
        </is>
      </c>
      <c r="L583" t="inlineStr">
        <is>
          <t>未触达</t>
        </is>
      </c>
      <c r="M583" t="inlineStr">
        <is>
          <t>2026-09-22</t>
        </is>
      </c>
      <c r="N583" t="inlineStr"/>
      <c r="O583" t="inlineStr"/>
      <c r="P583" t="inlineStr"/>
      <c r="Q583" t="inlineStr">
        <is>
          <t>Bar</t>
        </is>
      </c>
      <c r="R583" t="inlineStr">
        <is>
          <t>B</t>
        </is>
      </c>
      <c r="S583" t="inlineStr">
        <is>
          <t>通用分销商信号，无差异化切入点，慢慢跟</t>
        </is>
      </c>
      <c r="T583" t="inlineStr">
        <is>
          <t>B-491</t>
        </is>
      </c>
      <c r="U583" t="inlineStr"/>
      <c r="V583" t="inlineStr"/>
    </row>
    <row r="584">
      <c r="A584" t="inlineStr">
        <is>
          <t>RIDMONT D.O.O.</t>
        </is>
      </c>
      <c r="B584" t="inlineStr">
        <is>
          <t>黑山</t>
        </is>
      </c>
      <c r="C584" t="inlineStr"/>
      <c r="D584" t="inlineStr">
        <is>
          <t>ridmont.me</t>
        </is>
      </c>
      <c r="E584" t="inlineStr">
        <is>
          <t>分销（MikroTik 官方）</t>
        </is>
      </c>
      <c r="F584" t="inlineStr">
        <is>
          <t>MikroTik（Reseller）</t>
        </is>
      </c>
      <c r="G584" t="inlineStr">
        <is>
          <t>否</t>
        </is>
      </c>
      <c r="H584" t="inlineStr">
        <is>
          <t>卖 MikroTik 但缺工业/ERPS/PoE++ → 用同价位工业线补他的产品缺口</t>
        </is>
      </c>
      <c r="I584" t="inlineStr">
        <is>
          <t>LT-IS6312XG-4XS8GT</t>
        </is>
      </c>
      <c r="J584" t="inlineStr">
        <is>
          <t>+382 67 335 148 / info@ridmont.me</t>
        </is>
      </c>
      <c r="K584" t="inlineStr">
        <is>
          <t>★★</t>
        </is>
      </c>
      <c r="L584" t="inlineStr">
        <is>
          <t>未触达</t>
        </is>
      </c>
      <c r="M584" t="inlineStr">
        <is>
          <t>2026-09-22</t>
        </is>
      </c>
      <c r="N584" t="inlineStr"/>
      <c r="O584" t="inlineStr"/>
      <c r="P584" t="inlineStr"/>
      <c r="Q584" t="inlineStr">
        <is>
          <t>Podgorica</t>
        </is>
      </c>
      <c r="R584" t="inlineStr">
        <is>
          <t>B</t>
        </is>
      </c>
      <c r="S584" t="inlineStr">
        <is>
          <t>通用分销商信号，无差异化切入点，慢慢跟</t>
        </is>
      </c>
      <c r="T584" t="inlineStr">
        <is>
          <t>B-492</t>
        </is>
      </c>
      <c r="U584" t="inlineStr"/>
      <c r="V584" t="inlineStr"/>
    </row>
    <row r="585">
      <c r="A585" t="inlineStr">
        <is>
          <t>Jasper Hagoort</t>
        </is>
      </c>
      <c r="B585" t="inlineStr">
        <is>
          <t>荷兰</t>
        </is>
      </c>
      <c r="C585" t="inlineStr">
        <is>
          <t>Geertruidenberg</t>
        </is>
      </c>
      <c r="D585" t="inlineStr"/>
      <c r="E585" t="inlineStr">
        <is>
          <t>集成商/顾问（MikroTik 认证）</t>
        </is>
      </c>
      <c r="F585" t="inlineStr">
        <is>
          <t>MikroTik 认证顾问，持 MTCRE MTCWE MTCTCE MTCIPv6E MTCINE MTCSE MTCEWE</t>
        </is>
      </c>
      <c r="G585" t="inlineStr">
        <is>
          <t>否</t>
        </is>
      </c>
      <c r="H585" t="inlineStr">
        <is>
          <t>MikroTik 生态切入</t>
        </is>
      </c>
      <c r="I585" t="inlineStr">
        <is>
          <t>LT-S8328GP-4GX24GT-S</t>
        </is>
      </c>
      <c r="J585" t="inlineStr">
        <is>
          <t>+31 6 50462617（可 WhatsApp）</t>
        </is>
      </c>
      <c r="K585" t="inlineStr">
        <is>
          <t>★★★</t>
        </is>
      </c>
      <c r="L585" t="inlineStr">
        <is>
          <t>未触达</t>
        </is>
      </c>
      <c r="M585" t="inlineStr">
        <is>
          <t>MikroTik 官方认证顾问名录</t>
        </is>
      </c>
      <c r="N585" t="inlineStr"/>
      <c r="O585" t="inlineStr"/>
      <c r="P585" t="inlineStr"/>
      <c r="Q5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5" t="inlineStr">
        <is>
          <t>A</t>
        </is>
      </c>
      <c r="S585" t="inlineStr">
        <is>
          <t>【人工定级】A —— 自动规则已跳过；信息待人工补齐（见备注）</t>
        </is>
      </c>
      <c r="T585" t="inlineStr">
        <is>
          <t>A-150</t>
        </is>
      </c>
      <c r="U585" t="inlineStr"/>
      <c r="V585" t="inlineStr">
        <is>
          <t>A</t>
        </is>
      </c>
    </row>
    <row r="586">
      <c r="A586" t="inlineStr">
        <is>
          <t>Michiel Visser</t>
        </is>
      </c>
      <c r="B586" t="inlineStr">
        <is>
          <t>荷兰</t>
        </is>
      </c>
      <c r="C586" t="inlineStr">
        <is>
          <t>Deventer</t>
        </is>
      </c>
      <c r="D586" t="inlineStr"/>
      <c r="E586" t="inlineStr">
        <is>
          <t>集成商/顾问（MikroTik 认证）</t>
        </is>
      </c>
      <c r="F586" t="inlineStr">
        <is>
          <t>MikroTik 认证顾问，持 MTCRE MTCWE MTCIPv6E MTCINE MTCSE</t>
        </is>
      </c>
      <c r="G586" t="inlineStr">
        <is>
          <t>否</t>
        </is>
      </c>
      <c r="H586" t="inlineStr">
        <is>
          <t>MikroTik 生态切入</t>
        </is>
      </c>
      <c r="I586" t="inlineStr">
        <is>
          <t>LT-S8328GP-4GX24GT-S</t>
        </is>
      </c>
      <c r="J586" t="inlineStr">
        <is>
          <t>+31 6 29047127</t>
        </is>
      </c>
      <c r="K586" t="inlineStr">
        <is>
          <t>★★★</t>
        </is>
      </c>
      <c r="L586" t="inlineStr">
        <is>
          <t>未触达</t>
        </is>
      </c>
      <c r="M586" t="inlineStr">
        <is>
          <t>MikroTik 官方认证顾问名录</t>
        </is>
      </c>
      <c r="N586" t="inlineStr"/>
      <c r="O586" t="inlineStr"/>
      <c r="P586" t="inlineStr"/>
      <c r="Q5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6" t="inlineStr">
        <is>
          <t>A</t>
        </is>
      </c>
      <c r="S586" t="inlineStr">
        <is>
          <t>【人工定级】A —— 自动规则已跳过；信息待人工补齐（见备注）</t>
        </is>
      </c>
      <c r="T586" t="inlineStr">
        <is>
          <t>A-151</t>
        </is>
      </c>
      <c r="U586" t="inlineStr"/>
      <c r="V586" t="inlineStr">
        <is>
          <t>A</t>
        </is>
      </c>
    </row>
    <row r="587">
      <c r="A587" t="inlineStr">
        <is>
          <t>Corné Van Halteren</t>
        </is>
      </c>
      <c r="B587" t="inlineStr">
        <is>
          <t>荷兰</t>
        </is>
      </c>
      <c r="C587" t="inlineStr">
        <is>
          <t>'s-Hertogenbosch</t>
        </is>
      </c>
      <c r="D587" t="inlineStr"/>
      <c r="E587" t="inlineStr">
        <is>
          <t>集成商/顾问（MikroTik 认证）</t>
        </is>
      </c>
      <c r="F587" t="inlineStr">
        <is>
          <t>MikroTik 认证顾问，持 MTCRE</t>
        </is>
      </c>
      <c r="G587" t="inlineStr">
        <is>
          <t>否</t>
        </is>
      </c>
      <c r="H587" t="inlineStr">
        <is>
          <t>MikroTik 生态切入</t>
        </is>
      </c>
      <c r="I587" t="inlineStr">
        <is>
          <t>LT-S8328GP-4GX24GT-S</t>
        </is>
      </c>
      <c r="J587" t="inlineStr">
        <is>
          <t>+31 6 28026574；站点 dael.com</t>
        </is>
      </c>
      <c r="K587" t="inlineStr">
        <is>
          <t>★★★</t>
        </is>
      </c>
      <c r="L587" t="inlineStr">
        <is>
          <t>未触达</t>
        </is>
      </c>
      <c r="M587" t="inlineStr">
        <is>
          <t>MikroTik 官方认证顾问名录</t>
        </is>
      </c>
      <c r="N587" t="inlineStr"/>
      <c r="O587" t="inlineStr"/>
      <c r="P587" t="inlineStr"/>
      <c r="Q5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官方认证顾问名录（mikrotik.com/consultants）收录。自述提供 MikroTik 网络规划、实施与管理服务。</t>
        </is>
      </c>
      <c r="R587" t="inlineStr">
        <is>
          <t>A</t>
        </is>
      </c>
      <c r="S587" t="inlineStr">
        <is>
          <t>【人工定级】A —— 自动规则已跳过；信息待人工补齐（见备注）</t>
        </is>
      </c>
      <c r="T587" t="inlineStr">
        <is>
          <t>A-152</t>
        </is>
      </c>
      <c r="U587" t="inlineStr"/>
      <c r="V587" t="inlineStr">
        <is>
          <t>A</t>
        </is>
      </c>
    </row>
    <row r="588">
      <c r="A588" t="inlineStr">
        <is>
          <t>Aris Vink</t>
        </is>
      </c>
      <c r="B588" t="inlineStr">
        <is>
          <t>荷兰</t>
        </is>
      </c>
      <c r="C588" t="inlineStr">
        <is>
          <t>Zoetermeer</t>
        </is>
      </c>
      <c r="D588" t="inlineStr"/>
      <c r="E588" t="inlineStr">
        <is>
          <t>集成商/顾问（MikroTik 认证）</t>
        </is>
      </c>
      <c r="F588" t="inlineStr">
        <is>
          <t>MikroTik 认证顾问，持 MTCRE</t>
        </is>
      </c>
      <c r="G588" t="inlineStr">
        <is>
          <t>否</t>
        </is>
      </c>
      <c r="H588" t="inlineStr">
        <is>
          <t>MikroTik 生态切入</t>
        </is>
      </c>
      <c r="I588" t="inlineStr">
        <is>
          <t>LT-S8328GP-4GX24GT-S</t>
        </is>
      </c>
      <c r="J588" t="inlineStr">
        <is>
          <t>+31 6 17552148；站点 sdc.nl</t>
        </is>
      </c>
      <c r="K588" t="inlineStr">
        <is>
          <t>★★★</t>
        </is>
      </c>
      <c r="L588" t="inlineStr">
        <is>
          <t>未触达</t>
        </is>
      </c>
      <c r="M588" t="inlineStr">
        <is>
          <t>MikroTik 官方认证顾问名录</t>
        </is>
      </c>
      <c r="N588" t="inlineStr"/>
      <c r="O588" t="inlineStr"/>
      <c r="P588" t="inlineStr"/>
      <c r="Q5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官方认证顾问名录（mikrotik.com/consultants）收录。名录显示为某 MikroTik 增值总代的售前顾问与认证讲师，帮转售商做设计实施。</t>
        </is>
      </c>
      <c r="R588" t="inlineStr">
        <is>
          <t>A</t>
        </is>
      </c>
      <c r="S588" t="inlineStr">
        <is>
          <t>【人工定级】A —— 自动规则已跳过；信息待人工补齐（见备注）</t>
        </is>
      </c>
      <c r="T588" t="inlineStr">
        <is>
          <t>A-153</t>
        </is>
      </c>
      <c r="U588" t="inlineStr"/>
      <c r="V588" t="inlineStr">
        <is>
          <t>A</t>
        </is>
      </c>
    </row>
    <row r="589">
      <c r="A589" t="inlineStr">
        <is>
          <t>Rene Dirks</t>
        </is>
      </c>
      <c r="B589" t="inlineStr">
        <is>
          <t>荷兰</t>
        </is>
      </c>
      <c r="C589" t="inlineStr">
        <is>
          <t>Tilburg</t>
        </is>
      </c>
      <c r="D589" t="inlineStr"/>
      <c r="E589" t="inlineStr">
        <is>
          <t>集成商/顾问（MikroTik 认证）</t>
        </is>
      </c>
      <c r="F589" t="inlineStr">
        <is>
          <t>MikroTik 认证顾问，持 MTCRE</t>
        </is>
      </c>
      <c r="G589" t="inlineStr">
        <is>
          <t>否</t>
        </is>
      </c>
      <c r="H589" t="inlineStr">
        <is>
          <t>MikroTik 生态切入</t>
        </is>
      </c>
      <c r="I589" t="inlineStr">
        <is>
          <t>LT-S8328GP-4GX24GT-S</t>
        </is>
      </c>
      <c r="J589" t="inlineStr">
        <is>
          <t>+31 135 470063；站点 gewoon-it.nl</t>
        </is>
      </c>
      <c r="K589" t="inlineStr">
        <is>
          <t>★★★</t>
        </is>
      </c>
      <c r="L589" t="inlineStr">
        <is>
          <t>未触达</t>
        </is>
      </c>
      <c r="M589" t="inlineStr">
        <is>
          <t>MikroTik 官方认证顾问名录</t>
        </is>
      </c>
      <c r="N589" t="inlineStr"/>
      <c r="O589" t="inlineStr"/>
      <c r="P589" t="inlineStr"/>
      <c r="Q5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89" t="inlineStr">
        <is>
          <t>A</t>
        </is>
      </c>
      <c r="S589" t="inlineStr">
        <is>
          <t>【人工定级】A —— 自动规则已跳过；信息待人工补齐（见备注）</t>
        </is>
      </c>
      <c r="T589" t="inlineStr">
        <is>
          <t>A-154</t>
        </is>
      </c>
      <c r="U589" t="inlineStr"/>
      <c r="V589" t="inlineStr">
        <is>
          <t>A</t>
        </is>
      </c>
    </row>
    <row r="590">
      <c r="A590" t="inlineStr">
        <is>
          <t>Rogier Banis</t>
        </is>
      </c>
      <c r="B590" t="inlineStr">
        <is>
          <t>荷兰</t>
        </is>
      </c>
      <c r="C590" t="inlineStr">
        <is>
          <t>Maurik</t>
        </is>
      </c>
      <c r="D590" t="inlineStr"/>
      <c r="E590" t="inlineStr">
        <is>
          <t>集成商/顾问（MikroTik 认证）</t>
        </is>
      </c>
      <c r="F590" t="inlineStr">
        <is>
          <t>MikroTik 认证顾问，持 MTCRE MTCINE</t>
        </is>
      </c>
      <c r="G590" t="inlineStr">
        <is>
          <t>否</t>
        </is>
      </c>
      <c r="H590" t="inlineStr">
        <is>
          <t>MikroTik 生态切入</t>
        </is>
      </c>
      <c r="I590" t="inlineStr">
        <is>
          <t>LT-S8328GP-4GX24GT-S</t>
        </is>
      </c>
      <c r="J590" t="inlineStr">
        <is>
          <t>MikroTik 顾问名录</t>
        </is>
      </c>
      <c r="K590" t="inlineStr">
        <is>
          <t>★★★</t>
        </is>
      </c>
      <c r="L590" t="inlineStr">
        <is>
          <t>未触达</t>
        </is>
      </c>
      <c r="M590" t="inlineStr">
        <is>
          <t>MikroTik 官方认证顾问名录</t>
        </is>
      </c>
      <c r="N590" t="inlineStr"/>
      <c r="O590" t="inlineStr"/>
      <c r="P590" t="inlineStr"/>
      <c r="Q5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 20+ 年 LAN/WAN 经验，含无线点对点/点对多点与流量整形。</t>
        </is>
      </c>
      <c r="R590" t="inlineStr">
        <is>
          <t>A</t>
        </is>
      </c>
      <c r="S590" t="inlineStr">
        <is>
          <t>【人工定级】A —— 自动规则已跳过；信息待人工补齐（见备注）</t>
        </is>
      </c>
      <c r="T590" t="inlineStr">
        <is>
          <t>A-155</t>
        </is>
      </c>
      <c r="U590" t="inlineStr"/>
      <c r="V590" t="inlineStr">
        <is>
          <t>A</t>
        </is>
      </c>
    </row>
    <row r="591">
      <c r="A591" t="inlineStr">
        <is>
          <t>Roelof Daleboudt</t>
        </is>
      </c>
      <c r="B591" t="inlineStr">
        <is>
          <t>荷兰</t>
        </is>
      </c>
      <c r="C591" t="inlineStr">
        <is>
          <t>Coevorden</t>
        </is>
      </c>
      <c r="D591" t="inlineStr"/>
      <c r="E591" t="inlineStr">
        <is>
          <t>集成商/顾问（MikroTik 认证）</t>
        </is>
      </c>
      <c r="F591" t="inlineStr">
        <is>
          <t>MikroTik 认证顾问，持 MTCRE</t>
        </is>
      </c>
      <c r="G591" t="inlineStr">
        <is>
          <t>否</t>
        </is>
      </c>
      <c r="H591" t="inlineStr">
        <is>
          <t>MikroTik 生态切入</t>
        </is>
      </c>
      <c r="I591" t="inlineStr">
        <is>
          <t>LT-S8328GP-4GX24GT-S</t>
        </is>
      </c>
      <c r="J591" t="inlineStr">
        <is>
          <t>MikroTik 顾问名录</t>
        </is>
      </c>
      <c r="K591" t="inlineStr">
        <is>
          <t>★★★</t>
        </is>
      </c>
      <c r="L591" t="inlineStr">
        <is>
          <t>未触达</t>
        </is>
      </c>
      <c r="M591" t="inlineStr">
        <is>
          <t>MikroTik 官方认证顾问名录</t>
        </is>
      </c>
      <c r="N591" t="inlineStr"/>
      <c r="O591" t="inlineStr"/>
      <c r="P591" t="inlineStr"/>
      <c r="Q5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</t>
        </is>
      </c>
      <c r="R591" t="inlineStr">
        <is>
          <t>A</t>
        </is>
      </c>
      <c r="S591" t="inlineStr">
        <is>
          <t>【人工定级】A —— 自动规则已跳过；信息待人工补齐（见备注）</t>
        </is>
      </c>
      <c r="T591" t="inlineStr">
        <is>
          <t>A-156</t>
        </is>
      </c>
      <c r="U591" t="inlineStr"/>
      <c r="V591" t="inlineStr">
        <is>
          <t>A</t>
        </is>
      </c>
    </row>
    <row r="592">
      <c r="A592" t="inlineStr">
        <is>
          <t>Krystof Klima</t>
        </is>
      </c>
      <c r="B592" t="inlineStr">
        <is>
          <t>捷克</t>
        </is>
      </c>
      <c r="C592" t="inlineStr">
        <is>
          <t>Lety</t>
        </is>
      </c>
      <c r="D592" t="inlineStr"/>
      <c r="E592" t="inlineStr">
        <is>
          <t>集成商/顾问（MikroTik 认证）</t>
        </is>
      </c>
      <c r="F592" t="inlineStr">
        <is>
          <t>MikroTik 认证顾问，持 MTCRE MTCWE MTCTCE MTCUME MTCIPv6E MTCSE</t>
        </is>
      </c>
      <c r="G592" t="inlineStr">
        <is>
          <t>否</t>
        </is>
      </c>
      <c r="H592" t="inlineStr">
        <is>
          <t>MikroTik 生态切入</t>
        </is>
      </c>
      <c r="I592" t="inlineStr">
        <is>
          <t>LT-S8328GP-4GX24GT-S</t>
        </is>
      </c>
      <c r="J592" t="inlineStr">
        <is>
          <t>MikroTik 顾问名录</t>
        </is>
      </c>
      <c r="K592" t="inlineStr">
        <is>
          <t>★★★</t>
        </is>
      </c>
      <c r="L592" t="inlineStr">
        <is>
          <t>未触达</t>
        </is>
      </c>
      <c r="M592" t="inlineStr">
        <is>
          <t>MikroTik 官方认证顾问名录</t>
        </is>
      </c>
      <c r="N592" t="inlineStr"/>
      <c r="O592" t="inlineStr"/>
      <c r="P592" t="inlineStr"/>
      <c r="Q5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官方认证顾问名录（mikrotik.com/consultants）收录。自述专长带宽管理与队列、RADIUS、高级防火墙、VPN 与隧道、OSPF/BGP 动态路由。</t>
        </is>
      </c>
      <c r="R592" t="inlineStr">
        <is>
          <t>A</t>
        </is>
      </c>
      <c r="S592" t="inlineStr">
        <is>
          <t>【人工定级】A —— 自动规则已跳过；信息待人工补齐（见备注）</t>
        </is>
      </c>
      <c r="T592" t="inlineStr">
        <is>
          <t>A-157</t>
        </is>
      </c>
      <c r="U592" t="inlineStr"/>
      <c r="V592" t="inlineStr">
        <is>
          <t>A</t>
        </is>
      </c>
    </row>
    <row r="593">
      <c r="A593" t="inlineStr">
        <is>
          <t>Alexandr Mensenin</t>
        </is>
      </c>
      <c r="B593" t="inlineStr">
        <is>
          <t>捷克</t>
        </is>
      </c>
      <c r="C593" t="inlineStr">
        <is>
          <t>Ostrava</t>
        </is>
      </c>
      <c r="D593" t="inlineStr"/>
      <c r="E593" t="inlineStr">
        <is>
          <t>集成商/顾问（MikroTik 认证）</t>
        </is>
      </c>
      <c r="F593" t="inlineStr">
        <is>
          <t>MikroTik 认证顾问，持 MTCRE MTCWE MTCTCE MTCUME MTCIPv6E MTCSE</t>
        </is>
      </c>
      <c r="G593" t="inlineStr">
        <is>
          <t>否</t>
        </is>
      </c>
      <c r="H593" t="inlineStr">
        <is>
          <t>MikroTik 生态切入</t>
        </is>
      </c>
      <c r="I593" t="inlineStr">
        <is>
          <t>LT-S8328GP-4GX24GT-S</t>
        </is>
      </c>
      <c r="J593" t="inlineStr">
        <is>
          <t>+420 608 746 740</t>
        </is>
      </c>
      <c r="K593" t="inlineStr">
        <is>
          <t>★★★</t>
        </is>
      </c>
      <c r="L593" t="inlineStr">
        <is>
          <t>未触达</t>
        </is>
      </c>
      <c r="M593" t="inlineStr">
        <is>
          <t>MikroTik 官方认证顾问名录</t>
        </is>
      </c>
      <c r="N593" t="inlineStr"/>
      <c r="O593" t="inlineStr"/>
      <c r="P593" t="inlineStr"/>
      <c r="Q5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官方认证顾问名录（mikrotik.com/consultants）收录。自述含 QoS、高级无线、流量分析、VPN/隧道、PtP/PtMP、QinQ。</t>
        </is>
      </c>
      <c r="R593" t="inlineStr">
        <is>
          <t>A</t>
        </is>
      </c>
      <c r="S593" t="inlineStr">
        <is>
          <t>【人工定级】A —— 自动规则已跳过；信息待人工补齐（见备注）</t>
        </is>
      </c>
      <c r="T593" t="inlineStr">
        <is>
          <t>A-158</t>
        </is>
      </c>
      <c r="U593" t="inlineStr"/>
      <c r="V593" t="inlineStr">
        <is>
          <t>A</t>
        </is>
      </c>
    </row>
    <row r="594">
      <c r="A594" t="inlineStr">
        <is>
          <t>N-net</t>
        </is>
      </c>
      <c r="B594" t="inlineStr">
        <is>
          <t>中国（在欧销售）</t>
        </is>
      </c>
      <c r="C594" t="inlineStr"/>
      <c r="D594" t="inlineStr">
        <is>
          <t>—</t>
        </is>
      </c>
      <c r="E594" t="inlineStr">
        <is>
          <t>竞品（中国低价）</t>
        </is>
      </c>
      <c r="F594" t="inlineStr">
        <is>
          <t>工业PoE（经Direktronik）</t>
        </is>
      </c>
      <c r="G594" t="inlineStr">
        <is>
          <t>是</t>
        </is>
      </c>
      <c r="H594" t="inlineStr">
        <is>
          <t>⚠️同上</t>
        </is>
      </c>
      <c r="I594" t="inlineStr">
        <is>
          <t>—</t>
        </is>
      </c>
      <c r="J594" t="inlineStr">
        <is>
          <t>—</t>
        </is>
      </c>
      <c r="K594" t="inlineStr">
        <is>
          <t>观察</t>
        </is>
      </c>
      <c r="L594" t="inlineStr">
        <is>
          <t>未触达</t>
        </is>
      </c>
      <c r="M594" t="inlineStr">
        <is>
          <t>反向信号/2026-09</t>
        </is>
      </c>
      <c r="N594" t="inlineStr"/>
      <c r="O594" t="inlineStr"/>
      <c r="P594" t="inlineStr"/>
      <c r="Q594" t="inlineStr">
        <is>
          <t>经 Direktronik(SE) 【范围外】不在本次目标区域（欧洲+美加）内，暂不触达，留档备用</t>
        </is>
      </c>
      <c r="R594" t="inlineStr">
        <is>
          <t>C</t>
        </is>
      </c>
      <c r="S594" t="inlineStr">
        <is>
          <t>类型属大盘/自有品牌（竞品（中国低价））；区域外（中国（在欧销售）），不在欧洲+美加范围内，决策链长或存在品牌冲突</t>
        </is>
      </c>
      <c r="T594" t="inlineStr">
        <is>
          <t>C-001</t>
        </is>
      </c>
      <c r="U594" t="inlineStr">
        <is>
          <t>范围外（非欧洲/北美）</t>
        </is>
      </c>
      <c r="V594" t="inlineStr"/>
    </row>
    <row r="595">
      <c r="A595" t="inlineStr">
        <is>
          <t>STONET / Netis</t>
        </is>
      </c>
      <c r="B595" t="inlineStr">
        <is>
          <t>中国（在欧销售）</t>
        </is>
      </c>
      <c r="C595" t="inlineStr"/>
      <c r="D595" t="inlineStr">
        <is>
          <t>—</t>
        </is>
      </c>
      <c r="E595" t="inlineStr">
        <is>
          <t>竞品（中国低价）</t>
        </is>
      </c>
      <c r="F595" t="inlineStr">
        <is>
          <t>STONET NIS 系列</t>
        </is>
      </c>
      <c r="G595" t="inlineStr">
        <is>
          <t>是</t>
        </is>
      </c>
      <c r="H595" t="inlineStr">
        <is>
          <t>⚠️价格地板；卖他们的欧洲商家=你的客户</t>
        </is>
      </c>
      <c r="I595" t="inlineStr">
        <is>
          <t>—</t>
        </is>
      </c>
      <c r="J595" t="inlineStr">
        <is>
          <t>—</t>
        </is>
      </c>
      <c r="K595" t="inlineStr">
        <is>
          <t>观察</t>
        </is>
      </c>
      <c r="L595" t="inlineStr">
        <is>
          <t>未触达</t>
        </is>
      </c>
      <c r="M595" t="inlineStr">
        <is>
          <t>反向信号/2026-09</t>
        </is>
      </c>
      <c r="N595" t="inlineStr"/>
      <c r="O595" t="inlineStr"/>
      <c r="P595" t="inlineStr"/>
      <c r="Q595" t="inlineStr">
        <is>
          <t>经 ecomshop(ES)、Inmac(FR) 【范围外】不在本次目标区域（欧洲+美加）内，暂不触达，留档备用</t>
        </is>
      </c>
      <c r="R595" t="inlineStr">
        <is>
          <t>C</t>
        </is>
      </c>
      <c r="S595" t="inlineStr">
        <is>
          <t>类型属大盘/自有品牌（竞品（中国低价））；区域外（中国（在欧销售）），不在欧洲+美加范围内，决策链长或存在品牌冲突</t>
        </is>
      </c>
      <c r="T595" t="inlineStr">
        <is>
          <t>C-002</t>
        </is>
      </c>
      <c r="U595" t="inlineStr">
        <is>
          <t>范围外（非欧洲/北美）</t>
        </is>
      </c>
      <c r="V595" t="inlineStr"/>
    </row>
    <row r="596">
      <c r="A596" t="inlineStr">
        <is>
          <t>Tachyon Networks</t>
        </is>
      </c>
      <c r="B596" t="inlineStr">
        <is>
          <t>中国（在欧销售）</t>
        </is>
      </c>
      <c r="C596" t="inlineStr"/>
      <c r="D596" t="inlineStr">
        <is>
          <t>—</t>
        </is>
      </c>
      <c r="E596" t="inlineStr">
        <is>
          <t>竞品（中国低价）</t>
        </is>
      </c>
      <c r="F596" t="inlineStr">
        <is>
          <t>TNS-100（被动PoE 160W+10G SFP+）</t>
        </is>
      </c>
      <c r="G596" t="inlineStr">
        <is>
          <t>是</t>
        </is>
      </c>
      <c r="H596" t="inlineStr">
        <is>
          <t>⚠️同上</t>
        </is>
      </c>
      <c r="I596" t="inlineStr">
        <is>
          <t>—</t>
        </is>
      </c>
      <c r="J596" t="inlineStr">
        <is>
          <t>—</t>
        </is>
      </c>
      <c r="K596" t="inlineStr">
        <is>
          <t>观察</t>
        </is>
      </c>
      <c r="L596" t="inlineStr">
        <is>
          <t>未触达</t>
        </is>
      </c>
      <c r="M596" t="inlineStr">
        <is>
          <t>反向信号/2026-09</t>
        </is>
      </c>
      <c r="N596" t="inlineStr"/>
      <c r="O596" t="inlineStr"/>
      <c r="P596" t="inlineStr"/>
      <c r="Q596" t="inlineStr">
        <is>
          <t>经 ecomshop(ES) 【范围外】不在本次目标区域（欧洲+美加）内，暂不触达，留档备用</t>
        </is>
      </c>
      <c r="R596" t="inlineStr">
        <is>
          <t>C</t>
        </is>
      </c>
      <c r="S596" t="inlineStr">
        <is>
          <t>类型属大盘/自有品牌（竞品（中国低价））；区域外（中国（在欧销售）），不在欧洲+美加范围内，决策链长或存在品牌冲突</t>
        </is>
      </c>
      <c r="T596" t="inlineStr">
        <is>
          <t>C-003</t>
        </is>
      </c>
      <c r="U596" t="inlineStr">
        <is>
          <t>范围外（非欧洲/北美）</t>
        </is>
      </c>
      <c r="V596" t="inlineStr"/>
    </row>
    <row r="597">
      <c r="A597" t="inlineStr">
        <is>
          <t>WI-TEK</t>
        </is>
      </c>
      <c r="B597" t="inlineStr">
        <is>
          <t>中国（在欧销售）</t>
        </is>
      </c>
      <c r="C597" t="inlineStr"/>
      <c r="D597" t="inlineStr">
        <is>
          <t>—</t>
        </is>
      </c>
      <c r="E597" t="inlineStr">
        <is>
          <t>竞品（中国低价）</t>
        </is>
      </c>
      <c r="F597" t="inlineStr">
        <is>
          <t>WI-PMS310GF（8GE PoE+2SFP，300W）</t>
        </is>
      </c>
      <c r="G597" t="inlineStr">
        <is>
          <t>是</t>
        </is>
      </c>
      <c r="H597" t="inlineStr">
        <is>
          <t>⚠️同上</t>
        </is>
      </c>
      <c r="I597" t="inlineStr">
        <is>
          <t>—</t>
        </is>
      </c>
      <c r="J597" t="inlineStr">
        <is>
          <t>—</t>
        </is>
      </c>
      <c r="K597" t="inlineStr">
        <is>
          <t>观察</t>
        </is>
      </c>
      <c r="L597" t="inlineStr">
        <is>
          <t>未触达</t>
        </is>
      </c>
      <c r="M597" t="inlineStr">
        <is>
          <t>反向信号/2026-09</t>
        </is>
      </c>
      <c r="N597" t="inlineStr"/>
      <c r="O597" t="inlineStr"/>
      <c r="P597" t="inlineStr"/>
      <c r="Q597" t="inlineStr">
        <is>
          <t>经 ecomshop(ES) 【范围外】不在本次目标区域（欧洲+美加）内，暂不触达，留档备用</t>
        </is>
      </c>
      <c r="R597" t="inlineStr">
        <is>
          <t>C</t>
        </is>
      </c>
      <c r="S597" t="inlineStr">
        <is>
          <t>类型属大盘/自有品牌（竞品（中国低价））；区域外（中国（在欧销售）），不在欧洲+美加范围内，决策链长或存在品牌冲突</t>
        </is>
      </c>
      <c r="T597" t="inlineStr">
        <is>
          <t>C-004</t>
        </is>
      </c>
      <c r="U597" t="inlineStr">
        <is>
          <t>范围外（非欧洲/北美）</t>
        </is>
      </c>
      <c r="V597" t="inlineStr"/>
    </row>
    <row r="598">
      <c r="A598" t="inlineStr">
        <is>
          <t>keepLiNK / YuLinca / Binardat</t>
        </is>
      </c>
      <c r="B598" t="inlineStr">
        <is>
          <t>中国（在欧销售）</t>
        </is>
      </c>
      <c r="C598" t="inlineStr"/>
      <c r="D598" t="inlineStr">
        <is>
          <t>—</t>
        </is>
      </c>
      <c r="E598" t="inlineStr">
        <is>
          <t>竞品（中国低价）</t>
        </is>
      </c>
      <c r="F598" t="inlineStr">
        <is>
          <t>亚马逊意大利/德国工业PoE</t>
        </is>
      </c>
      <c r="G598" t="inlineStr">
        <is>
          <t>是</t>
        </is>
      </c>
      <c r="H598" t="inlineStr">
        <is>
          <t>⚠️电商低价地板（€50–90）</t>
        </is>
      </c>
      <c r="I598" t="inlineStr">
        <is>
          <t>—</t>
        </is>
      </c>
      <c r="J598" t="inlineStr">
        <is>
          <t>—</t>
        </is>
      </c>
      <c r="K598" t="inlineStr">
        <is>
          <t>观察</t>
        </is>
      </c>
      <c r="L598" t="inlineStr">
        <is>
          <t>未触达</t>
        </is>
      </c>
      <c r="M598" t="inlineStr">
        <is>
          <t>反向信号/2026-09</t>
        </is>
      </c>
      <c r="N598" t="inlineStr"/>
      <c r="O598" t="inlineStr"/>
      <c r="P598" t="inlineStr"/>
      <c r="Q598" t="inlineStr">
        <is>
          <t>Amazon IT/DE 【范围外】不在本次目标区域（欧洲+美加）内，暂不触达，留档备用</t>
        </is>
      </c>
      <c r="R598" t="inlineStr">
        <is>
          <t>C</t>
        </is>
      </c>
      <c r="S598" t="inlineStr">
        <is>
          <t>类型属大盘/自有品牌（竞品（中国低价））；区域外（中国（在欧销售）），不在欧洲+美加范围内，决策链长或存在品牌冲突</t>
        </is>
      </c>
      <c r="T598" t="inlineStr">
        <is>
          <t>C-005</t>
        </is>
      </c>
      <c r="U598" t="inlineStr">
        <is>
          <t>范围外（非欧洲/北美）</t>
        </is>
      </c>
      <c r="V598" t="inlineStr"/>
    </row>
    <row r="599">
      <c r="A599" t="inlineStr">
        <is>
          <t>Senetic Israel</t>
        </is>
      </c>
      <c r="B599" t="inlineStr">
        <is>
          <t>以色列</t>
        </is>
      </c>
      <c r="C599" t="inlineStr"/>
      <c r="D599" t="inlineStr">
        <is>
          <t>senetic.co.il</t>
        </is>
      </c>
      <c r="E599" t="inlineStr">
        <is>
          <t>分销（MikroTik 官方）</t>
        </is>
      </c>
      <c r="F599" t="inlineStr">
        <is>
          <t>MikroTik（Reseller）</t>
        </is>
      </c>
      <c r="G599" t="inlineStr">
        <is>
          <t>否</t>
        </is>
      </c>
      <c r="H599" t="inlineStr">
        <is>
          <t>Senetic 集团以色列站</t>
        </is>
      </c>
      <c r="I599" t="inlineStr">
        <is>
          <t>LT-S8328XG-4XS8GT-S</t>
        </is>
      </c>
      <c r="J599" t="inlineStr">
        <is>
          <t>+972 37 207 326 / info@senetic.co.il</t>
        </is>
      </c>
      <c r="K599" t="inlineStr">
        <is>
          <t>★★</t>
        </is>
      </c>
      <c r="L599" t="inlineStr">
        <is>
          <t>未触达</t>
        </is>
      </c>
      <c r="M599" t="inlineStr">
        <is>
          <t>2026-09-22</t>
        </is>
      </c>
      <c r="N599" t="inlineStr"/>
      <c r="O599" t="inlineStr"/>
      <c r="P599" t="inlineStr"/>
      <c r="Q599" t="inlineStr">
        <is>
          <t>Tel Aviv 【关联】Senetic（同集团另有 pl / co.uk / fr / it / ch / se 站点，一国的采购决策可能由集团统一，谈一家等于谈七国）</t>
        </is>
      </c>
      <c r="R599" t="inlineStr">
        <is>
          <t>C</t>
        </is>
      </c>
      <c r="S599" t="inlineStr">
        <is>
          <t>备注含「集团」，决策链长或存在品牌冲突</t>
        </is>
      </c>
      <c r="T599" t="inlineStr">
        <is>
          <t>C-006</t>
        </is>
      </c>
      <c r="U599" t="inlineStr">
        <is>
          <t>太难·规模过大/决策链长</t>
        </is>
      </c>
      <c r="V599" t="inlineStr"/>
    </row>
    <row r="600">
      <c r="A600" t="inlineStr">
        <is>
          <t>Shafaq Alforat General Trading</t>
        </is>
      </c>
      <c r="B600" t="inlineStr">
        <is>
          <t>伊拉克</t>
        </is>
      </c>
      <c r="C600" t="inlineStr"/>
      <c r="D600" t="inlineStr">
        <is>
          <t>shafaqalforat.com</t>
        </is>
      </c>
      <c r="E600" t="inlineStr">
        <is>
          <t>分销（ORing 授权）</t>
        </is>
      </c>
      <c r="F600" t="inlineStr">
        <is>
          <t>ORing</t>
        </is>
      </c>
      <c r="G600" t="inlineStr">
        <is>
          <t>否</t>
        </is>
      </c>
      <c r="H600" t="inlineStr">
        <is>
          <t>工业/轨道同规格 1/3 价第二供应源</t>
        </is>
      </c>
      <c r="I600" t="inlineStr">
        <is>
          <t>LT-IS6312XG-4XS8GT</t>
        </is>
      </c>
      <c r="J600" t="inlineStr">
        <is>
          <t>+964 784 227 7262 / info@shafaqalforat.com</t>
        </is>
      </c>
      <c r="K600" t="inlineStr">
        <is>
          <t>★</t>
        </is>
      </c>
      <c r="L600" t="inlineStr">
        <is>
          <t>未触达</t>
        </is>
      </c>
      <c r="M600" t="inlineStr">
        <is>
          <t>2026-09-22</t>
        </is>
      </c>
      <c r="N600" t="inlineStr"/>
      <c r="O600" t="inlineStr"/>
      <c r="P600" t="inlineStr"/>
      <c r="Q600" t="inlineStr">
        <is>
          <t>出库前做合规筛查 【范围外】不在本次目标区域（欧洲+美加）内，暂不触达，留档备用</t>
        </is>
      </c>
      <c r="R600" t="inlineStr">
        <is>
          <t>C</t>
        </is>
      </c>
      <c r="S600" t="inlineStr">
        <is>
          <t>区域外（伊拉克），不在欧洲+美加范围内，决策链长或存在品牌冲突</t>
        </is>
      </c>
      <c r="T600" t="inlineStr">
        <is>
          <t>C-007</t>
        </is>
      </c>
      <c r="U600" t="inlineStr">
        <is>
          <t>范围外（非欧洲/北美）</t>
        </is>
      </c>
      <c r="V600" t="inlineStr"/>
    </row>
    <row r="601">
      <c r="A601" t="inlineStr">
        <is>
          <t>Senetic Bulgaria LTD</t>
        </is>
      </c>
      <c r="B601" t="inlineStr">
        <is>
          <t>保加利亚</t>
        </is>
      </c>
      <c r="C601" t="inlineStr"/>
      <c r="D601" t="inlineStr">
        <is>
          <t>senetic.bg</t>
        </is>
      </c>
      <c r="E601" t="inlineStr">
        <is>
          <t>分销（MikroTik 官方）</t>
        </is>
      </c>
      <c r="F601" t="inlineStr">
        <is>
          <t>MikroTik（Reseller）</t>
        </is>
      </c>
      <c r="G601" t="inlineStr">
        <is>
          <t>否</t>
        </is>
      </c>
      <c r="H601" t="inlineStr">
        <is>
          <t>Senetic 集团保加利亚站</t>
        </is>
      </c>
      <c r="I601" t="inlineStr">
        <is>
          <t>LT-S8328XG-4XS8GT-S</t>
        </is>
      </c>
      <c r="J601" t="inlineStr">
        <is>
          <t>+359 2 448 6700 / info@senetic.bg</t>
        </is>
      </c>
      <c r="K601" t="inlineStr">
        <is>
          <t>★★</t>
        </is>
      </c>
      <c r="L601" t="inlineStr">
        <is>
          <t>未触达</t>
        </is>
      </c>
      <c r="M601" t="inlineStr">
        <is>
          <t>2026-09-22</t>
        </is>
      </c>
      <c r="N601" t="inlineStr"/>
      <c r="O601" t="inlineStr"/>
      <c r="P601" t="inlineStr"/>
      <c r="Q601" t="inlineStr">
        <is>
          <t>Sofia 【关联】Senetic（同集团另有 pl / co.uk / fr / it / ch / se 站点，一国的采购决策可能由集团统一，谈一家等于谈七国）</t>
        </is>
      </c>
      <c r="R601" t="inlineStr">
        <is>
          <t>C</t>
        </is>
      </c>
      <c r="S601" t="inlineStr">
        <is>
          <t>备注含「集团」，决策链长或存在品牌冲突</t>
        </is>
      </c>
      <c r="T601" t="inlineStr">
        <is>
          <t>C-008</t>
        </is>
      </c>
      <c r="U601" t="inlineStr">
        <is>
          <t>太难·规模过大/决策链长</t>
        </is>
      </c>
      <c r="V601" t="inlineStr"/>
    </row>
    <row r="602">
      <c r="A602" t="inlineStr">
        <is>
          <t>Proelektronika</t>
        </is>
      </c>
      <c r="B602" t="inlineStr">
        <is>
          <t>克罗地亚</t>
        </is>
      </c>
      <c r="C602" t="inlineStr">
        <is>
          <t>Zagreb</t>
        </is>
      </c>
      <c r="D602" t="inlineStr">
        <is>
          <t>proelektronika.hr</t>
        </is>
      </c>
      <c r="E602" t="inlineStr">
        <is>
          <t>分销（HMS/N-Tron·Red Lion 渠道）</t>
        </is>
      </c>
      <c r="F602" t="inlineStr">
        <is>
          <t>N-Tron + Red Lion + Anybus + Ewon</t>
        </is>
      </c>
      <c r="G602" t="inlineStr">
        <is>
          <t>否</t>
        </is>
      </c>
      <c r="H602" t="inlineStr">
        <is>
          <t>卖 N-Tron/Red Lion 工业交换机（8口非网管约 $500+）→ 中性货同规格 LT-IS6310G 约 $91，做第二供应商，价差 5 倍</t>
        </is>
      </c>
      <c r="I602" t="inlineStr">
        <is>
          <t>LT-IS6312XGP-4XS8GT</t>
        </is>
      </c>
      <c r="J602" t="inlineStr">
        <is>
          <t>官网联系页（HMS 名录只公开地址与网址）</t>
        </is>
      </c>
      <c r="K602" t="inlineStr">
        <is>
          <t>★★★</t>
        </is>
      </c>
      <c r="L602" t="inlineStr">
        <is>
          <t>未触达</t>
        </is>
      </c>
      <c r="M602" t="inlineStr">
        <is>
          <t>2026-09-22</t>
        </is>
      </c>
      <c r="N602" t="inlineStr"/>
      <c r="O602" t="inlineStr"/>
      <c r="P602" t="inlineStr"/>
      <c r="Q602" t="inlineStr">
        <is>
          <t>★ 巴尔干最优入口：一家覆盖 8 国（克/塞/黑山/波黑/阿尔巴尼亚/科索沃/北马其顿/斯洛文尼亚）；HMS 全品牌授权</t>
        </is>
      </c>
      <c r="R602" t="inlineStr">
        <is>
          <t>C</t>
        </is>
      </c>
      <c r="S602" t="inlineStr">
        <is>
          <t>备注含「覆盖 8」，决策链长或存在品牌冲突</t>
        </is>
      </c>
      <c r="T602" t="inlineStr">
        <is>
          <t>C-009</t>
        </is>
      </c>
      <c r="U602" t="inlineStr">
        <is>
          <t>太难·规模过大/决策链长</t>
        </is>
      </c>
      <c r="V602" t="inlineStr"/>
    </row>
    <row r="603">
      <c r="A603" t="inlineStr">
        <is>
          <t>RBT Technologies Hrvatska d.o.o.</t>
        </is>
      </c>
      <c r="B603" t="inlineStr">
        <is>
          <t>克罗地亚</t>
        </is>
      </c>
      <c r="C603" t="inlineStr">
        <is>
          <t>Zagreb</t>
        </is>
      </c>
      <c r="D603" t="inlineStr">
        <is>
          <t>rbt-technologies.hr</t>
        </is>
      </c>
      <c r="E603" t="inlineStr">
        <is>
          <t>分销（HMS/N-Tron·Red Lion 渠道）</t>
        </is>
      </c>
      <c r="F603" t="inlineStr">
        <is>
          <t>N-Tron + Red Lion + Anybus + Ewon + Ixxat</t>
        </is>
      </c>
      <c r="G603" t="inlineStr">
        <is>
          <t>否</t>
        </is>
      </c>
      <c r="H603" t="inlineStr">
        <is>
          <t>卖 N-Tron/Red Lion 工业交换机（8口非网管约 $500+）→ 中性货同规格 LT-IS6310G 约 $91，做第二供应商，价差 5 倍</t>
        </is>
      </c>
      <c r="I603" t="inlineStr">
        <is>
          <t>LT-IS6312XGP-4XS8GT</t>
        </is>
      </c>
      <c r="J603" t="inlineStr">
        <is>
          <t>官网联系页（HMS 名录只公开地址与网址）</t>
        </is>
      </c>
      <c r="K603" t="inlineStr">
        <is>
          <t>★★★</t>
        </is>
      </c>
      <c r="L603" t="inlineStr">
        <is>
          <t>未触达</t>
        </is>
      </c>
      <c r="M603" t="inlineStr">
        <is>
          <t>2026-09-22</t>
        </is>
      </c>
      <c r="N603" t="inlineStr"/>
      <c r="O603" t="inlineStr"/>
      <c r="P603" t="inlineStr"/>
      <c r="Q603" t="inlineStr">
        <is>
          <t>RBT 集团克罗地亚分部；集团另有斯洛文尼亚 rbt-technologies.si、塞尔维亚 rbt-technologies.rs → 一单覆盖 SI/HR/RS 【关联】同集团另一实体：RBT Technologies d.o.o.（斯洛文尼亚）（rbt-technologies.si）</t>
        </is>
      </c>
      <c r="R603" t="inlineStr">
        <is>
          <t>C</t>
        </is>
      </c>
      <c r="S603" t="inlineStr">
        <is>
          <t>备注含「集团」，决策链长或存在品牌冲突</t>
        </is>
      </c>
      <c r="T603" t="inlineStr">
        <is>
          <t>C-010</t>
        </is>
      </c>
      <c r="U603" t="inlineStr">
        <is>
          <t>太难·规模过大/决策链长</t>
        </is>
      </c>
      <c r="V603" t="inlineStr"/>
    </row>
    <row r="604">
      <c r="A604" t="inlineStr">
        <is>
          <t>Tomislav Vrebac / Kerberos</t>
        </is>
      </c>
      <c r="B604" t="inlineStr">
        <is>
          <t>克罗地亚</t>
        </is>
      </c>
      <c r="C604" t="inlineStr">
        <is>
          <t>Kraljevica</t>
        </is>
      </c>
      <c r="D604" t="inlineStr">
        <is>
          <t>kerberos.hr</t>
        </is>
      </c>
      <c r="E604" t="inlineStr">
        <is>
          <t>集成商/顾问（MikroTik 认证）</t>
        </is>
      </c>
      <c r="F604" t="inlineStr">
        <is>
          <t>MikroTik 认证顾问 MTCNA+MTCEWE</t>
        </is>
      </c>
      <c r="G604" t="inlineStr">
        <is>
          <t>否</t>
        </is>
      </c>
      <c r="H604" t="inlineStr">
        <is>
          <t>MikroTik 认证顾问：自己做方案/集成/运维并自行采购设备 → 用 ERPS/IGMP/VLAN/CLI/MIB 这类技术语言切入，不打价格战</t>
        </is>
      </c>
      <c r="I604" t="inlineStr">
        <is>
          <t>LT-S8328GP-4GX24GT-S</t>
        </is>
      </c>
      <c r="J604" t="inlineStr">
        <is>
          <t>+385 98 983 8091 / mikrotik@kerberos.hr</t>
        </is>
      </c>
      <c r="K604" t="inlineStr">
        <is>
          <t>★★★</t>
        </is>
      </c>
      <c r="L604" t="inlineStr">
        <is>
          <t>未触达</t>
        </is>
      </c>
      <c r="M604" t="inlineStr">
        <is>
          <t>2026-09-22</t>
        </is>
      </c>
      <c r="N604" t="inlineStr"/>
      <c r="O604" t="inlineStr"/>
      <c r="P604" t="inlineStr"/>
      <c r="Q604" t="inlineStr">
        <is>
          <t>为**小型到大型、多站点**系统做 IT 基础设施设计与实施 → 多站点 = 每台点都要接入交换机</t>
        </is>
      </c>
      <c r="R604" t="inlineStr">
        <is>
          <t>C</t>
        </is>
      </c>
      <c r="S604" t="inlineStr">
        <is>
          <t>备注含「大型」，决策链长或存在品牌冲突</t>
        </is>
      </c>
      <c r="T604" t="inlineStr">
        <is>
          <t>C-011</t>
        </is>
      </c>
      <c r="U604" t="inlineStr">
        <is>
          <t>太难·规模过大/决策链长</t>
        </is>
      </c>
      <c r="V604" t="inlineStr"/>
    </row>
    <row r="605">
      <c r="A605" t="inlineStr">
        <is>
          <t>Franklin Empire</t>
        </is>
      </c>
      <c r="B605" t="inlineStr">
        <is>
          <t>加拿大</t>
        </is>
      </c>
      <c r="C605" t="inlineStr">
        <is>
          <t>Saint-Laurent QC（另 Sherbrooke/Toronto/Newmarket/Scarborough）</t>
        </is>
      </c>
      <c r="D605" t="inlineStr">
        <is>
          <t>franklinempire.com</t>
        </is>
      </c>
      <c r="E605" t="inlineStr">
        <is>
          <t>分销（HMS/N-Tron·Red Lion 渠道）</t>
        </is>
      </c>
      <c r="F605" t="inlineStr">
        <is>
          <t>N-Tron + Red Lion + Anybus</t>
        </is>
      </c>
      <c r="G605" t="inlineStr">
        <is>
          <t>否</t>
        </is>
      </c>
      <c r="H605" t="inlineStr">
        <is>
          <t>卖 N-Tron/Red Lion 工业交换机（8口非网管约 $500+）→ 中性货同规格 LT-IS6310G 约 $91，做第二供应商/替换，价差 5 倍</t>
        </is>
      </c>
      <c r="I605" t="inlineStr">
        <is>
          <t>LT-IS6310G / LT-IS6312XGP-4XS8GT</t>
        </is>
      </c>
      <c r="J605" t="inlineStr">
        <is>
          <t>François Béland（Sales Manager）- francois.beland@feinc.com / (514) 341-9720 ext 71273；Michel Côté（Assistant Manager Automation）- michel.cote@feinc.com / ext 71247；Todd Rogers（CEO）- todd.rogers@franklinempire.com</t>
        </is>
      </c>
      <c r="K605" t="inlineStr">
        <is>
          <t>★★★</t>
        </is>
      </c>
      <c r="L605" t="inlineStr">
        <is>
          <t>未触达</t>
        </is>
      </c>
      <c r="M605" t="inlineStr">
        <is>
          <t>2026-09-22</t>
        </is>
      </c>
      <c r="N605" t="inlineStr"/>
      <c r="O605" t="inlineStr"/>
      <c r="P605" t="inlineStr"/>
      <c r="Q605" t="inlineStr">
        <is>
          <t>5 个仓库覆盖 ON/QC/AB/MB/SK；【2026-09-22 补】加拿大最大的独立电气分销商，1942 年创立，约 575 人。注意邮箱域名是 feinc.com 不是 franklinempire.com。自动化与控制部门自成一队（Siemens 工业产品独家）。</t>
        </is>
      </c>
      <c r="R605" t="inlineStr">
        <is>
          <t>C</t>
        </is>
      </c>
      <c r="S605" t="inlineStr">
        <is>
          <t>备注含「最大」，决策链长或存在品牌冲突</t>
        </is>
      </c>
      <c r="T605" t="inlineStr">
        <is>
          <t>C-012</t>
        </is>
      </c>
      <c r="U605" t="inlineStr">
        <is>
          <t>太难·规模过大/决策链长</t>
        </is>
      </c>
      <c r="V605" t="inlineStr"/>
    </row>
    <row r="606">
      <c r="A606" t="inlineStr">
        <is>
          <t>Graybar Canada</t>
        </is>
      </c>
      <c r="B606" t="inlineStr">
        <is>
          <t>加拿大</t>
        </is>
      </c>
      <c r="C606" t="inlineStr">
        <is>
          <t>Dartmouth NS</t>
        </is>
      </c>
      <c r="D606" t="inlineStr">
        <is>
          <t>graybarcanada.com</t>
        </is>
      </c>
      <c r="E606" t="inlineStr">
        <is>
          <t>分销（HMS/N-Tron·Red Lion 渠道）</t>
        </is>
      </c>
      <c r="F606" t="inlineStr">
        <is>
          <t>N-Tron + Red Lion + Anybus + Ewon + Intesis</t>
        </is>
      </c>
      <c r="G606" t="inlineStr">
        <is>
          <t>否</t>
        </is>
      </c>
      <c r="H606" t="inlineStr">
        <is>
          <t>卖 N-Tron/Red Lion 工业交换机（8口非网管约 $500+）→ 中性货同规格 LT-IS6310G 约 $91，做第二供应商/替换，价差 5 倍</t>
        </is>
      </c>
      <c r="I606" t="inlineStr">
        <is>
          <t>LT-IS6312XG-4XS8GT</t>
        </is>
      </c>
      <c r="J606" t="inlineStr">
        <is>
          <t>官网联系页（HMS 名录只公开地址与网址）</t>
        </is>
      </c>
      <c r="K606" t="inlineStr">
        <is>
          <t>★★★</t>
        </is>
      </c>
      <c r="L606" t="inlineStr">
        <is>
          <t>未触达</t>
        </is>
      </c>
      <c r="M606" t="inlineStr">
        <is>
          <t>2026-09-22</t>
        </is>
      </c>
      <c r="N606" t="inlineStr"/>
      <c r="O606" t="inlineStr"/>
      <c r="P606" t="inlineStr"/>
      <c r="Q606" t="inlineStr">
        <is>
          <t>Graybar 集团，北美最大电气分销之一；【2026-09-22 补】PLANET（台厂工业/商用交换机）授权分销渠道。</t>
        </is>
      </c>
      <c r="R606" t="inlineStr">
        <is>
          <t>C</t>
        </is>
      </c>
      <c r="S606" t="inlineStr">
        <is>
          <t>备注含「集团」，决策链长或存在品牌冲突</t>
        </is>
      </c>
      <c r="T606" t="inlineStr">
        <is>
          <t>C-013</t>
        </is>
      </c>
      <c r="U606" t="inlineStr">
        <is>
          <t>太难·规模过大/决策链长</t>
        </is>
      </c>
      <c r="V606" t="inlineStr"/>
    </row>
    <row r="607">
      <c r="A607" t="inlineStr">
        <is>
          <t>ISP Supplies Canada（MBSI WAV）</t>
        </is>
      </c>
      <c r="B607" t="inlineStr">
        <is>
          <t>加拿大</t>
        </is>
      </c>
      <c r="C607" t="inlineStr">
        <is>
          <t>Ontario</t>
        </is>
      </c>
      <c r="D607" t="inlineStr">
        <is>
          <t>ispsupplies.ca</t>
        </is>
      </c>
      <c r="E607" t="inlineStr">
        <is>
          <t>分销（MikroTik 官方）</t>
        </is>
      </c>
      <c r="F607" t="inlineStr">
        <is>
          <t>MikroTik（Reseller）</t>
        </is>
      </c>
      <c r="G607" t="inlineStr">
        <is>
          <t>否</t>
        </is>
      </c>
      <c r="H607" t="inlineStr">
        <is>
          <t>WAV 集团加拿大站</t>
        </is>
      </c>
      <c r="I607" t="inlineStr">
        <is>
          <t>LT-IS6312XGP-4XS8GT</t>
        </is>
      </c>
      <c r="J607" t="inlineStr">
        <is>
          <t>+1 866 242 9853 / sales@ispsupplies.com</t>
        </is>
      </c>
      <c r="K607" t="inlineStr">
        <is>
          <t>★★</t>
        </is>
      </c>
      <c r="L607" t="inlineStr">
        <is>
          <t>未触达</t>
        </is>
      </c>
      <c r="M607" t="inlineStr">
        <is>
          <t>2026-09-22</t>
        </is>
      </c>
      <c r="N607" t="inlineStr"/>
      <c r="O607" t="inlineStr"/>
      <c r="P607" t="inlineStr"/>
      <c r="Q607" t="inlineStr">
        <is>
          <t>Ottawa 【关联】同集团另一实体：ISP Supplies（美国，powered by WAV）（ispsupplies.com）</t>
        </is>
      </c>
      <c r="R607" t="inlineStr">
        <is>
          <t>C</t>
        </is>
      </c>
      <c r="S607" t="inlineStr">
        <is>
          <t>备注含「集团」，决策链长或存在品牌冲突</t>
        </is>
      </c>
      <c r="T607" t="inlineStr">
        <is>
          <t>C-014</t>
        </is>
      </c>
      <c r="U607" t="inlineStr">
        <is>
          <t>太难·规模过大/决策链长</t>
        </is>
      </c>
      <c r="V607" t="inlineStr"/>
    </row>
    <row r="608">
      <c r="A608" t="inlineStr">
        <is>
          <t>Payam Poursaied / MoLuke</t>
        </is>
      </c>
      <c r="B608" t="inlineStr">
        <is>
          <t>加拿大</t>
        </is>
      </c>
      <c r="C608" t="inlineStr">
        <is>
          <t>Vancouver</t>
        </is>
      </c>
      <c r="D608" t="inlineStr">
        <is>
          <t>moluke.net</t>
        </is>
      </c>
      <c r="E608" t="inlineStr">
        <is>
          <t>集成商/顾问（MikroTik 认证）</t>
        </is>
      </c>
      <c r="F608" t="inlineStr">
        <is>
          <t>MikroTik 认证顾问 MTCNA+MTCRE+MTCIPv6E（自述可教全部证书）</t>
        </is>
      </c>
      <c r="G608" t="inlineStr">
        <is>
          <t>否</t>
        </is>
      </c>
      <c r="H608" t="inlineStr">
        <is>
          <t>MikroTik 认证顾问：自己做方案/集成/运维并自行采购设备 → 用 ERPS/IGMP/VLAN/CLI/MIB 这类技术语言切入，不打价格战</t>
        </is>
      </c>
      <c r="I608" t="inlineStr">
        <is>
          <t>LT-S8328XGP-4XS24GT-S</t>
        </is>
      </c>
      <c r="J608" t="inlineStr">
        <is>
          <t>+1 778-300-2288 / payam@moluke.net</t>
        </is>
      </c>
      <c r="K608" t="inlineStr">
        <is>
          <t>★★★</t>
        </is>
      </c>
      <c r="L608" t="inlineStr">
        <is>
          <t>未触达</t>
        </is>
      </c>
      <c r="M608" t="inlineStr">
        <is>
          <t>2026-09-22</t>
        </is>
      </c>
      <c r="N608" t="inlineStr"/>
      <c r="O608" t="inlineStr"/>
      <c r="P608" t="inlineStr"/>
      <c r="Q608" t="inlineStr">
        <is>
          <t>★★ 19 年 IT，**其中 16 年在一家全国性 ISP（用户 100 万+）**；MikroTik 认证讲师（自称可教所有证书）；带团队；场景：DDoS 防护、VPN 与站点互联、互联网冗余、VoIP、QoS</t>
        </is>
      </c>
      <c r="R608" t="inlineStr">
        <is>
          <t>C</t>
        </is>
      </c>
      <c r="S608" t="inlineStr">
        <is>
          <t>备注含「全国性」，决策链长或存在品牌冲突</t>
        </is>
      </c>
      <c r="T608" t="inlineStr">
        <is>
          <t>C-015</t>
        </is>
      </c>
      <c r="U608" t="inlineStr">
        <is>
          <t>太难·规模过大/决策链长</t>
        </is>
      </c>
      <c r="V608" t="inlineStr"/>
    </row>
    <row r="609">
      <c r="A609" t="inlineStr">
        <is>
          <t>ALSO Hungary（Ramiris）</t>
        </is>
      </c>
      <c r="B609" t="inlineStr">
        <is>
          <t>匈牙利</t>
        </is>
      </c>
      <c r="C609" t="inlineStr"/>
      <c r="D609" t="inlineStr">
        <is>
          <t>also.com</t>
        </is>
      </c>
      <c r="E609" t="inlineStr">
        <is>
          <t>分销（MikroTik 官方）</t>
        </is>
      </c>
      <c r="F609" t="inlineStr">
        <is>
          <t>MikroTik（Reseller）</t>
        </is>
      </c>
      <c r="G609" t="inlineStr">
        <is>
          <t>否</t>
        </is>
      </c>
      <c r="H609" t="inlineStr">
        <is>
          <t>ALSO 集团 = 欧洲三大 IT 分销之一（德/瑞/奥/匈等）</t>
        </is>
      </c>
      <c r="I609" t="inlineStr">
        <is>
          <t>LT-S8328XG-4XS8GT-S</t>
        </is>
      </c>
      <c r="J609" t="inlineStr">
        <is>
          <t>+36 1 888 3200 / info@ramiris.eu</t>
        </is>
      </c>
      <c r="K609" t="inlineStr">
        <is>
          <t>★★★</t>
        </is>
      </c>
      <c r="L609" t="inlineStr">
        <is>
          <t>未触达</t>
        </is>
      </c>
      <c r="M609" t="inlineStr">
        <is>
          <t>2026-09-22</t>
        </is>
      </c>
      <c r="N609" t="inlineStr"/>
      <c r="O609" t="inlineStr"/>
      <c r="P609" t="inlineStr"/>
      <c r="Q609" t="inlineStr">
        <is>
          <t>Budapest；泛欧大分销</t>
        </is>
      </c>
      <c r="R609" t="inlineStr">
        <is>
          <t>C</t>
        </is>
      </c>
      <c r="S609" t="inlineStr">
        <is>
          <t>备注含「大分销」，决策链长或存在品牌冲突</t>
        </is>
      </c>
      <c r="T609" t="inlineStr">
        <is>
          <t>C-016</t>
        </is>
      </c>
      <c r="U609" t="inlineStr">
        <is>
          <t>太难·规模过大/决策链长</t>
        </is>
      </c>
      <c r="V609" t="inlineStr"/>
    </row>
    <row r="610">
      <c r="A610" t="inlineStr">
        <is>
          <t>Senetic Magyarország Kft.</t>
        </is>
      </c>
      <c r="B610" t="inlineStr">
        <is>
          <t>匈牙利</t>
        </is>
      </c>
      <c r="C610" t="inlineStr"/>
      <c r="D610" t="inlineStr">
        <is>
          <t>senetic.hu</t>
        </is>
      </c>
      <c r="E610" t="inlineStr">
        <is>
          <t>分销（MikroTik 官方）</t>
        </is>
      </c>
      <c r="F610" t="inlineStr">
        <is>
          <t>MikroTik（Reseller）</t>
        </is>
      </c>
      <c r="G610" t="inlineStr">
        <is>
          <t>否</t>
        </is>
      </c>
      <c r="H610" t="inlineStr">
        <is>
          <t>Senetic 集团匈牙利站</t>
        </is>
      </c>
      <c r="I610" t="inlineStr">
        <is>
          <t>LT-S8328XG-4XS8GT-S</t>
        </is>
      </c>
      <c r="J610" t="inlineStr">
        <is>
          <t>+36 1 700 8371 / info@senetic.hu</t>
        </is>
      </c>
      <c r="K610" t="inlineStr">
        <is>
          <t>★★</t>
        </is>
      </c>
      <c r="L610" t="inlineStr">
        <is>
          <t>未触达</t>
        </is>
      </c>
      <c r="M610" t="inlineStr">
        <is>
          <t>2026-09-22</t>
        </is>
      </c>
      <c r="N610" t="inlineStr"/>
      <c r="O610" t="inlineStr"/>
      <c r="P610" t="inlineStr"/>
      <c r="Q610" t="inlineStr">
        <is>
          <t>Budapest 【关联】Senetic（同集团另有 pl / co.uk / fr / it / ch / se 站点，一国的采购决策可能由集团统一，谈一家等于谈七国）</t>
        </is>
      </c>
      <c r="R610" t="inlineStr">
        <is>
          <t>C</t>
        </is>
      </c>
      <c r="S610" t="inlineStr">
        <is>
          <t>备注含「集团」，决策链长或存在品牌冲突</t>
        </is>
      </c>
      <c r="T610" t="inlineStr">
        <is>
          <t>C-017</t>
        </is>
      </c>
      <c r="U610" t="inlineStr">
        <is>
          <t>太难·规模过大/决策链长</t>
        </is>
      </c>
      <c r="V610" t="inlineStr"/>
    </row>
    <row r="611">
      <c r="A611" t="inlineStr">
        <is>
          <t>Aleksandar Cvetanoski</t>
        </is>
      </c>
      <c r="B611" t="inlineStr">
        <is>
          <t>北马其顿</t>
        </is>
      </c>
      <c r="C611" t="inlineStr">
        <is>
          <t>Skopje</t>
        </is>
      </c>
      <c r="D611" t="inlineStr"/>
      <c r="E611" t="inlineStr">
        <is>
          <t>集成商/顾问（MikroTik 认证）</t>
        </is>
      </c>
      <c r="F611" t="inlineStr">
        <is>
          <t>MikroTik 认证顾问 MTCNA+MTCRE</t>
        </is>
      </c>
      <c r="G611" t="inlineStr">
        <is>
          <t>否</t>
        </is>
      </c>
      <c r="H611" t="inlineStr">
        <is>
          <t>MikroTik 认证顾问：自己做方案/集成/运维并自行采购设备 → 用 ERPS/IGMP/VLAN/CLI/MIB 这类技术语言切入，不打价格战</t>
        </is>
      </c>
      <c r="I611" t="inlineStr">
        <is>
          <t>LT-S8328GP-4GX24GT-S</t>
        </is>
      </c>
      <c r="J611" t="inlineStr">
        <is>
          <t>+389 78 299 716 / acvetanoskiii@gmail.com</t>
        </is>
      </c>
      <c r="K611" t="inlineStr">
        <is>
          <t>★★★</t>
        </is>
      </c>
      <c r="L611" t="inlineStr">
        <is>
          <t>未触达</t>
        </is>
      </c>
      <c r="M611" t="inlineStr">
        <is>
          <t>2026-09-22</t>
        </is>
      </c>
      <c r="N611" t="inlineStr"/>
      <c r="O611" t="inlineStr"/>
      <c r="P611" t="inlineStr"/>
      <c r="Q611" t="inlineStr">
        <is>
          <t>★ 北马其顿**唯一**认证顾问（稀缺）；10+ 年 RouterOS 经验；为**中小企业与大型企业**做设计/实施/**迁移**/排障；专长含 **Routing、Switching**、VPN 隧道、防火墙、NAT、Mangle、QoS → 做迁移的人会评估替代方案</t>
        </is>
      </c>
      <c r="R611" t="inlineStr">
        <is>
          <t>C</t>
        </is>
      </c>
      <c r="S611" t="inlineStr">
        <is>
          <t>备注含「大型」，决策链长或存在品牌冲突</t>
        </is>
      </c>
      <c r="T611" t="inlineStr">
        <is>
          <t>C-018</t>
        </is>
      </c>
      <c r="U611" t="inlineStr">
        <is>
          <t>太难·规模过大/决策链长</t>
        </is>
      </c>
      <c r="V611" t="inlineStr"/>
    </row>
    <row r="612">
      <c r="A612" t="inlineStr">
        <is>
          <t>Phendula Technologies (Pty) Ltd.</t>
        </is>
      </c>
      <c r="B612" t="inlineStr">
        <is>
          <t>南非</t>
        </is>
      </c>
      <c r="C612" t="inlineStr"/>
      <c r="D612" t="inlineStr">
        <is>
          <t>phendulatech.co.za</t>
        </is>
      </c>
      <c r="E612" t="inlineStr">
        <is>
          <t>分销（ORing 授权）</t>
        </is>
      </c>
      <c r="F612" t="inlineStr">
        <is>
          <t>ORing</t>
        </is>
      </c>
      <c r="G612" t="inlineStr">
        <is>
          <t>否</t>
        </is>
      </c>
      <c r="H612" t="inlineStr">
        <is>
          <t>南非工业网络分销</t>
        </is>
      </c>
      <c r="I612" t="inlineStr">
        <is>
          <t>LT-IS6312XG-4XS8GT</t>
        </is>
      </c>
      <c r="J612" t="inlineStr">
        <is>
          <t>+27 12 661 0504 / sales@phendulatech.co.za</t>
        </is>
      </c>
      <c r="K612" t="inlineStr">
        <is>
          <t>★</t>
        </is>
      </c>
      <c r="L612" t="inlineStr">
        <is>
          <t>未触达</t>
        </is>
      </c>
      <c r="M612" t="inlineStr">
        <is>
          <t>2026-09-22</t>
        </is>
      </c>
      <c r="N612" t="inlineStr"/>
      <c r="O612" t="inlineStr"/>
      <c r="P612" t="inlineStr"/>
      <c r="Q612" t="inlineStr">
        <is>
          <t>【范围外】不在本次目标区域（欧洲+美加）内，暂不触达，留档备用</t>
        </is>
      </c>
      <c r="R612" t="inlineStr">
        <is>
          <t>C</t>
        </is>
      </c>
      <c r="S612" t="inlineStr">
        <is>
          <t>区域外（南非），不在欧洲+美加范围内，决策链长或存在品牌冲突</t>
        </is>
      </c>
      <c r="T612" t="inlineStr">
        <is>
          <t>C-019</t>
        </is>
      </c>
      <c r="U612" t="inlineStr">
        <is>
          <t>范围外（非欧洲/北美）</t>
        </is>
      </c>
      <c r="V612" t="inlineStr"/>
    </row>
    <row r="613">
      <c r="A613" t="inlineStr">
        <is>
          <t>PT. Armada Teknologi Indonesia</t>
        </is>
      </c>
      <c r="B613" t="inlineStr">
        <is>
          <t>印尼</t>
        </is>
      </c>
      <c r="C613" t="inlineStr"/>
      <c r="D613" t="inlineStr">
        <is>
          <t>artindo.id</t>
        </is>
      </c>
      <c r="E613" t="inlineStr">
        <is>
          <t>分销（ORing 授权）</t>
        </is>
      </c>
      <c r="F613" t="inlineStr">
        <is>
          <t>ORing</t>
        </is>
      </c>
      <c r="G613" t="inlineStr">
        <is>
          <t>否</t>
        </is>
      </c>
      <c r="H613" t="inlineStr">
        <is>
          <t>印尼工业分销</t>
        </is>
      </c>
      <c r="I613" t="inlineStr">
        <is>
          <t>LT-IS6312XG-4XS8GT</t>
        </is>
      </c>
      <c r="J613" t="inlineStr">
        <is>
          <t>+62 8786 5564 900 / info@artindo.id</t>
        </is>
      </c>
      <c r="K613" t="inlineStr">
        <is>
          <t>★</t>
        </is>
      </c>
      <c r="L613" t="inlineStr">
        <is>
          <t>未触达</t>
        </is>
      </c>
      <c r="M613" t="inlineStr">
        <is>
          <t>2026-09-22</t>
        </is>
      </c>
      <c r="N613" t="inlineStr"/>
      <c r="O613" t="inlineStr"/>
      <c r="P613" t="inlineStr"/>
      <c r="Q613" t="inlineStr">
        <is>
          <t>【范围外】不在本次目标区域（欧洲+美加）内，暂不触达，留档备用</t>
        </is>
      </c>
      <c r="R613" t="inlineStr">
        <is>
          <t>C</t>
        </is>
      </c>
      <c r="S613" t="inlineStr">
        <is>
          <t>区域外（印尼），不在欧洲+美加范围内，决策链长或存在品牌冲突</t>
        </is>
      </c>
      <c r="T613" t="inlineStr">
        <is>
          <t>C-020</t>
        </is>
      </c>
      <c r="U613" t="inlineStr">
        <is>
          <t>范围外（非欧洲/北美）</t>
        </is>
      </c>
      <c r="V613" t="inlineStr"/>
    </row>
    <row r="614">
      <c r="A614" t="inlineStr">
        <is>
          <t>EINS S.A.</t>
        </is>
      </c>
      <c r="B614" t="inlineStr">
        <is>
          <t>厄瓜多尔</t>
        </is>
      </c>
      <c r="C614" t="inlineStr"/>
      <c r="D614" t="inlineStr">
        <is>
          <t>einssa.com.ec</t>
        </is>
      </c>
      <c r="E614" t="inlineStr">
        <is>
          <t>分销（ORing 授权）</t>
        </is>
      </c>
      <c r="F614" t="inlineStr">
        <is>
          <t>ORing</t>
        </is>
      </c>
      <c r="G614" t="inlineStr">
        <is>
          <t>否</t>
        </is>
      </c>
      <c r="H614" t="inlineStr">
        <is>
          <t>工业/轨道同规格 1/3 价第二供应源</t>
        </is>
      </c>
      <c r="I614" t="inlineStr">
        <is>
          <t>LT-IS6312XGP-4XS8GT</t>
        </is>
      </c>
      <c r="J614" t="inlineStr">
        <is>
          <t>+593 99 695 1451 / comercial@einssa.com.ec</t>
        </is>
      </c>
      <c r="K614" t="inlineStr">
        <is>
          <t>★</t>
        </is>
      </c>
      <c r="L614" t="inlineStr">
        <is>
          <t>未触达</t>
        </is>
      </c>
      <c r="M614" t="inlineStr">
        <is>
          <t>2026-09-22</t>
        </is>
      </c>
      <c r="N614" t="inlineStr"/>
      <c r="O614" t="inlineStr"/>
      <c r="P614" t="inlineStr"/>
      <c r="Q614" t="inlineStr">
        <is>
          <t>【范围外】不在本次目标区域（欧洲+美加）内，暂不触达，留档备用</t>
        </is>
      </c>
      <c r="R614" t="inlineStr">
        <is>
          <t>C</t>
        </is>
      </c>
      <c r="S614" t="inlineStr">
        <is>
          <t>区域外（厄瓜多尔），不在欧洲+美加范围内，决策链长或存在品牌冲突</t>
        </is>
      </c>
      <c r="T614" t="inlineStr">
        <is>
          <t>C-021</t>
        </is>
      </c>
      <c r="U614" t="inlineStr">
        <is>
          <t>范围外（非欧洲/北美）</t>
        </is>
      </c>
      <c r="V614" t="inlineStr"/>
    </row>
    <row r="615">
      <c r="A615" t="inlineStr">
        <is>
          <t>AIG（Advanced Industrial Group）</t>
        </is>
      </c>
      <c r="B615" t="inlineStr">
        <is>
          <t>埃及</t>
        </is>
      </c>
      <c r="C615" t="inlineStr"/>
      <c r="D615" t="inlineStr">
        <is>
          <t>aig-int.com</t>
        </is>
      </c>
      <c r="E615" t="inlineStr">
        <is>
          <t>分销（ORing 授权）</t>
        </is>
      </c>
      <c r="F615" t="inlineStr">
        <is>
          <t>ORing</t>
        </is>
      </c>
      <c r="G615" t="inlineStr">
        <is>
          <t>否</t>
        </is>
      </c>
      <c r="H615" t="inlineStr">
        <is>
          <t>北非工业分销</t>
        </is>
      </c>
      <c r="I615" t="inlineStr">
        <is>
          <t>LT-IS6312XGP-4XS8GT</t>
        </is>
      </c>
      <c r="J615" t="inlineStr">
        <is>
          <t>+20 2 2525 5050 / websalesegy@aig-int.com</t>
        </is>
      </c>
      <c r="K615" t="inlineStr">
        <is>
          <t>★</t>
        </is>
      </c>
      <c r="L615" t="inlineStr">
        <is>
          <t>未触达</t>
        </is>
      </c>
      <c r="M615" t="inlineStr">
        <is>
          <t>2026-09-22</t>
        </is>
      </c>
      <c r="N615" t="inlineStr"/>
      <c r="O615" t="inlineStr"/>
      <c r="P615" t="inlineStr"/>
      <c r="Q615" t="inlineStr">
        <is>
          <t>【范围外】不在本次目标区域（欧洲+美加）内，暂不触达，留档备用</t>
        </is>
      </c>
      <c r="R615" t="inlineStr">
        <is>
          <t>C</t>
        </is>
      </c>
      <c r="S615" t="inlineStr">
        <is>
          <t>区域外（埃及），不在欧洲+美加范围内，决策链长或存在品牌冲突</t>
        </is>
      </c>
      <c r="T615" t="inlineStr">
        <is>
          <t>C-022</t>
        </is>
      </c>
      <c r="U615" t="inlineStr">
        <is>
          <t>范围外（非欧洲/北美）</t>
        </is>
      </c>
      <c r="V615" t="inlineStr"/>
    </row>
    <row r="616">
      <c r="A616" t="inlineStr">
        <is>
          <t>RBT Technologies Srbija d.o.o.</t>
        </is>
      </c>
      <c r="B616" t="inlineStr">
        <is>
          <t>塞尔维亚</t>
        </is>
      </c>
      <c r="C616" t="inlineStr">
        <is>
          <t>Zemun / Beograd</t>
        </is>
      </c>
      <c r="D616" t="inlineStr">
        <is>
          <t>rbt-technologies.rs</t>
        </is>
      </c>
      <c r="E616" t="inlineStr">
        <is>
          <t>分销（HMS/N-Tron·Red Lion 渠道）</t>
        </is>
      </c>
      <c r="F616" t="inlineStr">
        <is>
          <t>N-Tron + Red Lion + Anybus + Ewon + Ixxat + Intesis</t>
        </is>
      </c>
      <c r="G616" t="inlineStr">
        <is>
          <t>否</t>
        </is>
      </c>
      <c r="H616" t="inlineStr">
        <is>
          <t>卖 N-Tron/Red Lion 工业交换机（8口非网管约 $500+）→ 中性货同规格 LT-IS6310G 约 $91，做第二供应商，价差 5 倍</t>
        </is>
      </c>
      <c r="I616" t="inlineStr">
        <is>
          <t>LT-IS6312XGP-4XS8GT</t>
        </is>
      </c>
      <c r="J616" t="inlineStr">
        <is>
          <t>官网联系页（HMS 名录只公开地址与网址）</t>
        </is>
      </c>
      <c r="K616" t="inlineStr">
        <is>
          <t>★★★</t>
        </is>
      </c>
      <c r="L616" t="inlineStr">
        <is>
          <t>未触达</t>
        </is>
      </c>
      <c r="M616" t="inlineStr">
        <is>
          <t>2026-09-22</t>
        </is>
      </c>
      <c r="N616" t="inlineStr"/>
      <c r="O616" t="inlineStr"/>
      <c r="P616" t="inlineStr"/>
      <c r="Q616" t="inlineStr">
        <is>
          <t>RBT 集团塞尔维亚分部；集团另有斯洛文尼亚 rbt-technologies.si、克罗地亚 rbt-technologies.hr → 一单覆盖 SI/HR/RS 【关联】同集团另一实体：RBT Technologies Hrvatska（克罗地亚）（rbt-technologies.hr）</t>
        </is>
      </c>
      <c r="R616" t="inlineStr">
        <is>
          <t>C</t>
        </is>
      </c>
      <c r="S616" t="inlineStr">
        <is>
          <t>备注含「集团」，决策链长或存在品牌冲突</t>
        </is>
      </c>
      <c r="T616" t="inlineStr">
        <is>
          <t>C-023</t>
        </is>
      </c>
      <c r="U616" t="inlineStr">
        <is>
          <t>太难·规模过大/决策链长</t>
        </is>
      </c>
      <c r="V616" t="inlineStr"/>
    </row>
    <row r="617">
      <c r="A617" t="inlineStr">
        <is>
          <t>Kritical Hardware</t>
        </is>
      </c>
      <c r="B617" t="inlineStr">
        <is>
          <t>墨西哥</t>
        </is>
      </c>
      <c r="C617" t="inlineStr"/>
      <c r="D617" t="inlineStr">
        <is>
          <t>kritical.com.mx</t>
        </is>
      </c>
      <c r="E617" t="inlineStr">
        <is>
          <t>分销（ORing 授权）</t>
        </is>
      </c>
      <c r="F617" t="inlineStr">
        <is>
          <t>ORing</t>
        </is>
      </c>
      <c r="G617" t="inlineStr">
        <is>
          <t>否</t>
        </is>
      </c>
      <c r="H617" t="inlineStr">
        <is>
          <t>墨西哥工业分销</t>
        </is>
      </c>
      <c r="I617" t="inlineStr">
        <is>
          <t>LT-IS6312XG-4XS8GT</t>
        </is>
      </c>
      <c r="J617" t="inlineStr">
        <is>
          <t>+52 56 1002-5407 / andres@kritical.com.mx</t>
        </is>
      </c>
      <c r="K617" t="inlineStr">
        <is>
          <t>★★</t>
        </is>
      </c>
      <c r="L617" t="inlineStr">
        <is>
          <t>未触达</t>
        </is>
      </c>
      <c r="M617" t="inlineStr">
        <is>
          <t>2026-09-22</t>
        </is>
      </c>
      <c r="N617" t="inlineStr"/>
      <c r="O617" t="inlineStr"/>
      <c r="P617" t="inlineStr"/>
      <c r="Q617" t="inlineStr">
        <is>
          <t>【范围外】不在本次目标区域（欧洲+美加）内，暂不触达，留档备用</t>
        </is>
      </c>
      <c r="R617" t="inlineStr">
        <is>
          <t>C</t>
        </is>
      </c>
      <c r="S617" t="inlineStr">
        <is>
          <t>区域外（墨西哥），不在欧洲+美加范围内，决策链长或存在品牌冲突</t>
        </is>
      </c>
      <c r="T617" t="inlineStr">
        <is>
          <t>C-024</t>
        </is>
      </c>
      <c r="U617" t="inlineStr">
        <is>
          <t>范围外（非欧洲/北美）</t>
        </is>
      </c>
      <c r="V617" t="inlineStr"/>
    </row>
    <row r="618">
      <c r="A618" t="inlineStr">
        <is>
          <t>COMPUSOLUCIONES</t>
        </is>
      </c>
      <c r="B618" t="inlineStr">
        <is>
          <t>多米尼加</t>
        </is>
      </c>
      <c r="C618" t="inlineStr"/>
      <c r="D618" t="inlineStr">
        <is>
          <t>compusoluciones.com.do</t>
        </is>
      </c>
      <c r="E618" t="inlineStr">
        <is>
          <t>分销（ORing 授权）</t>
        </is>
      </c>
      <c r="F618" t="inlineStr">
        <is>
          <t>ORing</t>
        </is>
      </c>
      <c r="G618" t="inlineStr">
        <is>
          <t>否</t>
        </is>
      </c>
      <c r="H618" t="inlineStr">
        <is>
          <t>拉美小型市场，ORing 高价 → 同规格 1/3 价</t>
        </is>
      </c>
      <c r="I618" t="inlineStr">
        <is>
          <t>LT-IS6312XGP-4XS8GT</t>
        </is>
      </c>
      <c r="J618" t="inlineStr">
        <is>
          <t>+1 809 686-0909 / ventas@comnusoluciones.com.do</t>
        </is>
      </c>
      <c r="K618" t="inlineStr">
        <is>
          <t>★</t>
        </is>
      </c>
      <c r="L618" t="inlineStr">
        <is>
          <t>未触达</t>
        </is>
      </c>
      <c r="M618" t="inlineStr">
        <is>
          <t>2026-09-22</t>
        </is>
      </c>
      <c r="N618" t="inlineStr"/>
      <c r="O618" t="inlineStr"/>
      <c r="P618" t="inlineStr"/>
      <c r="Q618" t="inlineStr">
        <is>
          <t>【范围外】不在本次目标区域（欧洲+美加）内，暂不触达，留档备用</t>
        </is>
      </c>
      <c r="R618" t="inlineStr">
        <is>
          <t>C</t>
        </is>
      </c>
      <c r="S618" t="inlineStr">
        <is>
          <t>区域外（多米尼加），不在欧洲+美加范围内，决策链长或存在品牌冲突</t>
        </is>
      </c>
      <c r="T618" t="inlineStr">
        <is>
          <t>C-025</t>
        </is>
      </c>
      <c r="U618" t="inlineStr">
        <is>
          <t>范围外（非欧洲/北美）</t>
        </is>
      </c>
      <c r="V618" t="inlineStr"/>
    </row>
    <row r="619">
      <c r="A619" t="inlineStr">
        <is>
          <t>Spectra GmbH (Niederlassung Österreich)</t>
        </is>
      </c>
      <c r="B619" t="inlineStr">
        <is>
          <t>奥地利</t>
        </is>
      </c>
      <c r="C619" t="inlineStr"/>
      <c r="D619" t="inlineStr">
        <is>
          <t>spectra-austria.at</t>
        </is>
      </c>
      <c r="E619" t="inlineStr">
        <is>
          <t>分销（ORing 授权）</t>
        </is>
      </c>
      <c r="F619" t="inlineStr">
        <is>
          <t>ORing</t>
        </is>
      </c>
      <c r="G619" t="inlineStr">
        <is>
          <t>否</t>
        </is>
      </c>
      <c r="H619" t="inlineStr">
        <is>
          <t>ORing高价→同规格1/3价第二供应源</t>
        </is>
      </c>
      <c r="I619" t="inlineStr">
        <is>
          <t>LT-IS6312XGP-4XS8GT</t>
        </is>
      </c>
      <c r="J619" t="inlineStr">
        <is>
          <t>+43 (0) 7240 20190</t>
        </is>
      </c>
      <c r="K619" t="inlineStr">
        <is>
          <t>★★★</t>
        </is>
      </c>
      <c r="L619" t="inlineStr">
        <is>
          <t>未触达</t>
        </is>
      </c>
      <c r="M619" t="inlineStr">
        <is>
          <t>ORing经销商名录/2026-09</t>
        </is>
      </c>
      <c r="N619" t="inlineStr"/>
      <c r="O619" t="inlineStr"/>
      <c r="P619" t="inlineStr"/>
      <c r="Q619" t="inlineStr">
        <is>
          <t>Spectra集团奥地利分支</t>
        </is>
      </c>
      <c r="R619" t="inlineStr">
        <is>
          <t>C</t>
        </is>
      </c>
      <c r="S619" t="inlineStr">
        <is>
          <t>备注含「集团」，决策链长或存在品牌冲突</t>
        </is>
      </c>
      <c r="T619" t="inlineStr">
        <is>
          <t>C-026</t>
        </is>
      </c>
      <c r="U619" t="inlineStr">
        <is>
          <t>太难·规模过大/决策链长</t>
        </is>
      </c>
      <c r="V619" t="inlineStr"/>
    </row>
    <row r="620">
      <c r="A620" t="inlineStr">
        <is>
          <t>ICT Integrators</t>
        </is>
      </c>
      <c r="B620" t="inlineStr">
        <is>
          <t>巴基斯坦</t>
        </is>
      </c>
      <c r="C620" t="inlineStr"/>
      <c r="D620" t="inlineStr">
        <is>
          <t>ict-integrators.com</t>
        </is>
      </c>
      <c r="E620" t="inlineStr">
        <is>
          <t>分销（ORing 授权）</t>
        </is>
      </c>
      <c r="F620" t="inlineStr">
        <is>
          <t>ORing</t>
        </is>
      </c>
      <c r="G620" t="inlineStr">
        <is>
          <t>否</t>
        </is>
      </c>
      <c r="H620" t="inlineStr">
        <is>
          <t>巴基斯坦系统集成+分销</t>
        </is>
      </c>
      <c r="I620" t="inlineStr">
        <is>
          <t>LT-IS6312XGP-4XS8GT</t>
        </is>
      </c>
      <c r="J620" t="inlineStr">
        <is>
          <t>+92 321 8417438 / Muhammad.Waleed@ict-integrators.com</t>
        </is>
      </c>
      <c r="K620" t="inlineStr">
        <is>
          <t>★</t>
        </is>
      </c>
      <c r="L620" t="inlineStr">
        <is>
          <t>未触达</t>
        </is>
      </c>
      <c r="M620" t="inlineStr">
        <is>
          <t>2026-09-22</t>
        </is>
      </c>
      <c r="N620" t="inlineStr"/>
      <c r="O620" t="inlineStr"/>
      <c r="P620" t="inlineStr"/>
      <c r="Q620" t="inlineStr">
        <is>
          <t>【范围外】不在本次目标区域（欧洲+美加）内，暂不触达，留档备用</t>
        </is>
      </c>
      <c r="R620" t="inlineStr">
        <is>
          <t>C</t>
        </is>
      </c>
      <c r="S620" t="inlineStr">
        <is>
          <t>区域外（巴基斯坦），不在欧洲+美加范围内，决策链长或存在品牌冲突</t>
        </is>
      </c>
      <c r="T620" t="inlineStr">
        <is>
          <t>C-027</t>
        </is>
      </c>
      <c r="U620" t="inlineStr">
        <is>
          <t>范围外（非欧洲/北美）</t>
        </is>
      </c>
      <c r="V620" t="inlineStr"/>
    </row>
    <row r="621">
      <c r="A621" t="inlineStr">
        <is>
          <t>Above-Net Soluções Industriais</t>
        </is>
      </c>
      <c r="B621" t="inlineStr">
        <is>
          <t>巴西</t>
        </is>
      </c>
      <c r="C621" t="inlineStr"/>
      <c r="D621" t="inlineStr">
        <is>
          <t>abovenet.com.br</t>
        </is>
      </c>
      <c r="E621" t="inlineStr">
        <is>
          <t>分销（ORing 授权）</t>
        </is>
      </c>
      <c r="F621" t="inlineStr">
        <is>
          <t>ORing</t>
        </is>
      </c>
      <c r="G621" t="inlineStr">
        <is>
          <t>否</t>
        </is>
      </c>
      <c r="H621" t="inlineStr">
        <is>
          <t>工业/轨道同规格 1/3 价第二供应源</t>
        </is>
      </c>
      <c r="I621" t="inlineStr">
        <is>
          <t>LT-IS6312XG-4XS8GT</t>
        </is>
      </c>
      <c r="J621" t="inlineStr">
        <is>
          <t>+55 21 2294-3931 / vendas@abovenet.com.br</t>
        </is>
      </c>
      <c r="K621" t="inlineStr">
        <is>
          <t>★★</t>
        </is>
      </c>
      <c r="L621" t="inlineStr">
        <is>
          <t>未触达</t>
        </is>
      </c>
      <c r="M621" t="inlineStr">
        <is>
          <t>2026-09-22</t>
        </is>
      </c>
      <c r="N621" t="inlineStr"/>
      <c r="O621" t="inlineStr"/>
      <c r="P621" t="inlineStr"/>
      <c r="Q621" t="inlineStr">
        <is>
          <t>里约 【范围外】不在本次目标区域（欧洲+美加）内，暂不触达，留档备用</t>
        </is>
      </c>
      <c r="R621" t="inlineStr">
        <is>
          <t>C</t>
        </is>
      </c>
      <c r="S621" t="inlineStr">
        <is>
          <t>区域外（巴西），不在欧洲+美加范围内，决策链长或存在品牌冲突</t>
        </is>
      </c>
      <c r="T621" t="inlineStr">
        <is>
          <t>C-028</t>
        </is>
      </c>
      <c r="U621" t="inlineStr">
        <is>
          <t>范围外（非欧洲/北美）</t>
        </is>
      </c>
      <c r="V621" t="inlineStr"/>
    </row>
    <row r="622">
      <c r="A622" t="inlineStr">
        <is>
          <t>All Tech Solutions (atsol)</t>
        </is>
      </c>
      <c r="B622" t="inlineStr">
        <is>
          <t>巴西</t>
        </is>
      </c>
      <c r="C622" t="inlineStr"/>
      <c r="D622" t="inlineStr">
        <is>
          <t>atsol.com.br</t>
        </is>
      </c>
      <c r="E622" t="inlineStr">
        <is>
          <t>分销（ORing 授权）</t>
        </is>
      </c>
      <c r="F622" t="inlineStr">
        <is>
          <t>ORing</t>
        </is>
      </c>
      <c r="G622" t="inlineStr">
        <is>
          <t>否</t>
        </is>
      </c>
      <c r="H622" t="inlineStr">
        <is>
          <t>工业/轨道同规格 1/3 价第二供应源</t>
        </is>
      </c>
      <c r="I622" t="inlineStr">
        <is>
          <t>LT-IS6312XGP-4XS8GT</t>
        </is>
      </c>
      <c r="J622" t="inlineStr">
        <is>
          <t>+55 11 99858-1492 / atendimento@atsol.com.br</t>
        </is>
      </c>
      <c r="K622" t="inlineStr">
        <is>
          <t>★★</t>
        </is>
      </c>
      <c r="L622" t="inlineStr">
        <is>
          <t>未触达</t>
        </is>
      </c>
      <c r="M622" t="inlineStr">
        <is>
          <t>2026-09-22</t>
        </is>
      </c>
      <c r="N622" t="inlineStr"/>
      <c r="O622" t="inlineStr"/>
      <c r="P622" t="inlineStr"/>
      <c r="Q622" t="inlineStr">
        <is>
          <t>【范围外】不在本次目标区域（欧洲+美加）内，暂不触达，留档备用</t>
        </is>
      </c>
      <c r="R622" t="inlineStr">
        <is>
          <t>C</t>
        </is>
      </c>
      <c r="S622" t="inlineStr">
        <is>
          <t>区域外（巴西），不在欧洲+美加范围内，决策链长或存在品牌冲突</t>
        </is>
      </c>
      <c r="T622" t="inlineStr">
        <is>
          <t>C-029</t>
        </is>
      </c>
      <c r="U622" t="inlineStr">
        <is>
          <t>范围外（非欧洲/北美）</t>
        </is>
      </c>
      <c r="V622" t="inlineStr"/>
    </row>
    <row r="623">
      <c r="A623" t="inlineStr">
        <is>
          <t>ICS Brasil</t>
        </is>
      </c>
      <c r="B623" t="inlineStr">
        <is>
          <t>巴西</t>
        </is>
      </c>
      <c r="C623" t="inlineStr"/>
      <c r="D623" t="inlineStr">
        <is>
          <t>ics-brasil.com.br</t>
        </is>
      </c>
      <c r="E623" t="inlineStr">
        <is>
          <t>分销（ORing 授权）</t>
        </is>
      </c>
      <c r="F623" t="inlineStr">
        <is>
          <t>ORing</t>
        </is>
      </c>
      <c r="G623" t="inlineStr">
        <is>
          <t>否</t>
        </is>
      </c>
      <c r="H623" t="inlineStr">
        <is>
          <t>工业/轨道同规格 1/3 价第二供应源</t>
        </is>
      </c>
      <c r="I623" t="inlineStr">
        <is>
          <t>LT-IS6312XG-4XS8GT</t>
        </is>
      </c>
      <c r="J623" t="inlineStr">
        <is>
          <t>+55 35 3623-5066</t>
        </is>
      </c>
      <c r="K623" t="inlineStr">
        <is>
          <t>★★</t>
        </is>
      </c>
      <c r="L623" t="inlineStr">
        <is>
          <t>未触达</t>
        </is>
      </c>
      <c r="M623" t="inlineStr">
        <is>
          <t>2026-09-22</t>
        </is>
      </c>
      <c r="N623" t="inlineStr"/>
      <c r="O623" t="inlineStr"/>
      <c r="P623" t="inlineStr"/>
      <c r="Q623" t="inlineStr">
        <is>
          <t>【范围外】不在本次目标区域（欧洲+美加）内，暂不触达，留档备用</t>
        </is>
      </c>
      <c r="R623" t="inlineStr">
        <is>
          <t>C</t>
        </is>
      </c>
      <c r="S623" t="inlineStr">
        <is>
          <t>区域外（巴西），不在欧洲+美加范围内，决策链长或存在品牌冲突</t>
        </is>
      </c>
      <c r="T623" t="inlineStr">
        <is>
          <t>C-030</t>
        </is>
      </c>
      <c r="U623" t="inlineStr">
        <is>
          <t>范围外（非欧洲/北美）</t>
        </is>
      </c>
      <c r="V623" t="inlineStr"/>
    </row>
    <row r="624">
      <c r="A624" t="inlineStr">
        <is>
          <t>LRI AUTOMAÇÃO</t>
        </is>
      </c>
      <c r="B624" t="inlineStr">
        <is>
          <t>巴西</t>
        </is>
      </c>
      <c r="C624" t="inlineStr"/>
      <c r="D624" t="inlineStr">
        <is>
          <t>lri.com.br</t>
        </is>
      </c>
      <c r="E624" t="inlineStr">
        <is>
          <t>分销（ORing 授权）</t>
        </is>
      </c>
      <c r="F624" t="inlineStr">
        <is>
          <t>ORing</t>
        </is>
      </c>
      <c r="G624" t="inlineStr">
        <is>
          <t>否</t>
        </is>
      </c>
      <c r="H624" t="inlineStr">
        <is>
          <t>工业/轨道同规格 1/3 价第二供应源</t>
        </is>
      </c>
      <c r="I624" t="inlineStr">
        <is>
          <t>LT-IS6320G-4GX16GT-D</t>
        </is>
      </c>
      <c r="J624" t="inlineStr">
        <is>
          <t>+55 51 2129-3033 / vendas@lri.com.br</t>
        </is>
      </c>
      <c r="K624" t="inlineStr">
        <is>
          <t>★★</t>
        </is>
      </c>
      <c r="L624" t="inlineStr">
        <is>
          <t>未触达</t>
        </is>
      </c>
      <c r="M624" t="inlineStr">
        <is>
          <t>2026-09-22</t>
        </is>
      </c>
      <c r="N624" t="inlineStr"/>
      <c r="O624" t="inlineStr"/>
      <c r="P624" t="inlineStr"/>
      <c r="Q624" t="inlineStr">
        <is>
          <t>巴西南部 【范围外】不在本次目标区域（欧洲+美加）内，暂不触达，留档备用</t>
        </is>
      </c>
      <c r="R624" t="inlineStr">
        <is>
          <t>C</t>
        </is>
      </c>
      <c r="S624" t="inlineStr">
        <is>
          <t>区域外（巴西），不在欧洲+美加范围内，决策链长或存在品牌冲突</t>
        </is>
      </c>
      <c r="T624" t="inlineStr">
        <is>
          <t>C-031</t>
        </is>
      </c>
      <c r="U624" t="inlineStr">
        <is>
          <t>范围外（非欧洲/北美）</t>
        </is>
      </c>
      <c r="V624" t="inlineStr"/>
    </row>
    <row r="625">
      <c r="A625" t="inlineStr">
        <is>
          <t>Christos Kargiotis / Novelcomm</t>
        </is>
      </c>
      <c r="B625" t="inlineStr">
        <is>
          <t>希腊</t>
        </is>
      </c>
      <c r="C625" t="inlineStr">
        <is>
          <t>Athens</t>
        </is>
      </c>
      <c r="D625" t="inlineStr">
        <is>
          <t>novelcomm.gr</t>
        </is>
      </c>
      <c r="E625" t="inlineStr">
        <is>
          <t>集成商/顾问（MikroTik 认证）</t>
        </is>
      </c>
      <c r="F625" t="inlineStr">
        <is>
          <t>MikroTik 认证顾问 MTCNA+MTCRE+MTCTCE</t>
        </is>
      </c>
      <c r="G625" t="inlineStr">
        <is>
          <t>否</t>
        </is>
      </c>
      <c r="H625" t="inlineStr">
        <is>
          <t>MikroTik 认证顾问：自己做方案/集成/运维并自行采购设备 → 用 ERPS/IGMP/VLAN/CLI/MIB 这类技术语言切入，不打价格战</t>
        </is>
      </c>
      <c r="I625" t="inlineStr">
        <is>
          <t>LT-S8328GP-4GX24GT-S</t>
        </is>
      </c>
      <c r="J625" t="inlineStr">
        <is>
          <t>+30 698 352 4337 / ckariotis@novelcomm.gr</t>
        </is>
      </c>
      <c r="K625" t="inlineStr">
        <is>
          <t>★★★</t>
        </is>
      </c>
      <c r="L625" t="inlineStr">
        <is>
          <t>未触达</t>
        </is>
      </c>
      <c r="M625" t="inlineStr">
        <is>
          <t>2026-09-22</t>
        </is>
      </c>
      <c r="N625" t="inlineStr"/>
      <c r="O625" t="inlineStr"/>
      <c r="P625" t="inlineStr"/>
      <c r="Q625" t="inlineStr">
        <is>
          <t>★★ 大型网络工程师；技能清单含 **PIM-SM（组播路由协议）→ IPTV/监控组播的核心**、OSPF、MPLS、MP-BGP、IPSec（PSK 与数字证书）、负载均衡、流量整形与 QoS、PtP/PtMP、**Switching**</t>
        </is>
      </c>
      <c r="R625" t="inlineStr">
        <is>
          <t>C</t>
        </is>
      </c>
      <c r="S625" t="inlineStr">
        <is>
          <t>备注含「大型」，决策链长或存在品牌冲突</t>
        </is>
      </c>
      <c r="T625" t="inlineStr">
        <is>
          <t>C-032</t>
        </is>
      </c>
      <c r="U625" t="inlineStr">
        <is>
          <t>太难·规模过大/决策链长</t>
        </is>
      </c>
      <c r="V625" t="inlineStr"/>
    </row>
    <row r="626">
      <c r="A626" t="inlineStr">
        <is>
          <t>Georgios Argyrides</t>
        </is>
      </c>
      <c r="B626" t="inlineStr">
        <is>
          <t>希腊</t>
        </is>
      </c>
      <c r="C626" t="inlineStr">
        <is>
          <t>Thessaloniki</t>
        </is>
      </c>
      <c r="D626" t="inlineStr"/>
      <c r="E626" t="inlineStr">
        <is>
          <t>集成商/顾问（MikroTik 认证）</t>
        </is>
      </c>
      <c r="F626" t="inlineStr">
        <is>
          <t>MikroTik 认证顾问 MTCNA+MTCRE+MTCWE+MTCEWE</t>
        </is>
      </c>
      <c r="G626" t="inlineStr">
        <is>
          <t>否</t>
        </is>
      </c>
      <c r="H626" t="inlineStr">
        <is>
          <t>MikroTik 认证顾问：自己做方案/集成/运维并自行采购设备 → 用 ERPS/IGMP/VLAN/CLI/MIB 这类技术语言切入，不打价格战</t>
        </is>
      </c>
      <c r="I626" t="inlineStr">
        <is>
          <t>LT-S8328XG-4XS24GT-S</t>
        </is>
      </c>
      <c r="J626" t="inlineStr">
        <is>
          <t>+30 697 962 3656 / argeorge86@gmail.com</t>
        </is>
      </c>
      <c r="K626" t="inlineStr">
        <is>
          <t>★★★</t>
        </is>
      </c>
      <c r="L626" t="inlineStr">
        <is>
          <t>未触达</t>
        </is>
      </c>
      <c r="M626" t="inlineStr">
        <is>
          <t>2026-09-22</t>
        </is>
      </c>
      <c r="N626" t="inlineStr"/>
      <c r="O626" t="inlineStr"/>
      <c r="P626" t="inlineStr"/>
      <c r="Q626" t="inlineStr">
        <is>
          <t>2011 年起认证顾问、**2012 年起认证讲师**；WISP 室外无线 PtP/PtMP/Mesh，覆盖 2.4/5/24/**60GHz** 频段；专长 VLAN、高级带宽管理与 QoS、虚拟化、VoIP、RADIUS Hotspot、The Dude；**10+ 年国际出差做培训与现场勘测**</t>
        </is>
      </c>
      <c r="R626" t="inlineStr">
        <is>
          <t>C</t>
        </is>
      </c>
      <c r="S626" t="inlineStr">
        <is>
          <t>备注含「覆盖 2」，决策链长或存在品牌冲突</t>
        </is>
      </c>
      <c r="T626" t="inlineStr">
        <is>
          <t>C-033</t>
        </is>
      </c>
      <c r="U626" t="inlineStr">
        <is>
          <t>太难·规模过大/决策链长</t>
        </is>
      </c>
      <c r="V626" t="inlineStr"/>
    </row>
    <row r="627">
      <c r="A627" t="inlineStr">
        <is>
          <t>Vasileios Tzamichas / Rom Digital</t>
        </is>
      </c>
      <c r="B627" t="inlineStr">
        <is>
          <t>希腊</t>
        </is>
      </c>
      <c r="C627" t="inlineStr">
        <is>
          <t>Athens</t>
        </is>
      </c>
      <c r="D627" t="inlineStr">
        <is>
          <t>rom-psifiaki.gr</t>
        </is>
      </c>
      <c r="E627" t="inlineStr">
        <is>
          <t>集成商/顾问（MikroTik 认证）</t>
        </is>
      </c>
      <c r="F627" t="inlineStr">
        <is>
          <t>MikroTik 认证顾问 MTCNA+MTCRE</t>
        </is>
      </c>
      <c r="G627" t="inlineStr">
        <is>
          <t>否</t>
        </is>
      </c>
      <c r="H627" t="inlineStr">
        <is>
          <t>MikroTik 认证顾问：自己做方案/集成/运维并自行采购设备 → 用 ERPS/IGMP/VLAN/CLI/MIB 这类技术语言切入，不打价格战</t>
        </is>
      </c>
      <c r="I627" t="inlineStr">
        <is>
          <t>LT-S8328GP-4GX24GT-S</t>
        </is>
      </c>
      <c r="J627" t="inlineStr">
        <is>
          <t>+30 693 220 1024 / technical@rom-psifiaki.gr</t>
        </is>
      </c>
      <c r="K627" t="inlineStr">
        <is>
          <t>★★★</t>
        </is>
      </c>
      <c r="L627" t="inlineStr">
        <is>
          <t>未触达</t>
        </is>
      </c>
      <c r="M627" t="inlineStr">
        <is>
          <t>2026-09-22</t>
        </is>
      </c>
      <c r="N627" t="inlineStr"/>
      <c r="O627" t="inlineStr"/>
      <c r="P627" t="inlineStr"/>
      <c r="Q627" t="inlineStr">
        <is>
          <t>★ **公司成立于 1983 年（40+ 年）**，自述「**专营 MikroTik 产品**」，为中型与大型组织提供技术服务 → 老牌公司、品牌专营、客户偏大中型</t>
        </is>
      </c>
      <c r="R627" t="inlineStr">
        <is>
          <t>C</t>
        </is>
      </c>
      <c r="S627" t="inlineStr">
        <is>
          <t>备注含「大型」，决策链长或存在品牌冲突</t>
        </is>
      </c>
      <c r="T627" t="inlineStr">
        <is>
          <t>C-034</t>
        </is>
      </c>
      <c r="U627" t="inlineStr">
        <is>
          <t>太难·规模过大/决策链长</t>
        </is>
      </c>
      <c r="V627" t="inlineStr"/>
    </row>
    <row r="628">
      <c r="A628" t="inlineStr">
        <is>
          <t>Automation24 GmbH</t>
        </is>
      </c>
      <c r="B628" t="inlineStr">
        <is>
          <t>德国</t>
        </is>
      </c>
      <c r="C628" t="inlineStr">
        <is>
          <t>Essen</t>
        </is>
      </c>
      <c r="D628" t="inlineStr">
        <is>
          <t>automation24.de</t>
        </is>
      </c>
      <c r="E628" t="inlineStr">
        <is>
          <t>分销（HMS/N-Tron·Red Lion 渠道）</t>
        </is>
      </c>
      <c r="F628" t="inlineStr">
        <is>
          <t>Intesis（覆盖 10 国）</t>
        </is>
      </c>
      <c r="G628" t="inlineStr">
        <is>
          <t>否</t>
        </is>
      </c>
      <c r="H628" t="inlineStr">
        <is>
          <t>HMS 渠道工业自动化分销，做 Intesis/Ewon 楼宇与远程运维 → 项目里需要交换机，做配套增量</t>
        </is>
      </c>
      <c r="I628" t="inlineStr">
        <is>
          <t>LT-IS6310G</t>
        </is>
      </c>
      <c r="J628" t="inlineStr">
        <is>
          <t>官网联系页（HMS 名录只公开地址与网址）</t>
        </is>
      </c>
      <c r="K628" t="inlineStr">
        <is>
          <t>★★★</t>
        </is>
      </c>
      <c r="L628" t="inlineStr">
        <is>
          <t>未触达</t>
        </is>
      </c>
      <c r="M628" t="inlineStr">
        <is>
          <t>2026-09-22</t>
        </is>
      </c>
      <c r="N628" t="inlineStr"/>
      <c r="O628" t="inlineStr"/>
      <c r="P628" t="inlineStr"/>
      <c r="Q628" t="inlineStr">
        <is>
          <t>德/奥/比/法/意/荷/波/西/瑞/英 10 国电商渠道</t>
        </is>
      </c>
      <c r="R628" t="inlineStr">
        <is>
          <t>C</t>
        </is>
      </c>
      <c r="S628" t="inlineStr">
        <is>
          <t>备注含「覆盖 10」，决策链长或存在品牌冲突</t>
        </is>
      </c>
      <c r="T628" t="inlineStr">
        <is>
          <t>C-035</t>
        </is>
      </c>
      <c r="U628" t="inlineStr">
        <is>
          <t>太难·规模过大/决策链长</t>
        </is>
      </c>
      <c r="V628" t="inlineStr"/>
    </row>
    <row r="629">
      <c r="A629" t="inlineStr">
        <is>
          <t>GETIC（德国）</t>
        </is>
      </c>
      <c r="B629" t="inlineStr">
        <is>
          <t>德国</t>
        </is>
      </c>
      <c r="C629" t="inlineStr"/>
      <c r="D629" t="inlineStr">
        <is>
          <t>getic.de</t>
        </is>
      </c>
      <c r="E629" t="inlineStr">
        <is>
          <t>分销（MikroTik 官方）</t>
        </is>
      </c>
      <c r="F629" t="inlineStr">
        <is>
          <t>MikroTik（Master）</t>
        </is>
      </c>
      <c r="G629" t="inlineStr">
        <is>
          <t>否</t>
        </is>
      </c>
      <c r="H629" t="inlineStr">
        <is>
          <t>GETIC 集团德/法两国，官方分销</t>
        </is>
      </c>
      <c r="I629" t="inlineStr">
        <is>
          <t>LT-S8328XG-4XS8GT-S</t>
        </is>
      </c>
      <c r="J629" t="inlineStr">
        <is>
          <t>+49 2131 266 9600 / sales@getic.de</t>
        </is>
      </c>
      <c r="K629" t="inlineStr">
        <is>
          <t>★★★</t>
        </is>
      </c>
      <c r="L629" t="inlineStr">
        <is>
          <t>未触达</t>
        </is>
      </c>
      <c r="M629" t="inlineStr">
        <is>
          <t>2026-09-22</t>
        </is>
      </c>
      <c r="N629" t="inlineStr"/>
      <c r="O629" t="inlineStr"/>
      <c r="P629" t="inlineStr"/>
      <c r="Q629" t="inlineStr">
        <is>
          <t>Berlin；跨国集团，一次谈两国</t>
        </is>
      </c>
      <c r="R629" t="inlineStr">
        <is>
          <t>C</t>
        </is>
      </c>
      <c r="S629" t="inlineStr">
        <is>
          <t>备注含「跨国」，决策链长或存在品牌冲突</t>
        </is>
      </c>
      <c r="T629" t="inlineStr">
        <is>
          <t>C-036</t>
        </is>
      </c>
      <c r="U629" t="inlineStr">
        <is>
          <t>太难·规模过大/决策链长</t>
        </is>
      </c>
      <c r="V629" t="inlineStr"/>
    </row>
    <row r="630">
      <c r="A630" t="inlineStr">
        <is>
          <t>IC Intracom (Intellinet/Manhattan)</t>
        </is>
      </c>
      <c r="B630" t="inlineStr">
        <is>
          <t>德国</t>
        </is>
      </c>
      <c r="C630" t="inlineStr">
        <is>
          <t>Halver</t>
        </is>
      </c>
      <c r="D630" t="inlineStr">
        <is>
          <t>icintracom.eu</t>
        </is>
      </c>
      <c r="E630" t="inlineStr">
        <is>
          <t>自有品牌制造商</t>
        </is>
      </c>
      <c r="F630" t="inlineStr">
        <is>
          <t>Intellinet/Manhattan</t>
        </is>
      </c>
      <c r="G630" t="inlineStr">
        <is>
          <t>是</t>
        </is>
      </c>
      <c r="H630" t="inlineStr">
        <is>
          <t>亚洲有QC、欧盟合规号齐全，沟通成本最低</t>
        </is>
      </c>
      <c r="I630" t="inlineStr">
        <is>
          <t>LT-S8328XG-4XS24GT-S</t>
        </is>
      </c>
      <c r="J630" t="inlineStr">
        <is>
          <t>sales@intellinetnetwork.eu / +49 2353 7007 0</t>
        </is>
      </c>
      <c r="K630" t="inlineStr">
        <is>
          <t>★★★</t>
        </is>
      </c>
      <c r="L630" t="inlineStr">
        <is>
          <t>未触达</t>
        </is>
      </c>
      <c r="M630" t="inlineStr">
        <is>
          <t>重点客户/2026-09</t>
        </is>
      </c>
      <c r="N630" t="inlineStr"/>
      <c r="O630" t="inlineStr"/>
      <c r="P630" t="inlineStr"/>
      <c r="Q630" t="inlineStr">
        <is>
          <t>WEEE DE40753042 / LUCID DE2489084505093</t>
        </is>
      </c>
      <c r="R630" t="inlineStr">
        <is>
          <t>C</t>
        </is>
      </c>
      <c r="S630" t="inlineStr">
        <is>
          <t>类型属大盘/自有品牌（自有品牌制造商），决策链长或存在品牌冲突</t>
        </is>
      </c>
      <c r="T630" t="inlineStr">
        <is>
          <t>C-037</t>
        </is>
      </c>
      <c r="U630" t="inlineStr">
        <is>
          <t>太难·自有品牌</t>
        </is>
      </c>
      <c r="V630" t="inlineStr"/>
    </row>
    <row r="631">
      <c r="A631" t="inlineStr">
        <is>
          <t>Lantech Communications Europe GmbH</t>
        </is>
      </c>
      <c r="B631" t="inlineStr">
        <is>
          <t>德国</t>
        </is>
      </c>
      <c r="C631" t="inlineStr"/>
      <c r="D631" t="inlineStr">
        <is>
          <t>—</t>
        </is>
      </c>
      <c r="E631" t="inlineStr">
        <is>
          <t>台厂德国实体</t>
        </is>
      </c>
      <c r="F631" t="inlineStr">
        <is>
          <t>Lantech（EN50155/铁路强）</t>
        </is>
      </c>
      <c r="G631" t="inlineStr">
        <is>
          <t>是</t>
        </is>
      </c>
      <c r="H631" t="inlineStr">
        <is>
          <t>不打产品，铁路/EN50155让出</t>
        </is>
      </c>
      <c r="I631" t="inlineStr">
        <is>
          <t>—</t>
        </is>
      </c>
      <c r="J631" t="inlineStr">
        <is>
          <t>—</t>
        </is>
      </c>
      <c r="K631" t="inlineStr">
        <is>
          <t>✕</t>
        </is>
      </c>
      <c r="L631" t="inlineStr">
        <is>
          <t>未触达</t>
        </is>
      </c>
      <c r="M631" t="inlineStr">
        <is>
          <t>反向信号/2026-09</t>
        </is>
      </c>
      <c r="N631" t="inlineStr"/>
      <c r="O631" t="inlineStr"/>
      <c r="P631" t="inlineStr"/>
      <c r="Q631" t="inlineStr"/>
      <c r="R631" t="inlineStr">
        <is>
          <t>C</t>
        </is>
      </c>
      <c r="S631" t="inlineStr">
        <is>
          <t>类型属大盘/自有品牌（台厂德国实体）；台厂本体，非客户，仅作信号源，决策链长或存在品牌冲突</t>
        </is>
      </c>
      <c r="T631" t="inlineStr">
        <is>
          <t>C-038</t>
        </is>
      </c>
      <c r="U631" t="inlineStr">
        <is>
          <t>太难·自有品牌</t>
        </is>
      </c>
      <c r="V631" t="inlineStr"/>
    </row>
    <row r="632">
      <c r="A632" t="inlineStr">
        <is>
          <t>Microsens</t>
        </is>
      </c>
      <c r="B632" t="inlineStr">
        <is>
          <t>德国</t>
        </is>
      </c>
      <c r="C632" t="inlineStr"/>
      <c r="D632" t="inlineStr">
        <is>
          <t>—</t>
        </is>
      </c>
      <c r="E632" t="inlineStr">
        <is>
          <t>工业网络品牌</t>
        </is>
      </c>
      <c r="F632" t="inlineStr">
        <is>
          <t>Microsens</t>
        </is>
      </c>
      <c r="G632" t="inlineStr">
        <is>
          <t>是</t>
        </is>
      </c>
      <c r="H632" t="inlineStr">
        <is>
          <t>高端锚，只做备件与项目配套</t>
        </is>
      </c>
      <c r="I632" t="inlineStr">
        <is>
          <t>—</t>
        </is>
      </c>
      <c r="J632" t="inlineStr">
        <is>
          <t>—</t>
        </is>
      </c>
      <c r="K632" t="inlineStr">
        <is>
          <t>✕</t>
        </is>
      </c>
      <c r="L632" t="inlineStr">
        <is>
          <t>未触达</t>
        </is>
      </c>
      <c r="M632" t="inlineStr">
        <is>
          <t>反向信号/2026-09</t>
        </is>
      </c>
      <c r="N632" t="inlineStr"/>
      <c r="O632" t="inlineStr"/>
      <c r="P632" t="inlineStr"/>
      <c r="Q632" t="inlineStr"/>
      <c r="R632" t="inlineStr">
        <is>
          <t>C</t>
        </is>
      </c>
      <c r="S632" t="inlineStr">
        <is>
          <t>竞品或观察对象，不作为客户开发</t>
        </is>
      </c>
      <c r="T632" t="inlineStr">
        <is>
          <t>C-039</t>
        </is>
      </c>
      <c r="U632" t="inlineStr">
        <is>
          <t>竞品</t>
        </is>
      </c>
      <c r="V632" t="inlineStr"/>
    </row>
    <row r="633">
      <c r="A633" t="inlineStr">
        <is>
          <t>RS Components GmbH</t>
        </is>
      </c>
      <c r="B633" t="inlineStr">
        <is>
          <t>德国</t>
        </is>
      </c>
      <c r="C633" t="inlineStr">
        <is>
          <t>Frankfurt am Main</t>
        </is>
      </c>
      <c r="D633" t="inlineStr">
        <is>
          <t>rs-online.com</t>
        </is>
      </c>
      <c r="E633" t="inlineStr">
        <is>
          <t>分销（HMS/N-Tron·Red Lion 渠道）</t>
        </is>
      </c>
      <c r="F633" t="inlineStr">
        <is>
          <t>N-Tron + Red Lion（覆盖 60+ 国）</t>
        </is>
      </c>
      <c r="G633" t="inlineStr">
        <is>
          <t>否</t>
        </is>
      </c>
      <c r="H633" t="inlineStr">
        <is>
          <t>卖 N-Tron/Red Lion 工业交换机（8口非网管约 $500+）→ 中性货同规格 LT-IS6310G 约 $91，做第二供应商/替换，价差 5 倍</t>
        </is>
      </c>
      <c r="I633" t="inlineStr">
        <is>
          <t>LT-IS6310G</t>
        </is>
      </c>
      <c r="J633" t="inlineStr">
        <is>
          <t>官网联系页（HMS 名录只公开地址与网址）</t>
        </is>
      </c>
      <c r="K633" t="inlineStr">
        <is>
          <t>★</t>
        </is>
      </c>
      <c r="L633" t="inlineStr">
        <is>
          <t>未触达</t>
        </is>
      </c>
      <c r="M633" t="inlineStr">
        <is>
          <t>2026-09-22</t>
        </is>
      </c>
      <c r="N633" t="inlineStr"/>
      <c r="O633" t="inlineStr"/>
      <c r="P633" t="inlineStr"/>
      <c r="Q633" t="inlineStr">
        <is>
          <t>目录巨头，只做线上寄售，不宜主攻</t>
        </is>
      </c>
      <c r="R633" t="inlineStr">
        <is>
          <t>C</t>
        </is>
      </c>
      <c r="S633" t="inlineStr">
        <is>
          <t>备注含「覆盖 60」，决策链长或存在品牌冲突</t>
        </is>
      </c>
      <c r="T633" t="inlineStr">
        <is>
          <t>C-040</t>
        </is>
      </c>
      <c r="U633" t="inlineStr">
        <is>
          <t>太难·规模过大/决策链长</t>
        </is>
      </c>
      <c r="V633" t="inlineStr"/>
    </row>
    <row r="634">
      <c r="A634" t="inlineStr">
        <is>
          <t>Senetic GmbH（德国）</t>
        </is>
      </c>
      <c r="B634" t="inlineStr">
        <is>
          <t>德国</t>
        </is>
      </c>
      <c r="C634" t="inlineStr"/>
      <c r="D634" t="inlineStr">
        <is>
          <t>senetic.de</t>
        </is>
      </c>
      <c r="E634" t="inlineStr">
        <is>
          <t>分销（MikroTik 官方）</t>
        </is>
      </c>
      <c r="F634" t="inlineStr">
        <is>
          <t>MikroTik（Reseller）</t>
        </is>
      </c>
      <c r="G634" t="inlineStr">
        <is>
          <t>否</t>
        </is>
      </c>
      <c r="H634" t="inlineStr">
        <is>
          <t>Senetic 集团覆盖德/波/法/英/意/西/捷/匈/罗 → 泛欧分销，最大单点</t>
        </is>
      </c>
      <c r="I634" t="inlineStr">
        <is>
          <t>LT-S8328XG-4XS8GT-S</t>
        </is>
      </c>
      <c r="J634" t="inlineStr">
        <is>
          <t>+49 89 2620 845 00 / info@senetic.de</t>
        </is>
      </c>
      <c r="K634" t="inlineStr">
        <is>
          <t>★★★</t>
        </is>
      </c>
      <c r="L634" t="inlineStr">
        <is>
          <t>未触达</t>
        </is>
      </c>
      <c r="M634" t="inlineStr">
        <is>
          <t>2026-09-22</t>
        </is>
      </c>
      <c r="N634" t="inlineStr"/>
      <c r="O634" t="inlineStr"/>
      <c r="P634" t="inlineStr"/>
      <c r="Q634" t="inlineStr">
        <is>
          <t>Munich；泛欧九国，谈成一家顶九家 【关联】Senetic（同集团另有 pl / co.uk / fr / it / ch / se 站点，一国的采购决策可能由集团统一，谈一家等于谈七国）</t>
        </is>
      </c>
      <c r="R634" t="inlineStr">
        <is>
          <t>C</t>
        </is>
      </c>
      <c r="S634" t="inlineStr">
        <is>
          <t>备注含「集团」，决策链长或存在品牌冲突</t>
        </is>
      </c>
      <c r="T634" t="inlineStr">
        <is>
          <t>C-041</t>
        </is>
      </c>
      <c r="U634" t="inlineStr">
        <is>
          <t>太难·规模过大/决策链长</t>
        </is>
      </c>
      <c r="V634" t="inlineStr"/>
    </row>
    <row r="635">
      <c r="A635" t="inlineStr">
        <is>
          <t>Conrad / Reichelt / Distrelec</t>
        </is>
      </c>
      <c r="B635" t="inlineStr">
        <is>
          <t>德国/瑞士</t>
        </is>
      </c>
      <c r="C635" t="inlineStr"/>
      <c r="D635" t="inlineStr">
        <is>
          <t>platform.conrad.de</t>
        </is>
      </c>
      <c r="E635" t="inlineStr">
        <is>
          <t>大分销+自有品牌</t>
        </is>
      </c>
      <c r="F635" t="inlineStr">
        <is>
          <t>RND 等</t>
        </is>
      </c>
      <c r="G635" t="inlineStr">
        <is>
          <t>部分</t>
        </is>
      </c>
      <c r="H635" t="inlineStr">
        <is>
          <t>Conrad走Mirakl入驻；Distrelec供应商onboarding</t>
        </is>
      </c>
      <c r="I635" t="inlineStr">
        <is>
          <t>LT-S8328XGP-4XS24GT-S</t>
        </is>
      </c>
      <c r="J635" t="inlineStr">
        <is>
          <t>各官网入驻入口</t>
        </is>
      </c>
      <c r="K635" t="inlineStr">
        <is>
          <t>★★★</t>
        </is>
      </c>
      <c r="L635" t="inlineStr">
        <is>
          <t>未触达</t>
        </is>
      </c>
      <c r="M635" t="inlineStr">
        <is>
          <t>重点客户/2026-09</t>
        </is>
      </c>
      <c r="N635" t="inlineStr"/>
      <c r="O635" t="inlineStr"/>
      <c r="P635" t="inlineStr"/>
      <c r="Q635" t="inlineStr">
        <is>
          <t>最快出单路径 【范围外】不在本次目标区域（欧洲+美加）内，暂不触达，留档备用</t>
        </is>
      </c>
      <c r="R635" t="inlineStr">
        <is>
          <t>C</t>
        </is>
      </c>
      <c r="S635" t="inlineStr">
        <is>
          <t>类型属大盘/自有品牌（大分销+自有品牌）；备注含「大分销」，决策链长或存在品牌冲突</t>
        </is>
      </c>
      <c r="T635" t="inlineStr">
        <is>
          <t>C-042</t>
        </is>
      </c>
      <c r="U635" t="inlineStr">
        <is>
          <t>太难·自有品牌</t>
        </is>
      </c>
      <c r="V635" t="inlineStr"/>
    </row>
    <row r="636">
      <c r="A636" t="inlineStr">
        <is>
          <t>ALIDEX ITALIA</t>
        </is>
      </c>
      <c r="B636" t="inlineStr">
        <is>
          <t>意大利</t>
        </is>
      </c>
      <c r="C636" t="inlineStr"/>
      <c r="D636" t="inlineStr">
        <is>
          <t>alidex.it</t>
        </is>
      </c>
      <c r="E636" t="inlineStr">
        <is>
          <t>分销（ORing 授权）</t>
        </is>
      </c>
      <c r="F636" t="inlineStr">
        <is>
          <t>ORing</t>
        </is>
      </c>
      <c r="G636" t="inlineStr">
        <is>
          <t>否</t>
        </is>
      </c>
      <c r="H636" t="inlineStr">
        <is>
          <t>意大利分销</t>
        </is>
      </c>
      <c r="I636" t="inlineStr">
        <is>
          <t>LT-IS6312XGP-4XS8GT</t>
        </is>
      </c>
      <c r="J636" t="inlineStr">
        <is>
          <t>+39 392 8499296</t>
        </is>
      </c>
      <c r="K636" t="inlineStr">
        <is>
          <t>★★★</t>
        </is>
      </c>
      <c r="L636" t="inlineStr">
        <is>
          <t>未触达</t>
        </is>
      </c>
      <c r="M636" t="inlineStr">
        <is>
          <t>ORing经销商名录/2026-09</t>
        </is>
      </c>
      <c r="N636" t="inlineStr"/>
      <c r="O636" t="inlineStr"/>
      <c r="P636" t="inlineStr"/>
      <c r="Q636" t="inlineStr">
        <is>
          <t>【关联】同集团另一实体：ALIDEX IBERIA（西班牙/葡萄牙）（alidex.es）</t>
        </is>
      </c>
      <c r="R636" t="inlineStr">
        <is>
          <t>C</t>
        </is>
      </c>
      <c r="S636" t="inlineStr">
        <is>
          <t>备注含「集团」，决策链长或存在品牌冲突</t>
        </is>
      </c>
      <c r="T636" t="inlineStr">
        <is>
          <t>C-043</t>
        </is>
      </c>
      <c r="U636" t="inlineStr">
        <is>
          <t>太难·规模过大/决策链长</t>
        </is>
      </c>
      <c r="V636" t="inlineStr"/>
    </row>
    <row r="637">
      <c r="A637" t="inlineStr">
        <is>
          <t>Donato De Meo</t>
        </is>
      </c>
      <c r="B637" t="inlineStr">
        <is>
          <t>意大利</t>
        </is>
      </c>
      <c r="C637" t="inlineStr">
        <is>
          <t>Ortona</t>
        </is>
      </c>
      <c r="D637" t="inlineStr"/>
      <c r="E637" t="inlineStr">
        <is>
          <t>集成商/顾问（MikroTik 认证）</t>
        </is>
      </c>
      <c r="F637" t="inlineStr">
        <is>
          <t>MikroTik 认证顾问 MTCNA+MTCRE+MTCINE+MTCIPv6E</t>
        </is>
      </c>
      <c r="G637" t="inlineStr">
        <is>
          <t>否</t>
        </is>
      </c>
      <c r="H637" t="inlineStr">
        <is>
          <t>MikroTik 认证顾问：自己做方案/集成/运维并自行采购设备 → 用 ERPS/IGMP/VLAN/CLI/MIB 这类技术语言切入，不打价格战</t>
        </is>
      </c>
      <c r="I637" t="inlineStr">
        <is>
          <t>LT-S8328XG-4XS24GT-S</t>
        </is>
      </c>
      <c r="J637" t="inlineStr">
        <is>
          <t>+39 380 432 3838 / demeodonato@gmail.com</t>
        </is>
      </c>
      <c r="K637" t="inlineStr">
        <is>
          <t>★★★</t>
        </is>
      </c>
      <c r="L637" t="inlineStr">
        <is>
          <t>未触达</t>
        </is>
      </c>
      <c r="M637" t="inlineStr">
        <is>
          <t>2026-09-22</t>
        </is>
      </c>
      <c r="N637" t="inlineStr"/>
      <c r="O637" t="inlineStr"/>
      <c r="P637" t="inlineStr"/>
      <c r="Q637" t="inlineStr">
        <is>
          <t>★★ 资深网络工程师：参与多个**国家级 ISP 规模**基础设施设计与 fabric、路由架构、多厂商环境；实管 **40+ POP、约 8000 客户、20 Gbps 流量**；BGP 架构、OSPF/IS-IS/SRv6/IPv6、网络迁移与高可用 → 规模最大的个人顾问之一</t>
        </is>
      </c>
      <c r="R637" t="inlineStr">
        <is>
          <t>C</t>
        </is>
      </c>
      <c r="S637" t="inlineStr">
        <is>
          <t>备注含「8000」，决策链长或存在品牌冲突</t>
        </is>
      </c>
      <c r="T637" t="inlineStr">
        <is>
          <t>C-044</t>
        </is>
      </c>
      <c r="U637" t="inlineStr">
        <is>
          <t>太难·规模过大/决策链长</t>
        </is>
      </c>
      <c r="V637" t="inlineStr"/>
    </row>
    <row r="638">
      <c r="A638" t="inlineStr">
        <is>
          <t>Rexel Italia</t>
        </is>
      </c>
      <c r="B638" t="inlineStr">
        <is>
          <t>意大利</t>
        </is>
      </c>
      <c r="C638" t="inlineStr"/>
      <c r="D638" t="inlineStr">
        <is>
          <t>rexel.it</t>
        </is>
      </c>
      <c r="E638" t="inlineStr">
        <is>
          <t>大分销</t>
        </is>
      </c>
      <c r="F638" t="inlineStr">
        <is>
          <t>Gigamedia</t>
        </is>
      </c>
      <c r="G638" t="inlineStr">
        <is>
          <t>否</t>
        </is>
      </c>
      <c r="H638" t="inlineStr">
        <is>
          <t>渠道</t>
        </is>
      </c>
      <c r="I638" t="inlineStr">
        <is>
          <t>LT-IS6328XGP-4XS24GT</t>
        </is>
      </c>
      <c r="J638" t="inlineStr">
        <is>
          <t>官网</t>
        </is>
      </c>
      <c r="K638" t="inlineStr">
        <is>
          <t>★★</t>
        </is>
      </c>
      <c r="L638" t="inlineStr">
        <is>
          <t>未触达</t>
        </is>
      </c>
      <c r="M638" t="inlineStr">
        <is>
          <t>反向信号/2026-09</t>
        </is>
      </c>
      <c r="N638" t="inlineStr"/>
      <c r="O638" t="inlineStr"/>
      <c r="P638" t="inlineStr"/>
      <c r="Q638" t="inlineStr">
        <is>
          <t>Rexel 集团意大利实体；集团为全球电气分销巨头，另有 Rexel USA（rexelusa.com）。原「法国/意大利」合并行已并入此行与法国实体</t>
        </is>
      </c>
      <c r="R638" t="inlineStr">
        <is>
          <t>C</t>
        </is>
      </c>
      <c r="S638" t="inlineStr">
        <is>
          <t>类型属大盘/自有品牌（大分销）；备注含「大分销」，决策链长或存在品牌冲突</t>
        </is>
      </c>
      <c r="T638" t="inlineStr">
        <is>
          <t>C-045</t>
        </is>
      </c>
      <c r="U638" t="inlineStr">
        <is>
          <t>太难·自有品牌</t>
        </is>
      </c>
      <c r="V638" t="inlineStr"/>
    </row>
    <row r="639">
      <c r="A639" t="inlineStr">
        <is>
          <t>Senetic Italia S.r.l.</t>
        </is>
      </c>
      <c r="B639" t="inlineStr">
        <is>
          <t>意大利</t>
        </is>
      </c>
      <c r="C639" t="inlineStr"/>
      <c r="D639" t="inlineStr">
        <is>
          <t>senetic.it</t>
        </is>
      </c>
      <c r="E639" t="inlineStr">
        <is>
          <t>分销（MikroTik 官方）</t>
        </is>
      </c>
      <c r="F639" t="inlineStr">
        <is>
          <t>MikroTik（Reseller）</t>
        </is>
      </c>
      <c r="G639" t="inlineStr">
        <is>
          <t>否</t>
        </is>
      </c>
      <c r="H639" t="inlineStr">
        <is>
          <t>Senetic 集团意大利站</t>
        </is>
      </c>
      <c r="I639" t="inlineStr">
        <is>
          <t>LT-S8328XG-4XS8GT-S</t>
        </is>
      </c>
      <c r="J639" t="inlineStr">
        <is>
          <t>+39 02 00623500 / info@senetic.it</t>
        </is>
      </c>
      <c r="K639" t="inlineStr">
        <is>
          <t>★★</t>
        </is>
      </c>
      <c r="L639" t="inlineStr">
        <is>
          <t>未触达</t>
        </is>
      </c>
      <c r="M639" t="inlineStr">
        <is>
          <t>2026-09-22</t>
        </is>
      </c>
      <c r="N639" t="inlineStr"/>
      <c r="O639" t="inlineStr"/>
      <c r="P639" t="inlineStr"/>
      <c r="Q639" t="inlineStr">
        <is>
          <t>Milan 【关联】Senetic（同集团另有 pl / co.uk / fr / it / ch / se 站点，一国的采购决策可能由集团统一，谈一家等于谈七国）</t>
        </is>
      </c>
      <c r="R639" t="inlineStr">
        <is>
          <t>C</t>
        </is>
      </c>
      <c r="S639" t="inlineStr">
        <is>
          <t>备注含「集团」，决策链长或存在品牌冲突</t>
        </is>
      </c>
      <c r="T639" t="inlineStr">
        <is>
          <t>C-046</t>
        </is>
      </c>
      <c r="U639" t="inlineStr">
        <is>
          <t>太难·规模过大/决策链长</t>
        </is>
      </c>
      <c r="V639" t="inlineStr"/>
    </row>
    <row r="640">
      <c r="A640" t="inlineStr">
        <is>
          <t>Sphinx Italia</t>
        </is>
      </c>
      <c r="B640" t="inlineStr">
        <is>
          <t>意大利</t>
        </is>
      </c>
      <c r="C640" t="inlineStr"/>
      <c r="D640" t="inlineStr">
        <is>
          <t>sphinxitalia.it</t>
        </is>
      </c>
      <c r="E640" t="inlineStr">
        <is>
          <t>分销（Moxa 授权）</t>
        </is>
      </c>
      <c r="F640" t="inlineStr">
        <is>
          <t>Moxa 意大利官方分销商，10+ 年工业 IoT 经验，现货库存 EDS-2000 / EDS-505A / EDS-528E / EDS-G2008-EL 等工业以太网交换机</t>
        </is>
      </c>
      <c r="G640" t="inlineStr">
        <is>
          <t>否</t>
        </is>
      </c>
      <c r="H640" t="inlineStr">
        <is>
          <t>台厂渠道话术</t>
        </is>
      </c>
      <c r="I640" t="inlineStr">
        <is>
          <t>LT-IS6312XGP-4XS8GT</t>
        </is>
      </c>
      <c r="J640" t="inlineStr">
        <is>
          <t>官网联系页</t>
        </is>
      </c>
      <c r="K640" t="inlineStr">
        <is>
          <t>★★</t>
        </is>
      </c>
      <c r="L640" t="inlineStr">
        <is>
          <t>未触达</t>
        </is>
      </c>
      <c r="M640" t="inlineStr">
        <is>
          <t>Moxa 渠道名录（经销商定位法）</t>
        </is>
      </c>
      <c r="N640" t="inlineStr"/>
      <c r="O640" t="inlineStr"/>
      <c r="P640" t="inlineStr"/>
      <c r="Q640" t="inlineStr">
        <is>
          <t>【2026-09-22 补】经 Moxa 渠道名录确认为 Moxa 官方分销商（台厂 Moxa 旗下欧洲/北美渠道）。与 Sphinx France 同属 Sphinx 集团，意大利站点独立运营，强调现库与意大利语技术支持。</t>
        </is>
      </c>
      <c r="R640" t="inlineStr">
        <is>
          <t>C</t>
        </is>
      </c>
      <c r="S640" t="inlineStr">
        <is>
          <t>备注含「集团」，决策链长或存在品牌冲突</t>
        </is>
      </c>
      <c r="T640" t="inlineStr">
        <is>
          <t>C-047</t>
        </is>
      </c>
      <c r="U640" t="inlineStr">
        <is>
          <t>太难·规模过大/决策链长</t>
        </is>
      </c>
      <c r="V640" t="inlineStr"/>
    </row>
    <row r="641">
      <c r="A641" t="inlineStr">
        <is>
          <t>Dustin Norway</t>
        </is>
      </c>
      <c r="B641" t="inlineStr">
        <is>
          <t>挪威</t>
        </is>
      </c>
      <c r="C641" t="inlineStr"/>
      <c r="D641" t="inlineStr">
        <is>
          <t>dustin.no</t>
        </is>
      </c>
      <c r="E641" t="inlineStr">
        <is>
          <t>分销（MikroTik 官方）</t>
        </is>
      </c>
      <c r="F641" t="inlineStr">
        <is>
          <t>MikroTik（Reseller）</t>
        </is>
      </c>
      <c r="G641" t="inlineStr">
        <is>
          <t>否</t>
        </is>
      </c>
      <c r="H641" t="inlineStr">
        <is>
          <t>Dustin 集团 = 北欧大型 IT 分销（瑞典/挪威/丹麦/芬兰/荷兰/比利时）</t>
        </is>
      </c>
      <c r="I641" t="inlineStr">
        <is>
          <t>LT-S8328GP-4GX24GT</t>
        </is>
      </c>
      <c r="J641" t="inlineStr">
        <is>
          <t>+47 21 04 40 40 / ordre@dustin.no</t>
        </is>
      </c>
      <c r="K641" t="inlineStr">
        <is>
          <t>★★★</t>
        </is>
      </c>
      <c r="L641" t="inlineStr">
        <is>
          <t>未触达</t>
        </is>
      </c>
      <c r="M641" t="inlineStr">
        <is>
          <t>2026-09-22</t>
        </is>
      </c>
      <c r="N641" t="inlineStr"/>
      <c r="O641" t="inlineStr"/>
      <c r="P641" t="inlineStr"/>
      <c r="Q641" t="inlineStr">
        <is>
          <t>Moss；泛欧大分销</t>
        </is>
      </c>
      <c r="R641" t="inlineStr">
        <is>
          <t>C</t>
        </is>
      </c>
      <c r="S641" t="inlineStr">
        <is>
          <t>备注含「大分销」，决策链长或存在品牌冲突</t>
        </is>
      </c>
      <c r="T641" t="inlineStr">
        <is>
          <t>C-048</t>
        </is>
      </c>
      <c r="U641" t="inlineStr">
        <is>
          <t>太难·规模过大/决策链长</t>
        </is>
      </c>
      <c r="V641" t="inlineStr"/>
    </row>
    <row r="642">
      <c r="A642" t="inlineStr">
        <is>
          <t>Conexpro (GNT-IG 系列)</t>
        </is>
      </c>
      <c r="B642" t="inlineStr">
        <is>
          <t>捷克</t>
        </is>
      </c>
      <c r="C642" t="inlineStr"/>
      <c r="D642" t="inlineStr">
        <is>
          <t>—</t>
        </is>
      </c>
      <c r="E642" t="inlineStr">
        <is>
          <t>自有品牌</t>
        </is>
      </c>
      <c r="F642" t="inlineStr">
        <is>
          <t>Conexpro</t>
        </is>
      </c>
      <c r="G642" t="inlineStr">
        <is>
          <t>是</t>
        </is>
      </c>
      <c r="H642" t="inlineStr">
        <is>
          <t>⚠️价格地板（8口PoE DIN≈€55），别硬拼</t>
        </is>
      </c>
      <c r="I642" t="inlineStr">
        <is>
          <t>—</t>
        </is>
      </c>
      <c r="J642" t="inlineStr">
        <is>
          <t>—</t>
        </is>
      </c>
      <c r="K642" t="inlineStr">
        <is>
          <t>✕</t>
        </is>
      </c>
      <c r="L642" t="inlineStr">
        <is>
          <t>未触达</t>
        </is>
      </c>
      <c r="M642" t="inlineStr">
        <is>
          <t>反向信号/2026-09</t>
        </is>
      </c>
      <c r="N642" t="inlineStr"/>
      <c r="O642" t="inlineStr"/>
      <c r="P642" t="inlineStr"/>
      <c r="Q642" t="inlineStr"/>
      <c r="R642" t="inlineStr">
        <is>
          <t>C</t>
        </is>
      </c>
      <c r="S642" t="inlineStr">
        <is>
          <t>类型属大盘/自有品牌（自有品牌），决策链长或存在品牌冲突</t>
        </is>
      </c>
      <c r="T642" t="inlineStr">
        <is>
          <t>C-049</t>
        </is>
      </c>
      <c r="U642" t="inlineStr">
        <is>
          <t>太难·自有品牌</t>
        </is>
      </c>
      <c r="V642" t="inlineStr"/>
    </row>
    <row r="643">
      <c r="A643" t="inlineStr">
        <is>
          <t>Michal Stepanek / i4wifi 100MEGA Distribution s.r.o.</t>
        </is>
      </c>
      <c r="B643" t="inlineStr">
        <is>
          <t>捷克</t>
        </is>
      </c>
      <c r="C643" t="inlineStr">
        <is>
          <t>Neratovice</t>
        </is>
      </c>
      <c r="D643" t="inlineStr">
        <is>
          <t>100mega.cz</t>
        </is>
      </c>
      <c r="E643" t="inlineStr">
        <is>
          <t>集成商/顾问（MikroTik 认证）</t>
        </is>
      </c>
      <c r="F643" t="inlineStr">
        <is>
          <t>MikroTik 认证顾问 MTCNA+MTCTCE+MTCSE</t>
        </is>
      </c>
      <c r="G643" t="inlineStr">
        <is>
          <t>否</t>
        </is>
      </c>
      <c r="H643" t="inlineStr">
        <is>
          <t>MikroTik 认证顾问：自己做方案/集成/运维并自行采购设备 → 用 ERPS/IGMP/VLAN/CLI/MIB 这类技术语言切入，不打价格战</t>
        </is>
      </c>
      <c r="I643" t="inlineStr">
        <is>
          <t>LT-S8328XGP-4XS24GT-S</t>
        </is>
      </c>
      <c r="J643" t="inlineStr">
        <is>
          <t>+420 774 198 272 / mikrotikpodpora@gmail.com</t>
        </is>
      </c>
      <c r="K643" t="inlineStr">
        <is>
          <t>★★★</t>
        </is>
      </c>
      <c r="L643" t="inlineStr">
        <is>
          <t>未触达</t>
        </is>
      </c>
      <c r="M643" t="inlineStr">
        <is>
          <t>2026-09-22</t>
        </is>
      </c>
      <c r="N643" t="inlineStr"/>
      <c r="O643" t="inlineStr"/>
      <c r="P643" t="inlineStr"/>
      <c r="Q643" t="inlineStr">
        <is>
          <t>★ 100MEGA（i4wifi）是捷克最大 MikroTik/网络设备分销之一，此人是**产品经理** → 正是「找品类经理不找 CPO」那条路；他还在 skoleni.100mega.cz 讲课、办 mtpc.world 大会</t>
        </is>
      </c>
      <c r="R643" t="inlineStr">
        <is>
          <t>C</t>
        </is>
      </c>
      <c r="S643" t="inlineStr">
        <is>
          <t>备注含「最大」，决策链长或存在品牌冲突</t>
        </is>
      </c>
      <c r="T643" t="inlineStr">
        <is>
          <t>C-050</t>
        </is>
      </c>
      <c r="U643" t="inlineStr">
        <is>
          <t>太难·规模过大/决策链长</t>
        </is>
      </c>
      <c r="V643" t="inlineStr"/>
    </row>
    <row r="644">
      <c r="A644" t="inlineStr">
        <is>
          <t>Senetic s.r.o.</t>
        </is>
      </c>
      <c r="B644" t="inlineStr">
        <is>
          <t>捷克</t>
        </is>
      </c>
      <c r="C644" t="inlineStr"/>
      <c r="D644" t="inlineStr">
        <is>
          <t>senetic.cz</t>
        </is>
      </c>
      <c r="E644" t="inlineStr">
        <is>
          <t>分销（MikroTik 官方）</t>
        </is>
      </c>
      <c r="F644" t="inlineStr">
        <is>
          <t>MikroTik（Reseller）</t>
        </is>
      </c>
      <c r="G644" t="inlineStr">
        <is>
          <t>否</t>
        </is>
      </c>
      <c r="H644" t="inlineStr">
        <is>
          <t>Senetic 集团捷克站</t>
        </is>
      </c>
      <c r="I644" t="inlineStr">
        <is>
          <t>LT-S8328XG-4XS8GT-S</t>
        </is>
      </c>
      <c r="J644" t="inlineStr">
        <is>
          <t>+420 246 080 303 / info@senetic.cz</t>
        </is>
      </c>
      <c r="K644" t="inlineStr">
        <is>
          <t>★★</t>
        </is>
      </c>
      <c r="L644" t="inlineStr">
        <is>
          <t>未触达</t>
        </is>
      </c>
      <c r="M644" t="inlineStr">
        <is>
          <t>2026-09-22</t>
        </is>
      </c>
      <c r="N644" t="inlineStr"/>
      <c r="O644" t="inlineStr"/>
      <c r="P644" t="inlineStr"/>
      <c r="Q644" t="inlineStr">
        <is>
          <t>Praha 【关联】Senetic（同集团另有 pl / co.uk / fr / it / ch / se 站点，一国的采购决策可能由集团统一，谈一家等于谈七国）</t>
        </is>
      </c>
      <c r="R644" t="inlineStr">
        <is>
          <t>C</t>
        </is>
      </c>
      <c r="S644" t="inlineStr">
        <is>
          <t>备注含「集团」，决策链长或存在品牌冲突</t>
        </is>
      </c>
      <c r="T644" t="inlineStr">
        <is>
          <t>C-051</t>
        </is>
      </c>
      <c r="U644" t="inlineStr">
        <is>
          <t>太难·规模过大/决策链长</t>
        </is>
      </c>
      <c r="V644" t="inlineStr"/>
    </row>
    <row r="645">
      <c r="A645" t="inlineStr">
        <is>
          <t>WIAutomation</t>
        </is>
      </c>
      <c r="B645" t="inlineStr">
        <is>
          <t>捷克</t>
        </is>
      </c>
      <c r="C645" t="inlineStr"/>
      <c r="D645" t="inlineStr">
        <is>
          <t>wiautomation.com</t>
        </is>
      </c>
      <c r="E645" t="inlineStr">
        <is>
          <t>分销（Advantech 授权）</t>
        </is>
      </c>
      <c r="F645" t="inlineStr">
        <is>
          <t>中欧站点分销 Advantech EKI 工业以太网设备（如 EKI-5629CI-EI-AE，8FE+2G 宽温 EtherNet/IP 交换机）</t>
        </is>
      </c>
      <c r="G645" t="inlineStr">
        <is>
          <t>否</t>
        </is>
      </c>
      <c r="H645" t="inlineStr">
        <is>
          <t>台厂渠道话术</t>
        </is>
      </c>
      <c r="I645" t="inlineStr">
        <is>
          <t>LT-IS6312XGP-4XS8GT</t>
        </is>
      </c>
      <c r="J645" t="inlineStr">
        <is>
          <t>官网联系页</t>
        </is>
      </c>
      <c r="K645" t="inlineStr">
        <is>
          <t>★★</t>
        </is>
      </c>
      <c r="L645" t="inlineStr">
        <is>
          <t>未触达</t>
        </is>
      </c>
      <c r="M645" t="inlineStr">
        <is>
          <t>EtherWAN/Advantech 渠道名录（经销商定位法）</t>
        </is>
      </c>
      <c r="N645" t="inlineStr"/>
      <c r="O645" t="inlineStr"/>
      <c r="P645" t="inlineStr"/>
      <c r="Q645" t="inlineStr">
        <is>
          <t>【2026-09-22 补】经 Advantech（台厂）EKI 系列渠道确认为其分销商。捷克语站点（cz.wiautomation.com），自称 100 万+ 产品与全球支持。</t>
        </is>
      </c>
      <c r="R645" t="inlineStr">
        <is>
          <t>C</t>
        </is>
      </c>
      <c r="S645" t="inlineStr">
        <is>
          <t>备注含「100 万」，决策链长或存在品牌冲突</t>
        </is>
      </c>
      <c r="T645" t="inlineStr">
        <is>
          <t>C-052</t>
        </is>
      </c>
      <c r="U645" t="inlineStr">
        <is>
          <t>太难·规模过大/决策链长</t>
        </is>
      </c>
      <c r="V645" t="inlineStr"/>
    </row>
    <row r="646">
      <c r="A646" t="inlineStr">
        <is>
          <t>ASBIS SK</t>
        </is>
      </c>
      <c r="B646" t="inlineStr">
        <is>
          <t>斯洛伐克</t>
        </is>
      </c>
      <c r="C646" t="inlineStr"/>
      <c r="D646" t="inlineStr">
        <is>
          <t>online.asbis.sk</t>
        </is>
      </c>
      <c r="E646" t="inlineStr">
        <is>
          <t>分销（MikroTik 官方）</t>
        </is>
      </c>
      <c r="F646" t="inlineStr">
        <is>
          <t>MikroTik（Master）</t>
        </is>
      </c>
      <c r="G646" t="inlineStr">
        <is>
          <t>否</t>
        </is>
      </c>
      <c r="H646" t="inlineStr">
        <is>
          <t>ASBIS 集团 = EMEA 最大 IT 分销之一（覆盖 30+ 国）</t>
        </is>
      </c>
      <c r="I646" t="inlineStr">
        <is>
          <t>LT-S8328XG-4XS8GT-S</t>
        </is>
      </c>
      <c r="J646" t="inlineStr">
        <is>
          <t>+421 2 321 65 111 / sales@asbis.sk</t>
        </is>
      </c>
      <c r="K646" t="inlineStr">
        <is>
          <t>★★★</t>
        </is>
      </c>
      <c r="L646" t="inlineStr">
        <is>
          <t>未触达</t>
        </is>
      </c>
      <c r="M646" t="inlineStr">
        <is>
          <t>2026-09-22</t>
        </is>
      </c>
      <c r="N646" t="inlineStr"/>
      <c r="O646" t="inlineStr"/>
      <c r="P646" t="inlineStr"/>
      <c r="Q646" t="inlineStr">
        <is>
          <t>Bratislava；泛欧大分销</t>
        </is>
      </c>
      <c r="R646" t="inlineStr">
        <is>
          <t>C</t>
        </is>
      </c>
      <c r="S646" t="inlineStr">
        <is>
          <t>备注含「大分销」，决策链长或存在品牌冲突</t>
        </is>
      </c>
      <c r="T646" t="inlineStr">
        <is>
          <t>C-053</t>
        </is>
      </c>
      <c r="U646" t="inlineStr">
        <is>
          <t>太难·规模过大/决策链长</t>
        </is>
      </c>
      <c r="V646" t="inlineStr"/>
    </row>
    <row r="647">
      <c r="A647" t="inlineStr">
        <is>
          <t>Matej Sojka / 365IT</t>
        </is>
      </c>
      <c r="B647" t="inlineStr">
        <is>
          <t>斯洛伐克</t>
        </is>
      </c>
      <c r="C647" t="inlineStr">
        <is>
          <t>Bratislava</t>
        </is>
      </c>
      <c r="D647" t="inlineStr">
        <is>
          <t>365it.sk</t>
        </is>
      </c>
      <c r="E647" t="inlineStr">
        <is>
          <t>集成商/顾问（MikroTik 认证）</t>
        </is>
      </c>
      <c r="F647" t="inlineStr">
        <is>
          <t>MikroTik 认证顾问 MTCNA+MTCSWE</t>
        </is>
      </c>
      <c r="G647" t="inlineStr">
        <is>
          <t>否</t>
        </is>
      </c>
      <c r="H647" t="inlineStr">
        <is>
          <t>MikroTik 认证顾问：自己做方案/集成/运维并自行采购设备 → 用 ERPS/IGMP/VLAN/CLI/MIB 这类技术语言切入，不打价格战</t>
        </is>
      </c>
      <c r="I647" t="inlineStr">
        <is>
          <t>LT-S8328GP-4GX24GT-S</t>
        </is>
      </c>
      <c r="J647" t="inlineStr">
        <is>
          <t>+421 905 303 903 / ms@365it.sk（另 sojka.matej@gmail.com）</t>
        </is>
      </c>
      <c r="K647" t="inlineStr">
        <is>
          <t>★★★</t>
        </is>
      </c>
      <c r="L647" t="inlineStr">
        <is>
          <t>未触达</t>
        </is>
      </c>
      <c r="M647" t="inlineStr">
        <is>
          <t>2026-09-22</t>
        </is>
      </c>
      <c r="N647" t="inlineStr"/>
      <c r="O647" t="inlineStr"/>
      <c r="P647" t="inlineStr"/>
      <c r="Q647" t="inlineStr">
        <is>
          <t>★ 持 MTCSWE（交换认证）；**有自己的团队**，客户从小型企业到大型企业基础设施；提供 MikroTik 咨询、实施与支持；英捷匈斯四语</t>
        </is>
      </c>
      <c r="R647" t="inlineStr">
        <is>
          <t>C</t>
        </is>
      </c>
      <c r="S647" t="inlineStr">
        <is>
          <t>备注含「大型」，决策链长或存在品牌冲突</t>
        </is>
      </c>
      <c r="T647" t="inlineStr">
        <is>
          <t>C-054</t>
        </is>
      </c>
      <c r="U647" t="inlineStr">
        <is>
          <t>太难·规模过大/决策链长</t>
        </is>
      </c>
      <c r="V647" t="inlineStr"/>
    </row>
    <row r="648">
      <c r="A648" t="inlineStr">
        <is>
          <t>RBT Technologies d.o.o.</t>
        </is>
      </c>
      <c r="B648" t="inlineStr">
        <is>
          <t>斯洛文尼亚</t>
        </is>
      </c>
      <c r="C648" t="inlineStr">
        <is>
          <t>Ljubljana</t>
        </is>
      </c>
      <c r="D648" t="inlineStr">
        <is>
          <t>rbt-technologies.si</t>
        </is>
      </c>
      <c r="E648" t="inlineStr">
        <is>
          <t>分销（HMS/N-Tron·Red Lion 渠道）</t>
        </is>
      </c>
      <c r="F648" t="inlineStr">
        <is>
          <t>N-Tron + Red Lion + Anybus + Ewon + Ixxat</t>
        </is>
      </c>
      <c r="G648" t="inlineStr">
        <is>
          <t>否</t>
        </is>
      </c>
      <c r="H648" t="inlineStr">
        <is>
          <t>卖 N-Tron/Red Lion 工业交换机（8口非网管约 $500+）→ 中性货同规格 LT-IS6310G 约 $91，做第二供应商，价差 5 倍</t>
        </is>
      </c>
      <c r="I648" t="inlineStr">
        <is>
          <t>LT-IS6312XGP-4XS8GT</t>
        </is>
      </c>
      <c r="J648" t="inlineStr">
        <is>
          <t>官网联系页（HMS 名录只公开地址与网址）</t>
        </is>
      </c>
      <c r="K648" t="inlineStr">
        <is>
          <t>★★★</t>
        </is>
      </c>
      <c r="L648" t="inlineStr">
        <is>
          <t>未触达</t>
        </is>
      </c>
      <c r="M648" t="inlineStr">
        <is>
          <t>2026-09-22</t>
        </is>
      </c>
      <c r="N648" t="inlineStr"/>
      <c r="O648" t="inlineStr"/>
      <c r="P648" t="inlineStr"/>
      <c r="Q648" t="inlineStr">
        <is>
          <t>RBT 集团总部（斯洛文尼亚）；另有塞尔维亚 rbt-technologies.rs、克罗地亚 rbt-technologies.hr → 一单覆盖 SI/HR/RS 三国，且都覆盖阿尔巴尼亚/波黑/科索沃/北马其顿/黑山 【关联】同集团另一实体：RBT Technologies Srbija（塞尔维亚）（rbt-technologies.rs）</t>
        </is>
      </c>
      <c r="R648" t="inlineStr">
        <is>
          <t>C</t>
        </is>
      </c>
      <c r="S648" t="inlineStr">
        <is>
          <t>备注含「集团」，决策链长或存在品牌冲突</t>
        </is>
      </c>
      <c r="T648" t="inlineStr">
        <is>
          <t>C-055</t>
        </is>
      </c>
      <c r="U648" t="inlineStr">
        <is>
          <t>太难·规模过大/决策链长</t>
        </is>
      </c>
      <c r="V648" t="inlineStr"/>
    </row>
    <row r="649">
      <c r="A649" t="inlineStr">
        <is>
          <t>Anewtech Systems Pte Ltd</t>
        </is>
      </c>
      <c r="B649" t="inlineStr">
        <is>
          <t>新加坡</t>
        </is>
      </c>
      <c r="C649" t="inlineStr"/>
      <c r="D649" t="inlineStr">
        <is>
          <t>anewtech.net</t>
        </is>
      </c>
      <c r="E649" t="inlineStr">
        <is>
          <t>分销（ORing 授权）</t>
        </is>
      </c>
      <c r="F649" t="inlineStr">
        <is>
          <t>ORing</t>
        </is>
      </c>
      <c r="G649" t="inlineStr">
        <is>
          <t>否</t>
        </is>
      </c>
      <c r="H649" t="inlineStr">
        <is>
          <t>新加坡工业分销，覆盖东南亚</t>
        </is>
      </c>
      <c r="I649" t="inlineStr">
        <is>
          <t>LT-IS6312XG-4XS8GT</t>
        </is>
      </c>
      <c r="J649" t="inlineStr">
        <is>
          <t>+65 6292 0801 / sales@anewtech.com.sg</t>
        </is>
      </c>
      <c r="K649" t="inlineStr">
        <is>
          <t>★★</t>
        </is>
      </c>
      <c r="L649" t="inlineStr">
        <is>
          <t>未触达</t>
        </is>
      </c>
      <c r="M649" t="inlineStr">
        <is>
          <t>2026-09-22</t>
        </is>
      </c>
      <c r="N649" t="inlineStr"/>
      <c r="O649" t="inlineStr"/>
      <c r="P649" t="inlineStr"/>
      <c r="Q649" t="inlineStr">
        <is>
          <t>【范围外】不在本次目标区域（欧洲+美加）内，暂不触达，留档备用</t>
        </is>
      </c>
      <c r="R649" t="inlineStr">
        <is>
          <t>C</t>
        </is>
      </c>
      <c r="S649" t="inlineStr">
        <is>
          <t>区域外（新加坡），不在欧洲+美加范围内，决策链长或存在品牌冲突</t>
        </is>
      </c>
      <c r="T649" t="inlineStr">
        <is>
          <t>C-056</t>
        </is>
      </c>
      <c r="U649" t="inlineStr">
        <is>
          <t>范围外（非欧洲/北美）</t>
        </is>
      </c>
      <c r="V649" t="inlineStr"/>
    </row>
    <row r="650">
      <c r="A650" t="inlineStr">
        <is>
          <t>Data Controls Inc.</t>
        </is>
      </c>
      <c r="B650" t="inlineStr">
        <is>
          <t>日本</t>
        </is>
      </c>
      <c r="C650" t="inlineStr"/>
      <c r="D650" t="inlineStr">
        <is>
          <t>dci.jp</t>
        </is>
      </c>
      <c r="E650" t="inlineStr">
        <is>
          <t>分销（ORing 授权）</t>
        </is>
      </c>
      <c r="F650" t="inlineStr">
        <is>
          <t>ORing</t>
        </is>
      </c>
      <c r="G650" t="inlineStr">
        <is>
          <t>否</t>
        </is>
      </c>
      <c r="H650" t="inlineStr">
        <is>
          <t>日本工业分销（设 ORing 专属邮箱）</t>
        </is>
      </c>
      <c r="I650" t="inlineStr">
        <is>
          <t>LT-IS6312XGP-4XS8GT</t>
        </is>
      </c>
      <c r="J650" t="inlineStr">
        <is>
          <t>+81 3 3836-5611 / ORing_SalesJpN@dci.jp</t>
        </is>
      </c>
      <c r="K650" t="inlineStr">
        <is>
          <t>★★</t>
        </is>
      </c>
      <c r="L650" t="inlineStr">
        <is>
          <t>未触达</t>
        </is>
      </c>
      <c r="M650" t="inlineStr">
        <is>
          <t>2026-09-22</t>
        </is>
      </c>
      <c r="N650" t="inlineStr"/>
      <c r="O650" t="inlineStr"/>
      <c r="P650" t="inlineStr"/>
      <c r="Q650" t="inlineStr">
        <is>
          <t>【范围外】不在本次目标区域（欧洲+美加）内，暂不触达，留档备用</t>
        </is>
      </c>
      <c r="R650" t="inlineStr">
        <is>
          <t>C</t>
        </is>
      </c>
      <c r="S650" t="inlineStr">
        <is>
          <t>区域外（日本），不在欧洲+美加范围内，决策链长或存在品牌冲突</t>
        </is>
      </c>
      <c r="T650" t="inlineStr">
        <is>
          <t>C-057</t>
        </is>
      </c>
      <c r="U650" t="inlineStr">
        <is>
          <t>范围外（非欧洲/北美）</t>
        </is>
      </c>
      <c r="V650" t="inlineStr"/>
    </row>
    <row r="651">
      <c r="A651" t="inlineStr">
        <is>
          <t>V-net AAEON Co., Ltd.（现 Acceed Japan）</t>
        </is>
      </c>
      <c r="B651" t="inlineStr">
        <is>
          <t>日本</t>
        </is>
      </c>
      <c r="C651" t="inlineStr"/>
      <c r="D651" t="inlineStr">
        <is>
          <t>jp-vnet.com</t>
        </is>
      </c>
      <c r="E651" t="inlineStr">
        <is>
          <t>分销（ORing 授权）</t>
        </is>
      </c>
      <c r="F651" t="inlineStr">
        <is>
          <t>ORing</t>
        </is>
      </c>
      <c r="G651" t="inlineStr">
        <is>
          <t>否</t>
        </is>
      </c>
      <c r="H651" t="inlineStr">
        <is>
          <t>日本工业分销（AAEON 体系）</t>
        </is>
      </c>
      <c r="I651" t="inlineStr">
        <is>
          <t>LT-IS6312XG-4XS8GT</t>
        </is>
      </c>
      <c r="J651" t="inlineStr">
        <is>
          <t>+81 45 594-9535 / sales@jp-vnet.com</t>
        </is>
      </c>
      <c r="K651" t="inlineStr">
        <is>
          <t>★★</t>
        </is>
      </c>
      <c r="L651" t="inlineStr">
        <is>
          <t>未触达</t>
        </is>
      </c>
      <c r="M651" t="inlineStr">
        <is>
          <t>2026-09-22</t>
        </is>
      </c>
      <c r="N651" t="inlineStr"/>
      <c r="O651" t="inlineStr"/>
      <c r="P651" t="inlineStr"/>
      <c r="Q651" t="inlineStr">
        <is>
          <t>【范围外】不在本次目标区域（欧洲+美加）内，暂不触达，留档备用</t>
        </is>
      </c>
      <c r="R651" t="inlineStr">
        <is>
          <t>C</t>
        </is>
      </c>
      <c r="S651" t="inlineStr">
        <is>
          <t>区域外（日本），不在欧洲+美加范围内，决策链长或存在品牌冲突</t>
        </is>
      </c>
      <c r="T651" t="inlineStr">
        <is>
          <t>C-058</t>
        </is>
      </c>
      <c r="U651" t="inlineStr">
        <is>
          <t>范围外（非欧洲/北美）</t>
        </is>
      </c>
      <c r="V651" t="inlineStr"/>
    </row>
    <row r="652">
      <c r="A652" t="inlineStr">
        <is>
          <t>TEMPEL GROUP CHILE</t>
        </is>
      </c>
      <c r="B652" t="inlineStr">
        <is>
          <t>智利</t>
        </is>
      </c>
      <c r="C652" t="inlineStr"/>
      <c r="D652" t="inlineStr">
        <is>
          <t>tempelgroup.com</t>
        </is>
      </c>
      <c r="E652" t="inlineStr">
        <is>
          <t>分销（ORing 授权）</t>
        </is>
      </c>
      <c r="F652" t="inlineStr">
        <is>
          <t>ORing</t>
        </is>
      </c>
      <c r="G652" t="inlineStr">
        <is>
          <t>否</t>
        </is>
      </c>
      <c r="H652" t="inlineStr">
        <is>
          <t>工业/轨道同规格 1/3 价第二供应源</t>
        </is>
      </c>
      <c r="I652" t="inlineStr">
        <is>
          <t>LT-IS6312XG-4XS8GT</t>
        </is>
      </c>
      <c r="J652" t="inlineStr">
        <is>
          <t>+56 2 2739 2829 / schile@tempelgroup.com</t>
        </is>
      </c>
      <c r="K652" t="inlineStr">
        <is>
          <t>★★</t>
        </is>
      </c>
      <c r="L652" t="inlineStr">
        <is>
          <t>未触达</t>
        </is>
      </c>
      <c r="M652" t="inlineStr">
        <is>
          <t>2026-09-22</t>
        </is>
      </c>
      <c r="N652" t="inlineStr"/>
      <c r="O652" t="inlineStr"/>
      <c r="P652" t="inlineStr"/>
      <c r="Q652" t="inlineStr">
        <is>
          <t>【关联】同集团另一实体：Tempel Group（葡萄牙）（tempelgroup.pt） 【范围外】不在本次目标区域（欧洲+美加）内，暂不触达，留档备用</t>
        </is>
      </c>
      <c r="R652" t="inlineStr">
        <is>
          <t>C</t>
        </is>
      </c>
      <c r="S652" t="inlineStr">
        <is>
          <t>备注含「集团」；区域外（智利），不在欧洲+美加范围内，决策链长或存在品牌冲突</t>
        </is>
      </c>
      <c r="T652" t="inlineStr">
        <is>
          <t>C-059</t>
        </is>
      </c>
      <c r="U652" t="inlineStr">
        <is>
          <t>范围外（非欧洲/北美）</t>
        </is>
      </c>
      <c r="V652" t="inlineStr"/>
    </row>
    <row r="653">
      <c r="A653" t="inlineStr">
        <is>
          <t>TERABOX Soluciones Tecnológicas</t>
        </is>
      </c>
      <c r="B653" t="inlineStr">
        <is>
          <t>智利</t>
        </is>
      </c>
      <c r="C653" t="inlineStr"/>
      <c r="D653" t="inlineStr">
        <is>
          <t>terabox.cl</t>
        </is>
      </c>
      <c r="E653" t="inlineStr">
        <is>
          <t>分销（ORing 授权）</t>
        </is>
      </c>
      <c r="F653" t="inlineStr">
        <is>
          <t>ORing</t>
        </is>
      </c>
      <c r="G653" t="inlineStr">
        <is>
          <t>否</t>
        </is>
      </c>
      <c r="H653" t="inlineStr">
        <is>
          <t>工业/轨道同规格 1/3 价第二供应源</t>
        </is>
      </c>
      <c r="I653" t="inlineStr">
        <is>
          <t>LT-IS6312XGP-4XS8GT</t>
        </is>
      </c>
      <c r="J653" t="inlineStr">
        <is>
          <t>+56 9 8140 3392 / ventas@terabox.cl</t>
        </is>
      </c>
      <c r="K653" t="inlineStr">
        <is>
          <t>★★</t>
        </is>
      </c>
      <c r="L653" t="inlineStr">
        <is>
          <t>未触达</t>
        </is>
      </c>
      <c r="M653" t="inlineStr">
        <is>
          <t>2026-09-22</t>
        </is>
      </c>
      <c r="N653" t="inlineStr"/>
      <c r="O653" t="inlineStr"/>
      <c r="P653" t="inlineStr"/>
      <c r="Q653" t="inlineStr">
        <is>
          <t>【范围外】不在本次目标区域（欧洲+美加）内，暂不触达，留档备用</t>
        </is>
      </c>
      <c r="R653" t="inlineStr">
        <is>
          <t>C</t>
        </is>
      </c>
      <c r="S653" t="inlineStr">
        <is>
          <t>区域外（智利），不在欧洲+美加范围内，决策链长或存在品牌冲突</t>
        </is>
      </c>
      <c r="T653" t="inlineStr">
        <is>
          <t>C-060</t>
        </is>
      </c>
      <c r="U653" t="inlineStr">
        <is>
          <t>范围外（非欧洲/北美）</t>
        </is>
      </c>
      <c r="V653" t="inlineStr"/>
    </row>
    <row r="654">
      <c r="A654" t="inlineStr">
        <is>
          <t>Cir Toulouse</t>
        </is>
      </c>
      <c r="B654" t="inlineStr">
        <is>
          <t>法国</t>
        </is>
      </c>
      <c r="C654" t="inlineStr">
        <is>
          <t>Toulouse</t>
        </is>
      </c>
      <c r="D654" t="inlineStr">
        <is>
          <t>cir.fr</t>
        </is>
      </c>
      <c r="E654" t="inlineStr">
        <is>
          <t>分销（HMS/N-Tron·Red Lion 渠道）</t>
        </is>
      </c>
      <c r="F654" t="inlineStr">
        <is>
          <t>N-Tron + Red Lion + Anybus + Ewon</t>
        </is>
      </c>
      <c r="G654" t="inlineStr">
        <is>
          <t>否</t>
        </is>
      </c>
      <c r="H654" t="inlineStr">
        <is>
          <t>卖 N-Tron/Red Lion 工业交换机（8口非网管约 $500+）→ 中性货同规格 LT-IS6310G 约 $91，做第二供应商，价差 5 倍</t>
        </is>
      </c>
      <c r="I654" t="inlineStr">
        <is>
          <t>LT-IS6312XG-4XS8GT</t>
        </is>
      </c>
      <c r="J654" t="inlineStr">
        <is>
          <t>toulouse@cir.fr；cir@cir.fr；电话 +33 5 61 43 52 52；负责人 Isabelle Filhastre-Clericy</t>
        </is>
      </c>
      <c r="K654" t="inlineStr">
        <is>
          <t>★★★</t>
        </is>
      </c>
      <c r="L654" t="inlineStr">
        <is>
          <t>未触达</t>
        </is>
      </c>
      <c r="M654" t="inlineStr">
        <is>
          <t>2026-09-22</t>
        </is>
      </c>
      <c r="N654" t="inlineStr"/>
      <c r="O654" t="inlineStr"/>
      <c r="P654" t="inlineStr"/>
      <c r="Q654" t="inlineStr">
        <is>
          <t>法国南部工业分销；【2026-09-22 补】CIR = Compagnie Industrielle du Roulement，80 Rue Jacques Babinet, 31100 Toulouse；223 人，隶属 Renold 集团（集团内 20 个实体、10 个分支）。</t>
        </is>
      </c>
      <c r="R654" t="inlineStr">
        <is>
          <t>C</t>
        </is>
      </c>
      <c r="S654" t="inlineStr">
        <is>
          <t>备注含「集团」，决策链长或存在品牌冲突</t>
        </is>
      </c>
      <c r="T654" t="inlineStr">
        <is>
          <t>C-061</t>
        </is>
      </c>
      <c r="U654" t="inlineStr">
        <is>
          <t>太难·规模过大/决策链长</t>
        </is>
      </c>
      <c r="V654" t="inlineStr"/>
    </row>
    <row r="655">
      <c r="A655" t="inlineStr">
        <is>
          <t>Exertis Azenn</t>
        </is>
      </c>
      <c r="B655" t="inlineStr">
        <is>
          <t>法国</t>
        </is>
      </c>
      <c r="C655" t="inlineStr"/>
      <c r="D655" t="inlineStr">
        <is>
          <t>exertis.co.uk</t>
        </is>
      </c>
      <c r="E655" t="inlineStr">
        <is>
          <t>分销（ComNet 授权）</t>
        </is>
      </c>
      <c r="F655" t="inlineStr">
        <is>
          <t>ComNet</t>
        </is>
      </c>
      <c r="G655" t="inlineStr">
        <is>
          <t>否</t>
        </is>
      </c>
      <c r="H655" t="inlineStr">
        <is>
          <t>Exertis 集团法国分部，渠道体量大</t>
        </is>
      </c>
      <c r="I655" t="inlineStr">
        <is>
          <t>LT-IS6320G-4GX16GT-D</t>
        </is>
      </c>
      <c r="J655" t="inlineStr">
        <is>
          <t>exertis</t>
        </is>
      </c>
      <c r="K655" t="inlineStr">
        <is>
          <t>★★</t>
        </is>
      </c>
      <c r="L655" t="inlineStr">
        <is>
          <t>未触达</t>
        </is>
      </c>
      <c r="M655" t="inlineStr">
        <is>
          <t>2026-09-22</t>
        </is>
      </c>
      <c r="N655" t="inlineStr"/>
      <c r="O655" t="inlineStr"/>
      <c r="P655" t="inlineStr"/>
      <c r="Q655" t="inlineStr">
        <is>
          <t>大分销，流程长</t>
        </is>
      </c>
      <c r="R655" t="inlineStr">
        <is>
          <t>C</t>
        </is>
      </c>
      <c r="S655" t="inlineStr">
        <is>
          <t>备注含「大分销」，决策链长或存在品牌冲突</t>
        </is>
      </c>
      <c r="T655" t="inlineStr">
        <is>
          <t>C-062</t>
        </is>
      </c>
      <c r="U655" t="inlineStr">
        <is>
          <t>太难·规模过大/决策链长</t>
        </is>
      </c>
      <c r="V655" t="inlineStr"/>
    </row>
    <row r="656">
      <c r="A656" t="inlineStr">
        <is>
          <t>Gigamedia</t>
        </is>
      </c>
      <c r="B656" t="inlineStr">
        <is>
          <t>法国</t>
        </is>
      </c>
      <c r="C656" t="inlineStr"/>
      <c r="D656" t="inlineStr">
        <is>
          <t>gigamedia.net</t>
        </is>
      </c>
      <c r="E656" t="inlineStr">
        <is>
          <t>自有品牌（经Rexel销售）</t>
        </is>
      </c>
      <c r="F656" t="inlineStr">
        <is>
          <t>GGM 工业DIN系列</t>
        </is>
      </c>
      <c r="G656" t="inlineStr">
        <is>
          <t>是</t>
        </is>
      </c>
      <c r="H656" t="inlineStr">
        <is>
          <t>⭐OEM目标：明显不自产，走Rexel渠道</t>
        </is>
      </c>
      <c r="I656" t="inlineStr">
        <is>
          <t>LT-IS6312XGP-4XS8GT</t>
        </is>
      </c>
      <c r="J656" t="inlineStr">
        <is>
          <t>官网contact</t>
        </is>
      </c>
      <c r="K656" t="inlineStr">
        <is>
          <t>★★★</t>
        </is>
      </c>
      <c r="L656" t="inlineStr">
        <is>
          <t>未触达</t>
        </is>
      </c>
      <c r="M656" t="inlineStr">
        <is>
          <t>反向信号/2026-09</t>
        </is>
      </c>
      <c r="N656" t="inlineStr"/>
      <c r="O656" t="inlineStr"/>
      <c r="P656" t="inlineStr"/>
      <c r="Q656" t="inlineStr">
        <is>
          <t>100+员工、30年经验</t>
        </is>
      </c>
      <c r="R656" t="inlineStr">
        <is>
          <t>C</t>
        </is>
      </c>
      <c r="S656" t="inlineStr">
        <is>
          <t>类型属大盘/自有品牌（自有品牌（经Rexel销售）），决策链长或存在品牌冲突</t>
        </is>
      </c>
      <c r="T656" t="inlineStr">
        <is>
          <t>C-063</t>
        </is>
      </c>
      <c r="U656" t="inlineStr">
        <is>
          <t>太难·自有品牌</t>
        </is>
      </c>
      <c r="V656" t="inlineStr"/>
    </row>
    <row r="657">
      <c r="A657" t="inlineStr">
        <is>
          <t>Senetic France</t>
        </is>
      </c>
      <c r="B657" t="inlineStr">
        <is>
          <t>法国</t>
        </is>
      </c>
      <c r="C657" t="inlineStr"/>
      <c r="D657" t="inlineStr">
        <is>
          <t>senetic.fr</t>
        </is>
      </c>
      <c r="E657" t="inlineStr">
        <is>
          <t>分销（MikroTik 官方）</t>
        </is>
      </c>
      <c r="F657" t="inlineStr">
        <is>
          <t>MikroTik（Reseller）</t>
        </is>
      </c>
      <c r="G657" t="inlineStr">
        <is>
          <t>否</t>
        </is>
      </c>
      <c r="H657" t="inlineStr">
        <is>
          <t>Senetic 集团法国站</t>
        </is>
      </c>
      <c r="I657" t="inlineStr">
        <is>
          <t>LT-S8328XG-4XS8GT-S</t>
        </is>
      </c>
      <c r="J657" t="inlineStr">
        <is>
          <t>+33 1 73 06 00 00 / info@senetic.fr</t>
        </is>
      </c>
      <c r="K657" t="inlineStr">
        <is>
          <t>★★</t>
        </is>
      </c>
      <c r="L657" t="inlineStr">
        <is>
          <t>未触达</t>
        </is>
      </c>
      <c r="M657" t="inlineStr">
        <is>
          <t>2026-09-22</t>
        </is>
      </c>
      <c r="N657" t="inlineStr"/>
      <c r="O657" t="inlineStr"/>
      <c r="P657" t="inlineStr"/>
      <c r="Q657" t="inlineStr">
        <is>
          <t>Paris 【关联】Senetic（同集团另有 pl / co.uk / fr / it / ch / se 站点，一国的采购决策可能由集团统一，谈一家等于谈七国）</t>
        </is>
      </c>
      <c r="R657" t="inlineStr">
        <is>
          <t>C</t>
        </is>
      </c>
      <c r="S657" t="inlineStr">
        <is>
          <t>备注含「集团」，决策链长或存在品牌冲突</t>
        </is>
      </c>
      <c r="T657" t="inlineStr">
        <is>
          <t>C-064</t>
        </is>
      </c>
      <c r="U657" t="inlineStr">
        <is>
          <t>太难·规模过大/决策链长</t>
        </is>
      </c>
      <c r="V657" t="inlineStr"/>
    </row>
    <row r="658">
      <c r="A658" t="inlineStr">
        <is>
          <t>Inter Projekt S.A.</t>
        </is>
      </c>
      <c r="B658" t="inlineStr">
        <is>
          <t>波兰</t>
        </is>
      </c>
      <c r="C658" t="inlineStr"/>
      <c r="D658" t="inlineStr">
        <is>
          <t>interprojekt.pl</t>
        </is>
      </c>
      <c r="E658" t="inlineStr">
        <is>
          <t>分销（MikroTik 官方）</t>
        </is>
      </c>
      <c r="F658" t="inlineStr">
        <is>
          <t>MikroTik（Master+VAD+WiFi6）</t>
        </is>
      </c>
      <c r="G658" t="inlineStr">
        <is>
          <t>否</t>
        </is>
      </c>
      <c r="H658" t="inlineStr">
        <is>
          <t>MikroTik 官方分销，商用线可直接比价，工业线为零 → 新品类增量</t>
        </is>
      </c>
      <c r="I658" t="inlineStr">
        <is>
          <t>LT-S8328GP-4GX24GT</t>
        </is>
      </c>
      <c r="J658" t="inlineStr">
        <is>
          <t>+48 32 3022 907 / orders@interprojekt.pl</t>
        </is>
      </c>
      <c r="K658" t="inlineStr">
        <is>
          <t>★★★</t>
        </is>
      </c>
      <c r="L658" t="inlineStr">
        <is>
          <t>未触达</t>
        </is>
      </c>
      <c r="M658" t="inlineStr">
        <is>
          <t>2026-09-22</t>
        </is>
      </c>
      <c r="N658" t="inlineStr"/>
      <c r="O658" t="inlineStr"/>
      <c r="P658" t="inlineStr"/>
      <c r="Q658" t="inlineStr">
        <is>
          <t>Gliwice；波兰最大之一</t>
        </is>
      </c>
      <c r="R658" t="inlineStr">
        <is>
          <t>C</t>
        </is>
      </c>
      <c r="S658" t="inlineStr">
        <is>
          <t>备注含「最大」，决策链长或存在品牌冲突</t>
        </is>
      </c>
      <c r="T658" t="inlineStr">
        <is>
          <t>C-065</t>
        </is>
      </c>
      <c r="U658" t="inlineStr">
        <is>
          <t>太难·规模过大/决策链长</t>
        </is>
      </c>
      <c r="V658" t="inlineStr"/>
    </row>
    <row r="659">
      <c r="A659" t="inlineStr">
        <is>
          <t>OEM AUTOMATIC Sp. z o.o.</t>
        </is>
      </c>
      <c r="B659" t="inlineStr">
        <is>
          <t>波兰</t>
        </is>
      </c>
      <c r="C659" t="inlineStr"/>
      <c r="D659" t="inlineStr">
        <is>
          <t>oemautomatic.pl</t>
        </is>
      </c>
      <c r="E659" t="inlineStr">
        <is>
          <t>分销（Antaira 授权）</t>
        </is>
      </c>
      <c r="F659" t="inlineStr">
        <is>
          <t>Antaira</t>
        </is>
      </c>
      <c r="G659" t="inlineStr">
        <is>
          <t>否</t>
        </is>
      </c>
      <c r="H659" t="inlineStr">
        <is>
          <t>工业/轨道同规格 1/3 价第二供应源</t>
        </is>
      </c>
      <c r="I659" t="inlineStr">
        <is>
          <t>LT-IS6312XG-4XS8GT</t>
        </is>
      </c>
      <c r="J659" t="inlineStr">
        <is>
          <t>+48 22 863 27 22 / info@oemautomatic.pl</t>
        </is>
      </c>
      <c r="K659" t="inlineStr">
        <is>
          <t>★★★</t>
        </is>
      </c>
      <c r="L659" t="inlineStr">
        <is>
          <t>未触达</t>
        </is>
      </c>
      <c r="M659" t="inlineStr">
        <is>
          <t>2026-09-22</t>
        </is>
      </c>
      <c r="N659" t="inlineStr"/>
      <c r="O659" t="inlineStr"/>
      <c r="P659" t="inlineStr"/>
      <c r="Q659" t="inlineStr">
        <is>
          <t>华沙，自动化目录分销，SKU 量大；OEM Automatic 集团：瑞典 oemautomatic.se（自有品牌，OEM 优先）+ 捷克 oemautomatic.cz，一单谈三国 【关联】同集团另一实体：OEM Automatic AB（瑞典）（oemautomatic.se）；【2026-09-23】Antaira 官方 where-to-buy 名录确认的分销商。波兰分销商。</t>
        </is>
      </c>
      <c r="R659" t="inlineStr">
        <is>
          <t>C</t>
        </is>
      </c>
      <c r="S659" t="inlineStr">
        <is>
          <t>备注含「集团」，决策链长或存在品牌冲突</t>
        </is>
      </c>
      <c r="T659" t="inlineStr">
        <is>
          <t>C-066</t>
        </is>
      </c>
      <c r="U659" t="inlineStr">
        <is>
          <t>太难·规模过大/决策链长</t>
        </is>
      </c>
      <c r="V659" t="inlineStr"/>
    </row>
    <row r="660">
      <c r="A660" t="inlineStr">
        <is>
          <t>Piotr Wasyk / MWTC</t>
        </is>
      </c>
      <c r="B660" t="inlineStr">
        <is>
          <t>波兰</t>
        </is>
      </c>
      <c r="C660" t="inlineStr">
        <is>
          <t>Warszawa</t>
        </is>
      </c>
      <c r="D660" t="inlineStr">
        <is>
          <t>mwtc.pl</t>
        </is>
      </c>
      <c r="E660" t="inlineStr">
        <is>
          <t>集成商/顾问（MikroTik 认证）</t>
        </is>
      </c>
      <c r="F660" t="inlineStr">
        <is>
          <t>MikroTik 认证顾问 10 证全拿</t>
        </is>
      </c>
      <c r="G660" t="inlineStr">
        <is>
          <t>否</t>
        </is>
      </c>
      <c r="H660" t="inlineStr">
        <is>
          <t>MikroTik 认证顾问：自己做方案/集成/运维并自行采购设备 → 用 ERPS/IGMP/VLAN/CLI/MIB 这类技术语言切入，不打价格战</t>
        </is>
      </c>
      <c r="I660" t="inlineStr">
        <is>
          <t>LT-S8328XGP-4XS24GT-S</t>
        </is>
      </c>
      <c r="J660" t="inlineStr">
        <is>
          <t>+48 513 322 115 / piotr@mwtc.pl（总机 +48 796 171 971 / info@mwtc.pl）</t>
        </is>
      </c>
      <c r="K660" t="inlineStr">
        <is>
          <t>★★★</t>
        </is>
      </c>
      <c r="L660" t="inlineStr">
        <is>
          <t>未触达</t>
        </is>
      </c>
      <c r="M660" t="inlineStr">
        <is>
          <t>2026-09-22</t>
        </is>
      </c>
      <c r="N660" t="inlineStr"/>
      <c r="O660" t="inlineStr"/>
      <c r="P660" t="inlineStr"/>
      <c r="Q660" t="inlineStr">
        <is>
          <t>网络架构师 12+ 年，中大型 IP 基础设施；动态路由/流量整形/负载均衡/HA/VPN/安全；同公司另有 info@mwtc.pl</t>
        </is>
      </c>
      <c r="R660" t="inlineStr">
        <is>
          <t>C</t>
        </is>
      </c>
      <c r="S660" t="inlineStr">
        <is>
          <t>备注含「大型」，决策链长或存在品牌冲突</t>
        </is>
      </c>
      <c r="T660" t="inlineStr">
        <is>
          <t>C-067</t>
        </is>
      </c>
      <c r="U660" t="inlineStr">
        <is>
          <t>太难·规模过大/决策链长</t>
        </is>
      </c>
      <c r="V660" t="inlineStr"/>
    </row>
    <row r="661">
      <c r="A661" t="inlineStr">
        <is>
          <t>Senetic S.A.（波兰）</t>
        </is>
      </c>
      <c r="B661" t="inlineStr">
        <is>
          <t>波兰</t>
        </is>
      </c>
      <c r="C661" t="inlineStr"/>
      <c r="D661" t="inlineStr">
        <is>
          <t>senetic.pl</t>
        </is>
      </c>
      <c r="E661" t="inlineStr">
        <is>
          <t>分销（MikroTik 官方）</t>
        </is>
      </c>
      <c r="F661" t="inlineStr">
        <is>
          <t>MikroTik（Master）</t>
        </is>
      </c>
      <c r="G661" t="inlineStr">
        <is>
          <t>否</t>
        </is>
      </c>
      <c r="H661" t="inlineStr">
        <is>
          <t>Senetic 集团总部所在国</t>
        </is>
      </c>
      <c r="I661" t="inlineStr">
        <is>
          <t>LT-S8328XG-4XS8GT-S</t>
        </is>
      </c>
      <c r="J661" t="inlineStr">
        <is>
          <t>+48 324209200 / info@senetic.pl</t>
        </is>
      </c>
      <c r="K661" t="inlineStr">
        <is>
          <t>★★★</t>
        </is>
      </c>
      <c r="L661" t="inlineStr">
        <is>
          <t>未触达</t>
        </is>
      </c>
      <c r="M661" t="inlineStr">
        <is>
          <t>2026-09-22</t>
        </is>
      </c>
      <c r="N661" t="inlineStr"/>
      <c r="O661" t="inlineStr"/>
      <c r="P661" t="inlineStr"/>
      <c r="Q661" t="inlineStr">
        <is>
          <t>Gliwice 【关联】Senetic（同集团另有 pl / co.uk / fr / it / ch / se 站点，一国的采购决策可能由集团统一，谈一家等于谈七国）</t>
        </is>
      </c>
      <c r="R661" t="inlineStr">
        <is>
          <t>C</t>
        </is>
      </c>
      <c r="S661" t="inlineStr">
        <is>
          <t>备注含「集团」，决策链长或存在品牌冲突</t>
        </is>
      </c>
      <c r="T661" t="inlineStr">
        <is>
          <t>C-068</t>
        </is>
      </c>
      <c r="U661" t="inlineStr">
        <is>
          <t>太难·规模过大/决策链长</t>
        </is>
      </c>
      <c r="V661" t="inlineStr"/>
    </row>
    <row r="662">
      <c r="A662" t="inlineStr">
        <is>
          <t>TME (Transfer Multisort Elektronik)</t>
        </is>
      </c>
      <c r="B662" t="inlineStr">
        <is>
          <t>波兰</t>
        </is>
      </c>
      <c r="C662" t="inlineStr"/>
      <c r="D662" t="inlineStr">
        <is>
          <t>tme.eu</t>
        </is>
      </c>
      <c r="E662" t="inlineStr">
        <is>
          <t>大分销</t>
        </is>
      </c>
      <c r="F662" t="inlineStr">
        <is>
          <t>Moxa（EDS-405A €429）</t>
        </is>
      </c>
      <c r="G662" t="inlineStr">
        <is>
          <t>否</t>
        </is>
      </c>
      <c r="H662" t="inlineStr">
        <is>
          <t>体量大流程长，先做1个型号试单</t>
        </is>
      </c>
      <c r="I662" t="inlineStr">
        <is>
          <t>LT-IS6312XG-4XS8GT</t>
        </is>
      </c>
      <c r="J662" t="inlineStr">
        <is>
          <t>官网B2B</t>
        </is>
      </c>
      <c r="K662" t="inlineStr">
        <is>
          <t>★★</t>
        </is>
      </c>
      <c r="L662" t="inlineStr">
        <is>
          <t>未触达</t>
        </is>
      </c>
      <c r="M662" t="inlineStr">
        <is>
          <t>反向信号/2026-09</t>
        </is>
      </c>
      <c r="N662" t="inlineStr"/>
      <c r="O662" t="inlineStr"/>
      <c r="P662" t="inlineStr"/>
      <c r="Q662" t="inlineStr"/>
      <c r="R662" t="inlineStr">
        <is>
          <t>C</t>
        </is>
      </c>
      <c r="S662" t="inlineStr">
        <is>
          <t>类型属大盘/自有品牌（大分销）；备注含「大分销」，决策链长或存在品牌冲突</t>
        </is>
      </c>
      <c r="T662" t="inlineStr">
        <is>
          <t>C-069</t>
        </is>
      </c>
      <c r="U662" t="inlineStr">
        <is>
          <t>太难·自有品牌</t>
        </is>
      </c>
      <c r="V662" t="inlineStr"/>
    </row>
    <row r="663">
      <c r="A663" t="inlineStr">
        <is>
          <t>BCS</t>
        </is>
      </c>
      <c r="B663" t="inlineStr">
        <is>
          <t>波兰/捷克</t>
        </is>
      </c>
      <c r="C663" t="inlineStr"/>
      <c r="D663" t="inlineStr">
        <is>
          <t>—</t>
        </is>
      </c>
      <c r="E663" t="inlineStr">
        <is>
          <t>CCTV自有品牌</t>
        </is>
      </c>
      <c r="F663" t="inlineStr">
        <is>
          <t>BCS（工业PoE交换机）</t>
        </is>
      </c>
      <c r="G663" t="inlineStr">
        <is>
          <t>是</t>
        </is>
      </c>
      <c r="H663" t="inlineStr">
        <is>
          <t>⭐OEM目标：安防品牌补工业线</t>
        </is>
      </c>
      <c r="I663" t="inlineStr">
        <is>
          <t>LT-IS6312XGP-4XS8GT</t>
        </is>
      </c>
      <c r="J663" t="inlineStr">
        <is>
          <t>官网</t>
        </is>
      </c>
      <c r="K663" t="inlineStr">
        <is>
          <t>★★★</t>
        </is>
      </c>
      <c r="L663" t="inlineStr">
        <is>
          <t>未触达</t>
        </is>
      </c>
      <c r="M663" t="inlineStr">
        <is>
          <t>反向信号/2026-09</t>
        </is>
      </c>
      <c r="N663" t="inlineStr"/>
      <c r="O663" t="inlineStr"/>
      <c r="P663" t="inlineStr"/>
      <c r="Q663" t="inlineStr">
        <is>
          <t>待查具体联系人 【范围外】不在本次目标区域（欧洲+美加）内，暂不触达，留档备用</t>
        </is>
      </c>
      <c r="R663" t="inlineStr">
        <is>
          <t>C</t>
        </is>
      </c>
      <c r="S663" t="inlineStr">
        <is>
          <t>类型属大盘/自有品牌（CCTV自有品牌），决策链长或存在品牌冲突</t>
        </is>
      </c>
      <c r="T663" t="inlineStr">
        <is>
          <t>C-070</t>
        </is>
      </c>
      <c r="U663" t="inlineStr">
        <is>
          <t>太难·自有品牌</t>
        </is>
      </c>
      <c r="V663" t="inlineStr"/>
    </row>
    <row r="664">
      <c r="A664" t="inlineStr">
        <is>
          <t>Easy Net Co., Ltd.</t>
        </is>
      </c>
      <c r="B664" t="inlineStr">
        <is>
          <t>泰国</t>
        </is>
      </c>
      <c r="C664" t="inlineStr"/>
      <c r="D664" t="inlineStr">
        <is>
          <t>easynetwork.co.th</t>
        </is>
      </c>
      <c r="E664" t="inlineStr">
        <is>
          <t>分销（ORing 授权）</t>
        </is>
      </c>
      <c r="F664" t="inlineStr">
        <is>
          <t>ORing</t>
        </is>
      </c>
      <c r="G664" t="inlineStr">
        <is>
          <t>否</t>
        </is>
      </c>
      <c r="H664" t="inlineStr">
        <is>
          <t>泰国网络分销</t>
        </is>
      </c>
      <c r="I664" t="inlineStr">
        <is>
          <t>LT-IS6312XGP-4XS8GT</t>
        </is>
      </c>
      <c r="J664" t="inlineStr">
        <is>
          <t>+66 81 722 6111 / sales@easynetwork.co.th</t>
        </is>
      </c>
      <c r="K664" t="inlineStr">
        <is>
          <t>★</t>
        </is>
      </c>
      <c r="L664" t="inlineStr">
        <is>
          <t>未触达</t>
        </is>
      </c>
      <c r="M664" t="inlineStr">
        <is>
          <t>2026-09-22</t>
        </is>
      </c>
      <c r="N664" t="inlineStr"/>
      <c r="O664" t="inlineStr"/>
      <c r="P664" t="inlineStr"/>
      <c r="Q664" t="inlineStr">
        <is>
          <t>【范围外】不在本次目标区域（欧洲+美加）内，暂不触达，留档备用</t>
        </is>
      </c>
      <c r="R664" t="inlineStr">
        <is>
          <t>C</t>
        </is>
      </c>
      <c r="S664" t="inlineStr">
        <is>
          <t>区域外（泰国），不在欧洲+美加范围内，决策链长或存在品牌冲突</t>
        </is>
      </c>
      <c r="T664" t="inlineStr">
        <is>
          <t>C-071</t>
        </is>
      </c>
      <c r="U664" t="inlineStr">
        <is>
          <t>范围外（非欧洲/北美）</t>
        </is>
      </c>
      <c r="V664" t="inlineStr"/>
    </row>
    <row r="665">
      <c r="A665" t="inlineStr">
        <is>
          <t>Success Network And Communication Co., Ltd.</t>
        </is>
      </c>
      <c r="B665" t="inlineStr">
        <is>
          <t>泰国</t>
        </is>
      </c>
      <c r="C665" t="inlineStr"/>
      <c r="D665" t="inlineStr">
        <is>
          <t>success-network.co.th</t>
        </is>
      </c>
      <c r="E665" t="inlineStr">
        <is>
          <t>分销（ORing 授权）</t>
        </is>
      </c>
      <c r="F665" t="inlineStr">
        <is>
          <t>ORing</t>
        </is>
      </c>
      <c r="G665" t="inlineStr">
        <is>
          <t>否</t>
        </is>
      </c>
      <c r="H665" t="inlineStr">
        <is>
          <t>泰国网络分销</t>
        </is>
      </c>
      <c r="I665" t="inlineStr">
        <is>
          <t>LT-IS6312XG-4XS8GT</t>
        </is>
      </c>
      <c r="J665" t="inlineStr">
        <is>
          <t>+66 2 9731670 / sawithree@success-network.co.th</t>
        </is>
      </c>
      <c r="K665" t="inlineStr">
        <is>
          <t>★</t>
        </is>
      </c>
      <c r="L665" t="inlineStr">
        <is>
          <t>未触达</t>
        </is>
      </c>
      <c r="M665" t="inlineStr">
        <is>
          <t>2026-09-22</t>
        </is>
      </c>
      <c r="N665" t="inlineStr"/>
      <c r="O665" t="inlineStr"/>
      <c r="P665" t="inlineStr"/>
      <c r="Q665" t="inlineStr">
        <is>
          <t>【范围外】不在本次目标区域（欧洲+美加）内，暂不触达，留档备用</t>
        </is>
      </c>
      <c r="R665" t="inlineStr">
        <is>
          <t>C</t>
        </is>
      </c>
      <c r="S665" t="inlineStr">
        <is>
          <t>区域外（泰国），不在欧洲+美加范围内，决策链长或存在品牌冲突</t>
        </is>
      </c>
      <c r="T665" t="inlineStr">
        <is>
          <t>C-072</t>
        </is>
      </c>
      <c r="U665" t="inlineStr">
        <is>
          <t>范围外（非欧洲/北美）</t>
        </is>
      </c>
      <c r="V665" t="inlineStr"/>
    </row>
    <row r="666">
      <c r="A666" t="inlineStr">
        <is>
          <t>Braemac</t>
        </is>
      </c>
      <c r="B666" t="inlineStr">
        <is>
          <t>澳大利亚</t>
        </is>
      </c>
      <c r="C666" t="inlineStr"/>
      <c r="D666" t="inlineStr">
        <is>
          <t>braemac.com</t>
        </is>
      </c>
      <c r="E666" t="inlineStr">
        <is>
          <t>分销（ORing 授权）</t>
        </is>
      </c>
      <c r="F666" t="inlineStr">
        <is>
          <t>ORing</t>
        </is>
      </c>
      <c r="G666" t="inlineStr">
        <is>
          <t>否</t>
        </is>
      </c>
      <c r="H666" t="inlineStr">
        <is>
          <t>澳洲分销（另有新西兰）</t>
        </is>
      </c>
      <c r="I666" t="inlineStr">
        <is>
          <t>LT-IS6312XGP-4XS8GT</t>
        </is>
      </c>
      <c r="J666" t="inlineStr">
        <is>
          <t>+61 2 9550 6600 / info@braemac.com.au</t>
        </is>
      </c>
      <c r="K666" t="inlineStr">
        <is>
          <t>★★</t>
        </is>
      </c>
      <c r="L666" t="inlineStr">
        <is>
          <t>未触达</t>
        </is>
      </c>
      <c r="M666" t="inlineStr">
        <is>
          <t>2026-09-22</t>
        </is>
      </c>
      <c r="N666" t="inlineStr"/>
      <c r="O666" t="inlineStr"/>
      <c r="P666" t="inlineStr"/>
      <c r="Q666" t="inlineStr">
        <is>
          <t>【范围外】不在本次目标区域（欧洲+美加）内，暂不触达，留档备用</t>
        </is>
      </c>
      <c r="R666" t="inlineStr">
        <is>
          <t>C</t>
        </is>
      </c>
      <c r="S666" t="inlineStr">
        <is>
          <t>区域外（澳大利亚），不在欧洲+美加范围内，决策链长或存在品牌冲突</t>
        </is>
      </c>
      <c r="T666" t="inlineStr">
        <is>
          <t>C-073</t>
        </is>
      </c>
      <c r="U666" t="inlineStr">
        <is>
          <t>范围外（非欧洲/北美）</t>
        </is>
      </c>
      <c r="V666" t="inlineStr"/>
    </row>
    <row r="667">
      <c r="A667" t="inlineStr">
        <is>
          <t>Tekdis</t>
        </is>
      </c>
      <c r="B667" t="inlineStr">
        <is>
          <t>澳大利亚</t>
        </is>
      </c>
      <c r="C667" t="inlineStr"/>
      <c r="D667" t="inlineStr">
        <is>
          <t>tekdis.com.au</t>
        </is>
      </c>
      <c r="E667" t="inlineStr">
        <is>
          <t>分销（ORing 授权）</t>
        </is>
      </c>
      <c r="F667" t="inlineStr">
        <is>
          <t>ORing</t>
        </is>
      </c>
      <c r="G667" t="inlineStr">
        <is>
          <t>否</t>
        </is>
      </c>
      <c r="H667" t="inlineStr">
        <is>
          <t>澳洲工业计算/网络分销</t>
        </is>
      </c>
      <c r="I667" t="inlineStr">
        <is>
          <t>LT-IS6312XG-4XS8GT</t>
        </is>
      </c>
      <c r="J667" t="inlineStr">
        <is>
          <t>+61 3 8661 1210 / sales@tekdis.com.au</t>
        </is>
      </c>
      <c r="K667" t="inlineStr">
        <is>
          <t>★★</t>
        </is>
      </c>
      <c r="L667" t="inlineStr">
        <is>
          <t>未触达</t>
        </is>
      </c>
      <c r="M667" t="inlineStr">
        <is>
          <t>2026-09-22</t>
        </is>
      </c>
      <c r="N667" t="inlineStr"/>
      <c r="O667" t="inlineStr"/>
      <c r="P667" t="inlineStr"/>
      <c r="Q667" t="inlineStr">
        <is>
          <t>【范围外】不在本次目标区域（欧洲+美加）内，暂不触达，留档备用</t>
        </is>
      </c>
      <c r="R667" t="inlineStr">
        <is>
          <t>C</t>
        </is>
      </c>
      <c r="S667" t="inlineStr">
        <is>
          <t>区域外（澳大利亚），不在欧洲+美加范围内，决策链长或存在品牌冲突</t>
        </is>
      </c>
      <c r="T667" t="inlineStr">
        <is>
          <t>C-074</t>
        </is>
      </c>
      <c r="U667" t="inlineStr">
        <is>
          <t>范围外（非欧洲/北美）</t>
        </is>
      </c>
      <c r="V667" t="inlineStr"/>
    </row>
    <row r="668">
      <c r="A668" t="inlineStr">
        <is>
          <t>Wireless Professional Solutions</t>
        </is>
      </c>
      <c r="B668" t="inlineStr">
        <is>
          <t>澳大利亚</t>
        </is>
      </c>
      <c r="C668" t="inlineStr"/>
      <c r="D668" t="inlineStr">
        <is>
          <t>wisp.net.au</t>
        </is>
      </c>
      <c r="E668" t="inlineStr">
        <is>
          <t>分销</t>
        </is>
      </c>
      <c r="F668" t="inlineStr">
        <is>
          <t>PLANET 官方</t>
        </is>
      </c>
      <c r="G668" t="inlineStr">
        <is>
          <t>否</t>
        </is>
      </c>
      <c r="H668" t="inlineStr">
        <is>
          <t>ANZ（T2）慢慢做</t>
        </is>
      </c>
      <c r="I668" t="inlineStr">
        <is>
          <t>LT-IS6312XG-4XS8GT</t>
        </is>
      </c>
      <c r="J668" t="inlineStr">
        <is>
          <t>shop@wisp.net.au</t>
        </is>
      </c>
      <c r="K668" t="inlineStr">
        <is>
          <t>★★</t>
        </is>
      </c>
      <c r="L668" t="inlineStr">
        <is>
          <t>未触达</t>
        </is>
      </c>
      <c r="M668" t="inlineStr">
        <is>
          <t>反向信号/2026-09</t>
        </is>
      </c>
      <c r="N668" t="inlineStr"/>
      <c r="O668" t="inlineStr"/>
      <c r="P668" t="inlineStr"/>
      <c r="Q668" t="inlineStr">
        <is>
          <t>【范围外】不在本次目标区域（欧洲+美加）内，暂不触达，留档备用</t>
        </is>
      </c>
      <c r="R668" t="inlineStr">
        <is>
          <t>C</t>
        </is>
      </c>
      <c r="S668" t="inlineStr">
        <is>
          <t>区域外（澳大利亚），不在欧洲+美加范围内，决策链长或存在品牌冲突</t>
        </is>
      </c>
      <c r="T668" t="inlineStr">
        <is>
          <t>C-075</t>
        </is>
      </c>
      <c r="U668" t="inlineStr">
        <is>
          <t>范围外（非欧洲/北美）</t>
        </is>
      </c>
      <c r="V668" t="inlineStr"/>
    </row>
    <row r="669">
      <c r="A669" t="inlineStr">
        <is>
          <t>M Ciantar</t>
        </is>
      </c>
      <c r="B669" t="inlineStr">
        <is>
          <t>爱尔兰</t>
        </is>
      </c>
      <c r="C669" t="inlineStr"/>
      <c r="D669" t="inlineStr"/>
      <c r="E669" t="inlineStr">
        <is>
          <t>集成商/顾问（MikroTik 认证）</t>
        </is>
      </c>
      <c r="F669" t="inlineStr">
        <is>
          <t>MikroTik 认证顾问 含认证讲师（Certified Trainer）</t>
        </is>
      </c>
      <c r="G669" t="inlineStr">
        <is>
          <t>否</t>
        </is>
      </c>
      <c r="H669" t="inlineStr">
        <is>
          <t>MikroTik 认证顾问：自己做方案/集成/运维并自行采购设备 → 用 ERPS/IGMP/VLAN/CLI/MIB 这类技术语言切入，不打价格战</t>
        </is>
      </c>
      <c r="I669" t="inlineStr">
        <is>
          <t>LT-S8328XG-4XS24GT-S</t>
        </is>
      </c>
      <c r="J669" t="inlineStr">
        <is>
          <t>+353 86 040 6099 / mciantar@gmail.com</t>
        </is>
      </c>
      <c r="K669" t="inlineStr">
        <is>
          <t>★★★</t>
        </is>
      </c>
      <c r="L669" t="inlineStr">
        <is>
          <t>未触达</t>
        </is>
      </c>
      <c r="M669" t="inlineStr">
        <is>
          <t>2026-09-22</t>
        </is>
      </c>
      <c r="N669" t="inlineStr"/>
      <c r="O669" t="inlineStr"/>
      <c r="P669" t="inlineStr"/>
      <c r="Q669" t="inlineStr">
        <is>
          <t>★ **MikroTik 认证讲师**；中大型企业网络排障与支持；**ISP 与 WISP 核心网设计与实施**（BGP/OSPF/MPLS/VPLS/VRF）、流量工程与 QoS、IPv6 实施</t>
        </is>
      </c>
      <c r="R669" t="inlineStr">
        <is>
          <t>C</t>
        </is>
      </c>
      <c r="S669" t="inlineStr">
        <is>
          <t>备注含「大型」，决策链长或存在品牌冲突</t>
        </is>
      </c>
      <c r="T669" t="inlineStr">
        <is>
          <t>C-076</t>
        </is>
      </c>
      <c r="U669" t="inlineStr">
        <is>
          <t>太难·规模过大/决策链长</t>
        </is>
      </c>
      <c r="V669" t="inlineStr"/>
    </row>
    <row r="670">
      <c r="A670" t="inlineStr">
        <is>
          <t>Aurdel Sweden AB</t>
        </is>
      </c>
      <c r="B670" t="inlineStr">
        <is>
          <t>瑞典</t>
        </is>
      </c>
      <c r="C670" t="inlineStr"/>
      <c r="D670" t="inlineStr">
        <is>
          <t>aurdel.com</t>
        </is>
      </c>
      <c r="E670" t="inlineStr">
        <is>
          <t>分销（MikroTik 官方）</t>
        </is>
      </c>
      <c r="F670" t="inlineStr">
        <is>
          <t>MikroTik（Master+VAD）</t>
        </is>
      </c>
      <c r="G670" t="inlineStr">
        <is>
          <t>否</t>
        </is>
      </c>
      <c r="H670" t="inlineStr">
        <is>
          <t>Aurdel 集团北欧三国（瑞典/丹麦/芬兰）统一采购</t>
        </is>
      </c>
      <c r="I670" t="inlineStr">
        <is>
          <t>LT-S8328XG-4XS8GT-S</t>
        </is>
      </c>
      <c r="J670" t="inlineStr">
        <is>
          <t>+46 8 555 762 00 / Kundservice@deltaco.se</t>
        </is>
      </c>
      <c r="K670" t="inlineStr">
        <is>
          <t>★★★</t>
        </is>
      </c>
      <c r="L670" t="inlineStr">
        <is>
          <t>未触达</t>
        </is>
      </c>
      <c r="M670" t="inlineStr">
        <is>
          <t>2026-09-22</t>
        </is>
      </c>
      <c r="N670" t="inlineStr"/>
      <c r="O670" t="inlineStr"/>
      <c r="P670" t="inlineStr"/>
      <c r="Q670" t="inlineStr">
        <is>
          <t>Åkersberga；北欧集团总部</t>
        </is>
      </c>
      <c r="R670" t="inlineStr">
        <is>
          <t>C</t>
        </is>
      </c>
      <c r="S670" t="inlineStr">
        <is>
          <t>备注含「集团」，决策链长或存在品牌冲突</t>
        </is>
      </c>
      <c r="T670" t="inlineStr">
        <is>
          <t>C-077</t>
        </is>
      </c>
      <c r="U670" t="inlineStr">
        <is>
          <t>太难·规模过大/决策链长</t>
        </is>
      </c>
      <c r="V670" t="inlineStr"/>
    </row>
    <row r="671">
      <c r="A671" t="inlineStr">
        <is>
          <t>Senetic AB</t>
        </is>
      </c>
      <c r="B671" t="inlineStr">
        <is>
          <t>瑞典</t>
        </is>
      </c>
      <c r="C671" t="inlineStr"/>
      <c r="D671" t="inlineStr">
        <is>
          <t>senetic.se</t>
        </is>
      </c>
      <c r="E671" t="inlineStr">
        <is>
          <t>分销（MikroTik 官方）</t>
        </is>
      </c>
      <c r="F671" t="inlineStr">
        <is>
          <t>MikroTik（Reseller）</t>
        </is>
      </c>
      <c r="G671" t="inlineStr">
        <is>
          <t>否</t>
        </is>
      </c>
      <c r="H671" t="inlineStr">
        <is>
          <t>Senetic 集团瑞典站</t>
        </is>
      </c>
      <c r="I671" t="inlineStr">
        <is>
          <t>LT-S8328XG-4XS8GT-S</t>
        </is>
      </c>
      <c r="J671" t="inlineStr">
        <is>
          <t>+46 8 505 217 00 / info@senetic.se</t>
        </is>
      </c>
      <c r="K671" t="inlineStr">
        <is>
          <t>★★</t>
        </is>
      </c>
      <c r="L671" t="inlineStr">
        <is>
          <t>未触达</t>
        </is>
      </c>
      <c r="M671" t="inlineStr">
        <is>
          <t>2026-09-22</t>
        </is>
      </c>
      <c r="N671" t="inlineStr"/>
      <c r="O671" t="inlineStr"/>
      <c r="P671" t="inlineStr"/>
      <c r="Q671" t="inlineStr">
        <is>
          <t>Stockholm 【关联】Senetic（同集团另有 pl / co.uk / fr / it / ch / se 站点，一国的采购决策可能由集团统一，谈一家等于谈七国）</t>
        </is>
      </c>
      <c r="R671" t="inlineStr">
        <is>
          <t>C</t>
        </is>
      </c>
      <c r="S671" t="inlineStr">
        <is>
          <t>备注含「集团」，决策链长或存在品牌冲突</t>
        </is>
      </c>
      <c r="T671" t="inlineStr">
        <is>
          <t>C-078</t>
        </is>
      </c>
      <c r="U671" t="inlineStr">
        <is>
          <t>太难·规模过大/决策链长</t>
        </is>
      </c>
      <c r="V671" t="inlineStr"/>
    </row>
    <row r="672">
      <c r="A672" t="inlineStr">
        <is>
          <t>LaboTest AB</t>
        </is>
      </c>
      <c r="B672" t="inlineStr">
        <is>
          <t>瑞典/丹麦</t>
        </is>
      </c>
      <c r="C672" t="inlineStr"/>
      <c r="D672" t="inlineStr">
        <is>
          <t>labotest.se</t>
        </is>
      </c>
      <c r="E672" t="inlineStr">
        <is>
          <t>分销（ORing 授权）</t>
        </is>
      </c>
      <c r="F672" t="inlineStr">
        <is>
          <t>ORing</t>
        </is>
      </c>
      <c r="G672" t="inlineStr">
        <is>
          <t>否</t>
        </is>
      </c>
      <c r="H672" t="inlineStr">
        <is>
          <t>北欧分销（同时覆盖丹麦）</t>
        </is>
      </c>
      <c r="I672" t="inlineStr">
        <is>
          <t>LT-IS6312XG-4XS8GT</t>
        </is>
      </c>
      <c r="J672" t="inlineStr">
        <is>
          <t>+46 (0) 8 354360</t>
        </is>
      </c>
      <c r="K672" t="inlineStr">
        <is>
          <t>★★★</t>
        </is>
      </c>
      <c r="L672" t="inlineStr">
        <is>
          <t>未触达</t>
        </is>
      </c>
      <c r="M672" t="inlineStr">
        <is>
          <t>ORing经销商名录/2026-09</t>
        </is>
      </c>
      <c r="N672" t="inlineStr"/>
      <c r="O672" t="inlineStr"/>
      <c r="P672" t="inlineStr"/>
      <c r="Q672" t="inlineStr">
        <is>
          <t>【关联】同集团另一实体：LaboTest AB（瑞典/丹麦）（labotest.fi） 【范围外】不在本次目标区域（欧洲+美加）内，暂不触达，留档备用</t>
        </is>
      </c>
      <c r="R672" t="inlineStr">
        <is>
          <t>C</t>
        </is>
      </c>
      <c r="S672" t="inlineStr">
        <is>
          <t>备注含「集团」，决策链长或存在品牌冲突</t>
        </is>
      </c>
      <c r="T672" t="inlineStr">
        <is>
          <t>C-079</t>
        </is>
      </c>
      <c r="U672" t="inlineStr">
        <is>
          <t>太难·规模过大/决策链长</t>
        </is>
      </c>
      <c r="V672" t="inlineStr"/>
    </row>
    <row r="673">
      <c r="A673" t="inlineStr">
        <is>
          <t>Senetic AG</t>
        </is>
      </c>
      <c r="B673" t="inlineStr">
        <is>
          <t>瑞士</t>
        </is>
      </c>
      <c r="C673" t="inlineStr"/>
      <c r="D673" t="inlineStr">
        <is>
          <t>senetic.ch</t>
        </is>
      </c>
      <c r="E673" t="inlineStr">
        <is>
          <t>分销（MikroTik 官方）</t>
        </is>
      </c>
      <c r="F673" t="inlineStr">
        <is>
          <t>MikroTik（Reseller）</t>
        </is>
      </c>
      <c r="G673" t="inlineStr">
        <is>
          <t>否</t>
        </is>
      </c>
      <c r="H673" t="inlineStr">
        <is>
          <t>Senetic 集团瑞士站</t>
        </is>
      </c>
      <c r="I673" t="inlineStr">
        <is>
          <t>LT-S8328XG-4XS8GT-S</t>
        </is>
      </c>
      <c r="J673" t="inlineStr">
        <is>
          <t>+41 43 210 52 00 / info@senetic.ch</t>
        </is>
      </c>
      <c r="K673" t="inlineStr">
        <is>
          <t>★★</t>
        </is>
      </c>
      <c r="L673" t="inlineStr">
        <is>
          <t>未触达</t>
        </is>
      </c>
      <c r="M673" t="inlineStr">
        <is>
          <t>2026-09-22</t>
        </is>
      </c>
      <c r="N673" t="inlineStr"/>
      <c r="O673" t="inlineStr"/>
      <c r="P673" t="inlineStr"/>
      <c r="Q673" t="inlineStr">
        <is>
          <t>Zürich 【关联】Senetic（同集团另有 pl / co.uk / fr / it / ch / se 站点，一国的采购决策可能由集团统一，谈一家等于谈七国）</t>
        </is>
      </c>
      <c r="R673" t="inlineStr">
        <is>
          <t>C</t>
        </is>
      </c>
      <c r="S673" t="inlineStr">
        <is>
          <t>备注含「集团」，决策链长或存在品牌冲突</t>
        </is>
      </c>
      <c r="T673" t="inlineStr">
        <is>
          <t>C-080</t>
        </is>
      </c>
      <c r="U673" t="inlineStr">
        <is>
          <t>太难·规模过大/决策链长</t>
        </is>
      </c>
      <c r="V673" t="inlineStr"/>
    </row>
    <row r="674">
      <c r="A674" t="inlineStr">
        <is>
          <t>ValTekGroup</t>
        </is>
      </c>
      <c r="B674" t="inlineStr">
        <is>
          <t>秘鲁</t>
        </is>
      </c>
      <c r="C674" t="inlineStr"/>
      <c r="D674" t="inlineStr">
        <is>
          <t>valtek.com.pe</t>
        </is>
      </c>
      <c r="E674" t="inlineStr">
        <is>
          <t>分销（ORing 授权）</t>
        </is>
      </c>
      <c r="F674" t="inlineStr">
        <is>
          <t>ORing</t>
        </is>
      </c>
      <c r="G674" t="inlineStr">
        <is>
          <t>否</t>
        </is>
      </c>
      <c r="H674" t="inlineStr">
        <is>
          <t>工业/轨道同规格 1/3 价第二供应源</t>
        </is>
      </c>
      <c r="I674" t="inlineStr">
        <is>
          <t>LT-IS6312XG-4XS8GT</t>
        </is>
      </c>
      <c r="J674" t="inlineStr">
        <is>
          <t>+51 1 4482249 / ventas@valtek.com.pe</t>
        </is>
      </c>
      <c r="K674" t="inlineStr">
        <is>
          <t>★</t>
        </is>
      </c>
      <c r="L674" t="inlineStr">
        <is>
          <t>未触达</t>
        </is>
      </c>
      <c r="M674" t="inlineStr">
        <is>
          <t>2026-09-22</t>
        </is>
      </c>
      <c r="N674" t="inlineStr"/>
      <c r="O674" t="inlineStr"/>
      <c r="P674" t="inlineStr"/>
      <c r="Q674" t="inlineStr">
        <is>
          <t>【范围外】不在本次目标区域（欧洲+美加）内，暂不触达，留档备用</t>
        </is>
      </c>
      <c r="R674" t="inlineStr">
        <is>
          <t>C</t>
        </is>
      </c>
      <c r="S674" t="inlineStr">
        <is>
          <t>区域外（秘鲁），不在欧洲+美加范围内，决策链长或存在品牌冲突</t>
        </is>
      </c>
      <c r="T674" t="inlineStr">
        <is>
          <t>C-081</t>
        </is>
      </c>
      <c r="U674" t="inlineStr">
        <is>
          <t>范围外（非欧洲/北美）</t>
        </is>
      </c>
      <c r="V674" t="inlineStr"/>
    </row>
    <row r="675">
      <c r="A675" t="inlineStr">
        <is>
          <t>WiFi-Stock.com（JSC Katalita）</t>
        </is>
      </c>
      <c r="B675" t="inlineStr">
        <is>
          <t>立陶宛</t>
        </is>
      </c>
      <c r="C675" t="inlineStr"/>
      <c r="D675" t="inlineStr">
        <is>
          <t>wifi-stock.com</t>
        </is>
      </c>
      <c r="E675" t="inlineStr">
        <is>
          <t>分销（MikroTik 官方）</t>
        </is>
      </c>
      <c r="F675" t="inlineStr">
        <is>
          <t>MikroTik（Master+VAD）</t>
        </is>
      </c>
      <c r="G675" t="inlineStr">
        <is>
          <t>否</t>
        </is>
      </c>
      <c r="H675" t="inlineStr">
        <is>
          <t>与英国 Wifi Stock、比利时 SmartEye 同名 → 疑似同一网络体系</t>
        </is>
      </c>
      <c r="I675" t="inlineStr">
        <is>
          <t>LT-IS6312XGP-4XS8GT</t>
        </is>
      </c>
      <c r="J675" t="inlineStr">
        <is>
          <t>+370 615 85560 / sales@wifi-stock.com</t>
        </is>
      </c>
      <c r="K675" t="inlineStr">
        <is>
          <t>★★★</t>
        </is>
      </c>
      <c r="L675" t="inlineStr">
        <is>
          <t>未触达</t>
        </is>
      </c>
      <c r="M675" t="inlineStr">
        <is>
          <t>2026-09-22</t>
        </is>
      </c>
      <c r="N675" t="inlineStr"/>
      <c r="O675" t="inlineStr"/>
      <c r="P675" t="inlineStr"/>
      <c r="Q675" t="inlineStr">
        <is>
          <t>Kaunas 【关联】同集团另一实体：Wifi Stock (UK) Ltd（wifi-stock.co.uk）；【2026-09-22 补】官网列 Netonix WISP 交换机（PoE、宽温、DC 输入）为代理品牌。</t>
        </is>
      </c>
      <c r="R675" t="inlineStr">
        <is>
          <t>C</t>
        </is>
      </c>
      <c r="S675" t="inlineStr">
        <is>
          <t>备注含「集团」，决策链长或存在品牌冲突</t>
        </is>
      </c>
      <c r="T675" t="inlineStr">
        <is>
          <t>C-082</t>
        </is>
      </c>
      <c r="U675" t="inlineStr">
        <is>
          <t>太难·规模过大/决策链长</t>
        </is>
      </c>
      <c r="V675" t="inlineStr"/>
    </row>
    <row r="676">
      <c r="A676" t="inlineStr">
        <is>
          <t>Elko Romania</t>
        </is>
      </c>
      <c r="B676" t="inlineStr">
        <is>
          <t>罗马尼亚</t>
        </is>
      </c>
      <c r="C676" t="inlineStr"/>
      <c r="D676" t="inlineStr">
        <is>
          <t>elko.ro</t>
        </is>
      </c>
      <c r="E676" t="inlineStr">
        <is>
          <t>分销（MikroTik 官方）</t>
        </is>
      </c>
      <c r="F676" t="inlineStr">
        <is>
          <t>MikroTik（Reseller）</t>
        </is>
      </c>
      <c r="G676" t="inlineStr">
        <is>
          <t>否</t>
        </is>
      </c>
      <c r="H676" t="inlineStr">
        <is>
          <t>ELKO 集团 = 波罗的海/中东欧最大 IT 分销（拉脱维亚总部，覆盖 10+ 国）</t>
        </is>
      </c>
      <c r="I676" t="inlineStr">
        <is>
          <t>LT-S8328GP-4GX24GT</t>
        </is>
      </c>
      <c r="J676" t="inlineStr">
        <is>
          <t>+40 21 224 60 94 / sales@elko.ro</t>
        </is>
      </c>
      <c r="K676" t="inlineStr">
        <is>
          <t>★★★</t>
        </is>
      </c>
      <c r="L676" t="inlineStr">
        <is>
          <t>未触达</t>
        </is>
      </c>
      <c r="M676" t="inlineStr">
        <is>
          <t>2026-09-22</t>
        </is>
      </c>
      <c r="N676" t="inlineStr"/>
      <c r="O676" t="inlineStr"/>
      <c r="P676" t="inlineStr"/>
      <c r="Q676" t="inlineStr">
        <is>
          <t>București；跨国集团</t>
        </is>
      </c>
      <c r="R676" t="inlineStr">
        <is>
          <t>C</t>
        </is>
      </c>
      <c r="S676" t="inlineStr">
        <is>
          <t>备注含「跨国」，决策链长或存在品牌冲突</t>
        </is>
      </c>
      <c r="T676" t="inlineStr">
        <is>
          <t>C-083</t>
        </is>
      </c>
      <c r="U676" t="inlineStr">
        <is>
          <t>太难·规模过大/决策链长</t>
        </is>
      </c>
      <c r="V676" t="inlineStr"/>
    </row>
    <row r="677">
      <c r="A677" t="inlineStr">
        <is>
          <t>Holt Andrei Tiberiu / GHT-NET</t>
        </is>
      </c>
      <c r="B677" t="inlineStr">
        <is>
          <t>罗马尼亚</t>
        </is>
      </c>
      <c r="C677" t="inlineStr">
        <is>
          <t>Oradea</t>
        </is>
      </c>
      <c r="D677" t="inlineStr">
        <is>
          <t>ght-net.ro</t>
        </is>
      </c>
      <c r="E677" t="inlineStr">
        <is>
          <t>集成商/顾问（MikroTik 认证）</t>
        </is>
      </c>
      <c r="F677" t="inlineStr">
        <is>
          <t>MikroTik 认证顾问 MTCNA+MTCSE</t>
        </is>
      </c>
      <c r="G677" t="inlineStr">
        <is>
          <t>否</t>
        </is>
      </c>
      <c r="H677" t="inlineStr">
        <is>
          <t>MikroTik 认证顾问：自己做方案/集成/运维并自行采购设备 → 用 ERPS/IGMP/VLAN/CLI/MIB 这类技术语言切入，不打价格战</t>
        </is>
      </c>
      <c r="I677" t="inlineStr">
        <is>
          <t>LT-S8328GP-4GX24GT-S</t>
        </is>
      </c>
      <c r="J677" t="inlineStr">
        <is>
          <t>+40 771 125 954 / andrei.holt@ght-net.ro</t>
        </is>
      </c>
      <c r="K677" t="inlineStr">
        <is>
          <t>★★★</t>
        </is>
      </c>
      <c r="L677" t="inlineStr">
        <is>
          <t>未触达</t>
        </is>
      </c>
      <c r="M677" t="inlineStr">
        <is>
          <t>2026-09-22</t>
        </is>
      </c>
      <c r="N677" t="inlineStr"/>
      <c r="O677" t="inlineStr"/>
      <c r="P677" t="inlineStr"/>
      <c r="Q677" t="inlineStr">
        <is>
          <t>★ 10+ 年网络经验，自述专长明确为 **Switching、Routing、Virtualization and Storage**；为小/中/大型企业做设计实施与支持 → 交换是他第一专长</t>
        </is>
      </c>
      <c r="R677" t="inlineStr">
        <is>
          <t>C</t>
        </is>
      </c>
      <c r="S677" t="inlineStr">
        <is>
          <t>备注含「大型」，决策链长或存在品牌冲突</t>
        </is>
      </c>
      <c r="T677" t="inlineStr">
        <is>
          <t>C-084</t>
        </is>
      </c>
      <c r="U677" t="inlineStr">
        <is>
          <t>太难·规模过大/决策链长</t>
        </is>
      </c>
      <c r="V677" t="inlineStr"/>
    </row>
    <row r="678">
      <c r="A678" t="inlineStr">
        <is>
          <t>Senetic Romania SRL</t>
        </is>
      </c>
      <c r="B678" t="inlineStr">
        <is>
          <t>罗马尼亚</t>
        </is>
      </c>
      <c r="C678" t="inlineStr"/>
      <c r="D678" t="inlineStr">
        <is>
          <t>senetic.ro</t>
        </is>
      </c>
      <c r="E678" t="inlineStr">
        <is>
          <t>分销（MikroTik 官方）</t>
        </is>
      </c>
      <c r="F678" t="inlineStr">
        <is>
          <t>MikroTik（Reseller）</t>
        </is>
      </c>
      <c r="G678" t="inlineStr">
        <is>
          <t>否</t>
        </is>
      </c>
      <c r="H678" t="inlineStr">
        <is>
          <t>Senetic 集团罗马尼亚站</t>
        </is>
      </c>
      <c r="I678" t="inlineStr">
        <is>
          <t>LT-S8328XG-4XS8GT-S</t>
        </is>
      </c>
      <c r="J678" t="inlineStr">
        <is>
          <t>+40 21 555 71 00 / info@senetic.ro</t>
        </is>
      </c>
      <c r="K678" t="inlineStr">
        <is>
          <t>★★</t>
        </is>
      </c>
      <c r="L678" t="inlineStr">
        <is>
          <t>未触达</t>
        </is>
      </c>
      <c r="M678" t="inlineStr">
        <is>
          <t>2026-09-22</t>
        </is>
      </c>
      <c r="N678" t="inlineStr"/>
      <c r="O678" t="inlineStr"/>
      <c r="P678" t="inlineStr"/>
      <c r="Q678" t="inlineStr">
        <is>
          <t>București 【关联】Senetic（同集团另有 pl / co.uk / fr / it / ch / se 站点，一国的采购决策可能由集团统一，谈一家等于谈七国）</t>
        </is>
      </c>
      <c r="R678" t="inlineStr">
        <is>
          <t>C</t>
        </is>
      </c>
      <c r="S678" t="inlineStr">
        <is>
          <t>备注含「集团」，决策链长或存在品牌冲突</t>
        </is>
      </c>
      <c r="T678" t="inlineStr">
        <is>
          <t>C-085</t>
        </is>
      </c>
      <c r="U678" t="inlineStr">
        <is>
          <t>太难·规模过大/决策链长</t>
        </is>
      </c>
      <c r="V678" t="inlineStr"/>
    </row>
    <row r="679">
      <c r="A679" t="inlineStr">
        <is>
          <t>4D Controls</t>
        </is>
      </c>
      <c r="B679" t="inlineStr">
        <is>
          <t>美国</t>
        </is>
      </c>
      <c r="C679" t="inlineStr"/>
      <c r="D679" t="inlineStr">
        <is>
          <t>4dcontrols.com</t>
        </is>
      </c>
      <c r="E679" t="inlineStr">
        <is>
          <t>工控二手/维修</t>
        </is>
      </c>
      <c r="F679" t="inlineStr">
        <is>
          <t>Moxa（新机/二手/维修）</t>
        </is>
      </c>
      <c r="G679" t="inlineStr">
        <is>
          <t>否</t>
        </is>
      </c>
      <c r="H679" t="inlineStr">
        <is>
          <t>⭐二手商缺新品供应，中性货最易成交</t>
        </is>
      </c>
      <c r="I679" t="inlineStr">
        <is>
          <t>LT-IS6312XG-4XS8GT</t>
        </is>
      </c>
      <c r="J679" t="inlineStr">
        <is>
          <t>官网</t>
        </is>
      </c>
      <c r="K679" t="inlineStr">
        <is>
          <t>★★★</t>
        </is>
      </c>
      <c r="L679" t="inlineStr">
        <is>
          <t>未触达</t>
        </is>
      </c>
      <c r="M679" t="inlineStr">
        <is>
          <t>反向信号/2026-09</t>
        </is>
      </c>
      <c r="N679" t="inlineStr"/>
      <c r="O679" t="inlineStr"/>
      <c r="P679" t="inlineStr"/>
      <c r="Q679" t="inlineStr">
        <is>
          <t>工程师自营</t>
        </is>
      </c>
      <c r="R679" t="inlineStr">
        <is>
          <t>C</t>
        </is>
      </c>
      <c r="S679" t="inlineStr">
        <is>
          <t>类型属大盘/自有品牌（工控二手/维修），决策链长或存在品牌冲突</t>
        </is>
      </c>
      <c r="T679" t="inlineStr">
        <is>
          <t>C-086</t>
        </is>
      </c>
      <c r="U679" t="inlineStr">
        <is>
          <t>太难·自有品牌</t>
        </is>
      </c>
      <c r="V679" t="inlineStr"/>
    </row>
    <row r="680">
      <c r="A680" t="inlineStr">
        <is>
          <t>A A Electric</t>
        </is>
      </c>
      <c r="B680" t="inlineStr">
        <is>
          <t>美国</t>
        </is>
      </c>
      <c r="C680" t="inlineStr">
        <is>
          <t>NJ</t>
        </is>
      </c>
      <c r="D680" t="inlineStr">
        <is>
          <t>a-aelectric.com</t>
        </is>
      </c>
      <c r="E680" t="inlineStr">
        <is>
          <t>分销（HMS/N-Tron·Red Lion 渠道）</t>
        </is>
      </c>
      <c r="F680" t="inlineStr">
        <is>
          <t>N-Tron + Red Lion + Anybus + Ewon</t>
        </is>
      </c>
      <c r="G680" t="inlineStr">
        <is>
          <t>否</t>
        </is>
      </c>
      <c r="H680" t="inlineStr">
        <is>
          <t>卖 N-Tron/Red Lion 工业交换机（8口约 $500+）→ 中性货同规格 LT-IS6310G 约 $91，做第二供应商，价差 5 倍</t>
        </is>
      </c>
      <c r="I680" t="inlineStr">
        <is>
          <t>LT-IS6312XGP-4XS8GT</t>
        </is>
      </c>
      <c r="J680" t="inlineStr">
        <is>
          <t>官网联系页（HMS 名录只公开地址与网址）</t>
        </is>
      </c>
      <c r="K680" t="inlineStr">
        <is>
          <t>★★★</t>
        </is>
      </c>
      <c r="L680" t="inlineStr">
        <is>
          <t>未触达</t>
        </is>
      </c>
      <c r="M680" t="inlineStr">
        <is>
          <t>2026-09-22</t>
        </is>
      </c>
      <c r="N680" t="inlineStr"/>
      <c r="O680" t="inlineStr"/>
      <c r="P680" t="inlineStr"/>
      <c r="Q680" t="inlineStr">
        <is>
          <t>覆盖 40+ 州的全国电气分销；⚠️ 中国产地不能做 TAA/NDAA 政府/电力项目，只谈商业渠道</t>
        </is>
      </c>
      <c r="R680" t="inlineStr">
        <is>
          <t>C</t>
        </is>
      </c>
      <c r="S680" t="inlineStr">
        <is>
          <t>备注含「覆盖 40」，决策链长或存在品牌冲突</t>
        </is>
      </c>
      <c r="T680" t="inlineStr">
        <is>
          <t>C-087</t>
        </is>
      </c>
      <c r="U680" t="inlineStr">
        <is>
          <t>太难·规模过大/决策链长</t>
        </is>
      </c>
      <c r="V680" t="inlineStr"/>
    </row>
    <row r="681">
      <c r="A681" t="inlineStr">
        <is>
          <t>ACD（Automation Components Distributor）</t>
        </is>
      </c>
      <c r="B681" t="inlineStr">
        <is>
          <t>美国</t>
        </is>
      </c>
      <c r="C681" t="inlineStr">
        <is>
          <t>PA</t>
        </is>
      </c>
      <c r="D681" t="inlineStr">
        <is>
          <t>acdist.com</t>
        </is>
      </c>
      <c r="E681" t="inlineStr">
        <is>
          <t>分销（HMS/N-Tron·Red Lion 渠道）</t>
        </is>
      </c>
      <c r="F681" t="inlineStr">
        <is>
          <t>N-Tron + Red Lion + Anybus + Ewon</t>
        </is>
      </c>
      <c r="G681" t="inlineStr">
        <is>
          <t>否</t>
        </is>
      </c>
      <c r="H681" t="inlineStr">
        <is>
          <t>卖 N-Tron/Red Lion 工业交换机（8口约 $500+）→ 中性货同规格 LT-IS6310G 约 $91，做第二供应商，价差 5 倍</t>
        </is>
      </c>
      <c r="I681" t="inlineStr">
        <is>
          <t>LT-IS6312XGP-4XS8GT</t>
        </is>
      </c>
      <c r="J681" t="inlineStr">
        <is>
          <t>官网联系页（HMS 名录只公开地址与网址）</t>
        </is>
      </c>
      <c r="K681" t="inlineStr">
        <is>
          <t>★★★</t>
        </is>
      </c>
      <c r="L681" t="inlineStr">
        <is>
          <t>未触达</t>
        </is>
      </c>
      <c r="M681" t="inlineStr">
        <is>
          <t>2026-09-22</t>
        </is>
      </c>
      <c r="N681" t="inlineStr"/>
      <c r="O681" t="inlineStr"/>
      <c r="P681" t="inlineStr"/>
      <c r="Q681" t="inlineStr">
        <is>
          <t>覆盖 40+ 州；有售前+售后支持；⚠️ 中国产地不能做 TAA/NDAA 政府/电力项目，只谈商业渠道</t>
        </is>
      </c>
      <c r="R681" t="inlineStr">
        <is>
          <t>C</t>
        </is>
      </c>
      <c r="S681" t="inlineStr">
        <is>
          <t>备注含「覆盖 40」，决策链长或存在品牌冲突</t>
        </is>
      </c>
      <c r="T681" t="inlineStr">
        <is>
          <t>C-088</t>
        </is>
      </c>
      <c r="U681" t="inlineStr">
        <is>
          <t>太难·规模过大/决策链长</t>
        </is>
      </c>
      <c r="V681" t="inlineStr"/>
    </row>
    <row r="682">
      <c r="A682" t="inlineStr">
        <is>
          <t>AWC, Inc.</t>
        </is>
      </c>
      <c r="B682" t="inlineStr">
        <is>
          <t>美国</t>
        </is>
      </c>
      <c r="C682" t="inlineStr">
        <is>
          <t>LA</t>
        </is>
      </c>
      <c r="D682" t="inlineStr">
        <is>
          <t>awc-inc.com</t>
        </is>
      </c>
      <c r="E682" t="inlineStr">
        <is>
          <t>分销（HMS/N-Tron·Red Lion 渠道）</t>
        </is>
      </c>
      <c r="F682" t="inlineStr">
        <is>
          <t>N-Tron + Red Lion + Anybus + Ewon</t>
        </is>
      </c>
      <c r="G682" t="inlineStr">
        <is>
          <t>否</t>
        </is>
      </c>
      <c r="H682" t="inlineStr">
        <is>
          <t>卖 N-Tron/Red Lion 工业交换机（8口约 $500+）→ 中性货同规格 LT-IS6310G 约 $91，做第二供应商，价差 5 倍</t>
        </is>
      </c>
      <c r="I682" t="inlineStr">
        <is>
          <t>LT-IS6312XGP-4XS8GT</t>
        </is>
      </c>
      <c r="J682" t="inlineStr">
        <is>
          <t>官网联系页（HMS 名录只公开地址与网址）</t>
        </is>
      </c>
      <c r="K682" t="inlineStr">
        <is>
          <t>★★★</t>
        </is>
      </c>
      <c r="L682" t="inlineStr">
        <is>
          <t>未触达</t>
        </is>
      </c>
      <c r="M682" t="inlineStr">
        <is>
          <t>2026-09-22</t>
        </is>
      </c>
      <c r="N682" t="inlineStr"/>
      <c r="O682" t="inlineStr"/>
      <c r="P682" t="inlineStr"/>
      <c r="Q682" t="inlineStr">
        <is>
          <t>★ 7 个分部：LA Baton Rouge / GA Conyers / FL Jacksonville / FL Tampa / TX Houston / OK OKC / AL Mobile → 美国南部最大工业分销之一；⚠️ 中国产地不能做 TAA/NDAA 政府/电力项目，只谈商业渠道</t>
        </is>
      </c>
      <c r="R682" t="inlineStr">
        <is>
          <t>C</t>
        </is>
      </c>
      <c r="S682" t="inlineStr">
        <is>
          <t>备注含「7 个分部」，决策链长或存在品牌冲突</t>
        </is>
      </c>
      <c r="T682" t="inlineStr">
        <is>
          <t>C-089</t>
        </is>
      </c>
      <c r="U682" t="inlineStr">
        <is>
          <t>太难·规模过大/决策链长</t>
        </is>
      </c>
      <c r="V682" t="inlineStr"/>
    </row>
    <row r="683">
      <c r="A683" t="inlineStr">
        <is>
          <t>Applied Automation Controls Inc</t>
        </is>
      </c>
      <c r="B683" t="inlineStr">
        <is>
          <t>美国</t>
        </is>
      </c>
      <c r="C683" t="inlineStr">
        <is>
          <t>NY</t>
        </is>
      </c>
      <c r="D683" t="inlineStr">
        <is>
          <t>appliedautomation.com</t>
        </is>
      </c>
      <c r="E683" t="inlineStr">
        <is>
          <t>分销（HMS/N-Tron·Red Lion 渠道）</t>
        </is>
      </c>
      <c r="F683" t="inlineStr">
        <is>
          <t>N-Tron + Red Lion + Anybus + Ewon</t>
        </is>
      </c>
      <c r="G683" t="inlineStr">
        <is>
          <t>否</t>
        </is>
      </c>
      <c r="H683" t="inlineStr">
        <is>
          <t>卖 N-Tron/Red Lion 工业交换机（8口约 $500+）→ 中性货同规格 LT-IS6310G 约 $91，做第二供应商，价差 5 倍</t>
        </is>
      </c>
      <c r="I683" t="inlineStr">
        <is>
          <t>LT-IS6312XG-4XS8GT</t>
        </is>
      </c>
      <c r="J683" t="inlineStr">
        <is>
          <t>官网联系页（HMS 名录只公开地址与网址）</t>
        </is>
      </c>
      <c r="K683" t="inlineStr">
        <is>
          <t>★★★</t>
        </is>
      </c>
      <c r="L683" t="inlineStr">
        <is>
          <t>未触达</t>
        </is>
      </c>
      <c r="M683" t="inlineStr">
        <is>
          <t>2026-09-22</t>
        </is>
      </c>
      <c r="N683" t="inlineStr"/>
      <c r="O683" t="inlineStr"/>
      <c r="P683" t="inlineStr"/>
      <c r="Q683" t="inlineStr">
        <is>
          <t>覆盖 40+ 州；有售前+售后支持；⚠️ 中国产地不能做 TAA/NDAA 政府/电力项目，只谈商业渠道</t>
        </is>
      </c>
      <c r="R683" t="inlineStr">
        <is>
          <t>C</t>
        </is>
      </c>
      <c r="S683" t="inlineStr">
        <is>
          <t>备注含「覆盖 40」，决策链长或存在品牌冲突</t>
        </is>
      </c>
      <c r="T683" t="inlineStr">
        <is>
          <t>C-090</t>
        </is>
      </c>
      <c r="U683" t="inlineStr">
        <is>
          <t>太难·规模过大/决策链长</t>
        </is>
      </c>
      <c r="V683" t="inlineStr"/>
    </row>
    <row r="684">
      <c r="A684" t="inlineStr">
        <is>
          <t>Applied Industrial Controls</t>
        </is>
      </c>
      <c r="B684" t="inlineStr">
        <is>
          <t>美国</t>
        </is>
      </c>
      <c r="C684" t="inlineStr">
        <is>
          <t>GA</t>
        </is>
      </c>
      <c r="D684" t="inlineStr">
        <is>
          <t>aic-controls.com</t>
        </is>
      </c>
      <c r="E684" t="inlineStr">
        <is>
          <t>分销（HMS/N-Tron·Red Lion 渠道）</t>
        </is>
      </c>
      <c r="F684" t="inlineStr">
        <is>
          <t>N-Tron + Red Lion + Anybus + Ewon</t>
        </is>
      </c>
      <c r="G684" t="inlineStr">
        <is>
          <t>否</t>
        </is>
      </c>
      <c r="H684" t="inlineStr">
        <is>
          <t>卖 N-Tron/Red Lion 工业交换机（8口约 $500+）→ 中性货同规格 LT-IS6310G 约 $91，做第二供应商，价差 5 倍</t>
        </is>
      </c>
      <c r="I684" t="inlineStr">
        <is>
          <t>LT-IS6312XGP-4XS8GT</t>
        </is>
      </c>
      <c r="J684" t="inlineStr">
        <is>
          <t>官网联系页（HMS 名录只公开地址与网址）</t>
        </is>
      </c>
      <c r="K684" t="inlineStr">
        <is>
          <t>★★★</t>
        </is>
      </c>
      <c r="L684" t="inlineStr">
        <is>
          <t>未触达</t>
        </is>
      </c>
      <c r="M684" t="inlineStr">
        <is>
          <t>2026-09-22</t>
        </is>
      </c>
      <c r="N684" t="inlineStr"/>
      <c r="O684" t="inlineStr"/>
      <c r="P684" t="inlineStr"/>
      <c r="Q684" t="inlineStr">
        <is>
          <t>覆盖 40+ 州；⚠️ 中国产地不能做 TAA/NDAA 政府/电力项目，只谈商业渠道</t>
        </is>
      </c>
      <c r="R684" t="inlineStr">
        <is>
          <t>C</t>
        </is>
      </c>
      <c r="S684" t="inlineStr">
        <is>
          <t>备注含「覆盖 40」，决策链长或存在品牌冲突</t>
        </is>
      </c>
      <c r="T684" t="inlineStr">
        <is>
          <t>C-091</t>
        </is>
      </c>
      <c r="U684" t="inlineStr">
        <is>
          <t>太难·规模过大/决策链长</t>
        </is>
      </c>
      <c r="V684" t="inlineStr"/>
    </row>
    <row r="685">
      <c r="A685" t="inlineStr">
        <is>
          <t>Crawford Electric Supply</t>
        </is>
      </c>
      <c r="B685" t="inlineStr">
        <is>
          <t>美国</t>
        </is>
      </c>
      <c r="C685" t="inlineStr">
        <is>
          <t>MS</t>
        </is>
      </c>
      <c r="D685" t="inlineStr">
        <is>
          <t>crawfordelectricsupply.com</t>
        </is>
      </c>
      <c r="E685" t="inlineStr">
        <is>
          <t>分销（HMS/N-Tron·Red Lion 渠道）</t>
        </is>
      </c>
      <c r="F685" t="inlineStr">
        <is>
          <t>N-Tron + Red Lion + Anybus + Ewon + Intesis</t>
        </is>
      </c>
      <c r="G685" t="inlineStr">
        <is>
          <t>否</t>
        </is>
      </c>
      <c r="H685" t="inlineStr">
        <is>
          <t>卖 N-Tron/Red Lion 工业交换机（8口约 $500+）→ 中性货同规格 LT-IS6310G 约 $91，做第二供应商，价差 5 倍</t>
        </is>
      </c>
      <c r="I685" t="inlineStr">
        <is>
          <t>LT-IS6312XGP-4XS8GT</t>
        </is>
      </c>
      <c r="J685" t="inlineStr">
        <is>
          <t>官网联系页（HMS 名录只公开地址与网址）</t>
        </is>
      </c>
      <c r="K685" t="inlineStr">
        <is>
          <t>★★★</t>
        </is>
      </c>
      <c r="L685" t="inlineStr">
        <is>
          <t>未触达</t>
        </is>
      </c>
      <c r="M685" t="inlineStr">
        <is>
          <t>2026-09-22</t>
        </is>
      </c>
      <c r="N685" t="inlineStr"/>
      <c r="O685" t="inlineStr"/>
      <c r="P685" t="inlineStr"/>
      <c r="Q685" t="inlineStr">
        <is>
          <t>★ 8 个分部：MS Hattiesburg/Tupelo/Jackson、TN Cookeville/Jackson/La Vergne、FL Pensacola、AL Decatur → 美国东南部；⚠️ 中国产地不能做 TAA/NDAA 政府/电力项目，只谈商业渠道</t>
        </is>
      </c>
      <c r="R685" t="inlineStr">
        <is>
          <t>C</t>
        </is>
      </c>
      <c r="S685" t="inlineStr">
        <is>
          <t>备注含「8 个分部」，决策链长或存在品牌冲突</t>
        </is>
      </c>
      <c r="T685" t="inlineStr">
        <is>
          <t>C-092</t>
        </is>
      </c>
      <c r="U685" t="inlineStr">
        <is>
          <t>太难·规模过大/决策链长</t>
        </is>
      </c>
      <c r="V685" t="inlineStr"/>
    </row>
    <row r="686">
      <c r="A686" t="inlineStr">
        <is>
          <t>Crescent Electric Supply</t>
        </is>
      </c>
      <c r="B686" t="inlineStr">
        <is>
          <t>美国</t>
        </is>
      </c>
      <c r="C686" t="inlineStr">
        <is>
          <t>WI</t>
        </is>
      </c>
      <c r="D686" t="inlineStr">
        <is>
          <t>crescentelectric.com</t>
        </is>
      </c>
      <c r="E686" t="inlineStr">
        <is>
          <t>分销（HMS/N-Tron·Red Lion 渠道）</t>
        </is>
      </c>
      <c r="F686" t="inlineStr">
        <is>
          <t>N-Tron + Red Lion + Anybus + Ewon</t>
        </is>
      </c>
      <c r="G686" t="inlineStr">
        <is>
          <t>否</t>
        </is>
      </c>
      <c r="H686" t="inlineStr">
        <is>
          <t>卖 N-Tron/Red Lion 工业交换机（8口约 $500+）→ 中性货同规格 LT-IS6310G 约 $91，做第二供应商，价差 5 倍</t>
        </is>
      </c>
      <c r="I686" t="inlineStr">
        <is>
          <t>LT-IS6312XGP-4XS8GT</t>
        </is>
      </c>
      <c r="J686" t="inlineStr">
        <is>
          <t>官网联系页（HMS 名录只公开地址与网址）</t>
        </is>
      </c>
      <c r="K686" t="inlineStr">
        <is>
          <t>★★★</t>
        </is>
      </c>
      <c r="L686" t="inlineStr">
        <is>
          <t>未触达</t>
        </is>
      </c>
      <c r="M686" t="inlineStr">
        <is>
          <t>2026-09-22</t>
        </is>
      </c>
      <c r="N686" t="inlineStr"/>
      <c r="O686" t="inlineStr"/>
      <c r="P686" t="inlineStr"/>
      <c r="Q686" t="inlineStr">
        <is>
          <t>★ 美国大型电气分销；9 个点：WI/OH Defiance·Perrysburg·Columbus·West Chester·Valley View/PA Warrendale/AZ Phoenix/IN Jeffersonville；⚠️ 中国产地不能做 TAA/NDAA 政府/电力项目，只谈商业渠道</t>
        </is>
      </c>
      <c r="R686" t="inlineStr">
        <is>
          <t>C</t>
        </is>
      </c>
      <c r="S686" t="inlineStr">
        <is>
          <t>备注含「大型」，决策链长或存在品牌冲突</t>
        </is>
      </c>
      <c r="T686" t="inlineStr">
        <is>
          <t>C-093</t>
        </is>
      </c>
      <c r="U686" t="inlineStr">
        <is>
          <t>太难·规模过大/决策链长</t>
        </is>
      </c>
      <c r="V686" t="inlineStr"/>
    </row>
    <row r="687">
      <c r="A687" t="inlineStr">
        <is>
          <t>EESCO（Englewood Electric Supply）</t>
        </is>
      </c>
      <c r="B687" t="inlineStr">
        <is>
          <t>美国</t>
        </is>
      </c>
      <c r="C687" t="inlineStr">
        <is>
          <t>IL</t>
        </is>
      </c>
      <c r="D687" t="inlineStr">
        <is>
          <t>buy.eescodist.com</t>
        </is>
      </c>
      <c r="E687" t="inlineStr">
        <is>
          <t>分销（HMS/N-Tron·Red Lion 渠道）</t>
        </is>
      </c>
      <c r="F687" t="inlineStr">
        <is>
          <t>N-Tron + Red Lion + Anybus + Ewon</t>
        </is>
      </c>
      <c r="G687" t="inlineStr">
        <is>
          <t>否</t>
        </is>
      </c>
      <c r="H687" t="inlineStr">
        <is>
          <t>卖 N-Tron/Red Lion 工业交换机（8口约 $500+）→ 中性货同规格 LT-IS6310G 约 $91，做第二供应商，价差 5 倍</t>
        </is>
      </c>
      <c r="I687" t="inlineStr">
        <is>
          <t>LT-IS6312XGP-4XS8GT</t>
        </is>
      </c>
      <c r="J687" t="inlineStr">
        <is>
          <t>官网联系页（HMS 名录只公开地址与网址）</t>
        </is>
      </c>
      <c r="K687" t="inlineStr">
        <is>
          <t>★★★</t>
        </is>
      </c>
      <c r="L687" t="inlineStr">
        <is>
          <t>未触达</t>
        </is>
      </c>
      <c r="M687" t="inlineStr">
        <is>
          <t>2026-09-22</t>
        </is>
      </c>
      <c r="N687" t="inlineStr"/>
      <c r="O687" t="inlineStr"/>
      <c r="P687" t="inlineStr"/>
      <c r="Q687" t="inlineStr">
        <is>
          <t>★ 5 个分部：IL Woodridge / MN New Brighton / SC West Columbia·Florence / GA Augusta；⚠️ 中国产地不能做 TAA/NDAA 政府/电力项目，只谈商业渠道</t>
        </is>
      </c>
      <c r="R687" t="inlineStr">
        <is>
          <t>C</t>
        </is>
      </c>
      <c r="S687" t="inlineStr">
        <is>
          <t>备注含「5 个分部」，决策链长或存在品牌冲突</t>
        </is>
      </c>
      <c r="T687" t="inlineStr">
        <is>
          <t>C-094</t>
        </is>
      </c>
      <c r="U687" t="inlineStr">
        <is>
          <t>太难·规模过大/决策链长</t>
        </is>
      </c>
      <c r="V687" t="inlineStr"/>
    </row>
    <row r="688">
      <c r="A688" t="inlineStr">
        <is>
          <t>Gexpro</t>
        </is>
      </c>
      <c r="B688" t="inlineStr">
        <is>
          <t>美国</t>
        </is>
      </c>
      <c r="C688" t="inlineStr">
        <is>
          <t>CA</t>
        </is>
      </c>
      <c r="D688" t="inlineStr">
        <is>
          <t>gexpro.com</t>
        </is>
      </c>
      <c r="E688" t="inlineStr">
        <is>
          <t>分销（HMS/N-Tron·Red Lion 渠道）</t>
        </is>
      </c>
      <c r="F688" t="inlineStr">
        <is>
          <t>N-Tron + Red Lion + Anybus + Ewon</t>
        </is>
      </c>
      <c r="G688" t="inlineStr">
        <is>
          <t>否</t>
        </is>
      </c>
      <c r="H688" t="inlineStr">
        <is>
          <t>卖 N-Tron/Red Lion 工业交换机（8口约 $500+）→ 中性货同规格 LT-IS6310G 约 $91，做第二供应商，价差 5 倍</t>
        </is>
      </c>
      <c r="I688" t="inlineStr">
        <is>
          <t>LT-IS6312XGP-4XS8GT</t>
        </is>
      </c>
      <c r="J688" t="inlineStr">
        <is>
          <t>官网联系页（HMS 名录只公开地址与网址）</t>
        </is>
      </c>
      <c r="K688" t="inlineStr">
        <is>
          <t>★★★</t>
        </is>
      </c>
      <c r="L688" t="inlineStr">
        <is>
          <t>未触达</t>
        </is>
      </c>
      <c r="M688" t="inlineStr">
        <is>
          <t>2026-09-22</t>
        </is>
      </c>
      <c r="N688" t="inlineStr"/>
      <c r="O688" t="inlineStr"/>
      <c r="P688" t="inlineStr"/>
      <c r="Q688" t="inlineStr">
        <is>
          <t>美国大型工业/电气分销（原 GE Supply）；⚠️ 中国产地不能做 TAA/NDAA 政府/电力项目，只谈商业渠道</t>
        </is>
      </c>
      <c r="R688" t="inlineStr">
        <is>
          <t>C</t>
        </is>
      </c>
      <c r="S688" t="inlineStr">
        <is>
          <t>备注含「大型」，决策链长或存在品牌冲突</t>
        </is>
      </c>
      <c r="T688" t="inlineStr">
        <is>
          <t>C-095</t>
        </is>
      </c>
      <c r="U688" t="inlineStr">
        <is>
          <t>太难·规模过大/决策链长</t>
        </is>
      </c>
      <c r="V688" t="inlineStr"/>
    </row>
    <row r="689">
      <c r="A689" t="inlineStr">
        <is>
          <t>Graybar Electric</t>
        </is>
      </c>
      <c r="B689" t="inlineStr">
        <is>
          <t>美国</t>
        </is>
      </c>
      <c r="C689" t="inlineStr">
        <is>
          <t>SC</t>
        </is>
      </c>
      <c r="D689" t="inlineStr">
        <is>
          <t>graybar.com</t>
        </is>
      </c>
      <c r="E689" t="inlineStr">
        <is>
          <t>分销（HMS/N-Tron·Red Lion 渠道）</t>
        </is>
      </c>
      <c r="F689" t="inlineStr">
        <is>
          <t>N-Tron + Red Lion</t>
        </is>
      </c>
      <c r="G689" t="inlineStr">
        <is>
          <t>否</t>
        </is>
      </c>
      <c r="H689" t="inlineStr">
        <is>
          <t>卖 N-Tron/Red Lion 工业交换机（8口约 $500+）→ 中性货同规格 LT-IS6310G 约 $91，做第二供应商，价差 5 倍</t>
        </is>
      </c>
      <c r="I689" t="inlineStr">
        <is>
          <t>LT-IS6312XG-4XS8GT</t>
        </is>
      </c>
      <c r="J689" t="inlineStr">
        <is>
          <t>官网联系页（HMS 名录只公开地址与网址）</t>
        </is>
      </c>
      <c r="K689" t="inlineStr">
        <is>
          <t>★★★</t>
        </is>
      </c>
      <c r="L689" t="inlineStr">
        <is>
          <t>未触达</t>
        </is>
      </c>
      <c r="M689" t="inlineStr">
        <is>
          <t>2026-09-22</t>
        </is>
      </c>
      <c r="N689" t="inlineStr"/>
      <c r="O689" t="inlineStr"/>
      <c r="P689" t="inlineStr"/>
      <c r="Q689" t="inlineStr">
        <is>
          <t>★ 北美最大电气分销之一；与名单里的 Graybar Canada 同集团；⚠️ 中国产地不能做 TAA/NDAA 政府/电力项目，只谈商业渠道；【2026-09-22 补】PLANET（台厂工业/商用交换机）授权分销渠道。</t>
        </is>
      </c>
      <c r="R689" t="inlineStr">
        <is>
          <t>C</t>
        </is>
      </c>
      <c r="S689" t="inlineStr">
        <is>
          <t>备注含「最大」，决策链长或存在品牌冲突</t>
        </is>
      </c>
      <c r="T689" t="inlineStr">
        <is>
          <t>C-096</t>
        </is>
      </c>
      <c r="U689" t="inlineStr">
        <is>
          <t>太难·规模过大/决策链长</t>
        </is>
      </c>
      <c r="V689" t="inlineStr"/>
    </row>
    <row r="690">
      <c r="A690" t="inlineStr">
        <is>
          <t>Hannan Supply Company</t>
        </is>
      </c>
      <c r="B690" t="inlineStr">
        <is>
          <t>美国</t>
        </is>
      </c>
      <c r="C690" t="inlineStr">
        <is>
          <t>KY</t>
        </is>
      </c>
      <c r="D690" t="inlineStr">
        <is>
          <t>hannansupply.com</t>
        </is>
      </c>
      <c r="E690" t="inlineStr">
        <is>
          <t>分销（HMS/N-Tron·Red Lion 渠道）</t>
        </is>
      </c>
      <c r="F690" t="inlineStr">
        <is>
          <t>N-Tron + Red Lion + Anybus + Ewon + Ixxat</t>
        </is>
      </c>
      <c r="G690" t="inlineStr">
        <is>
          <t>否</t>
        </is>
      </c>
      <c r="H690" t="inlineStr">
        <is>
          <t>卖 N-Tron/Red Lion 工业交换机（8口约 $500+）→ 中性货同规格 LT-IS6310G 约 $91，做第二供应商，价差 5 倍</t>
        </is>
      </c>
      <c r="I690" t="inlineStr">
        <is>
          <t>LT-IS6312XGP-4XS8GT</t>
        </is>
      </c>
      <c r="J690" t="inlineStr">
        <is>
          <t>官网联系页（HMS 名录只公开地址与网址）</t>
        </is>
      </c>
      <c r="K690" t="inlineStr">
        <is>
          <t>★★★</t>
        </is>
      </c>
      <c r="L690" t="inlineStr">
        <is>
          <t>未触达</t>
        </is>
      </c>
      <c r="M690" t="inlineStr">
        <is>
          <t>2026-09-22</t>
        </is>
      </c>
      <c r="N690" t="inlineStr"/>
      <c r="O690" t="inlineStr"/>
      <c r="P690" t="inlineStr"/>
      <c r="Q690" t="inlineStr">
        <is>
          <t>覆盖 40+ 州；⚠️ 中国产地不能做 TAA/NDAA 政府/电力项目，只谈商业渠道</t>
        </is>
      </c>
      <c r="R690" t="inlineStr">
        <is>
          <t>C</t>
        </is>
      </c>
      <c r="S690" t="inlineStr">
        <is>
          <t>备注含「覆盖 40」，决策链长或存在品牌冲突</t>
        </is>
      </c>
      <c r="T690" t="inlineStr">
        <is>
          <t>C-097</t>
        </is>
      </c>
      <c r="U690" t="inlineStr">
        <is>
          <t>太难·规模过大/决策链长</t>
        </is>
      </c>
      <c r="V690" t="inlineStr"/>
    </row>
    <row r="691">
      <c r="A691" t="inlineStr">
        <is>
          <t>ISP Supplies（powered by WAV）</t>
        </is>
      </c>
      <c r="B691" t="inlineStr">
        <is>
          <t>美国</t>
        </is>
      </c>
      <c r="C691" t="inlineStr">
        <is>
          <t>TX</t>
        </is>
      </c>
      <c r="D691" t="inlineStr">
        <is>
          <t>ispsupplies.com</t>
        </is>
      </c>
      <c r="E691" t="inlineStr">
        <is>
          <t>分销（MikroTik 官方）</t>
        </is>
      </c>
      <c r="F691" t="inlineStr">
        <is>
          <t>MikroTik（Reseller）</t>
        </is>
      </c>
      <c r="G691" t="inlineStr">
        <is>
          <t>否</t>
        </is>
      </c>
      <c r="H691" t="inlineStr">
        <is>
          <t>WAV 集团旗下；另有加拿大站</t>
        </is>
      </c>
      <c r="I691" t="inlineStr">
        <is>
          <t>LT-IS6312XGP-4XS8GT</t>
        </is>
      </c>
      <c r="J691" t="inlineStr">
        <is>
          <t>+1 855 947 7776 / sales@ispsupplies.com</t>
        </is>
      </c>
      <c r="K691" t="inlineStr">
        <is>
          <t>★★★</t>
        </is>
      </c>
      <c r="L691" t="inlineStr">
        <is>
          <t>未触达</t>
        </is>
      </c>
      <c r="M691" t="inlineStr">
        <is>
          <t>2026-09-22</t>
        </is>
      </c>
      <c r="N691" t="inlineStr"/>
      <c r="O691" t="inlineStr"/>
      <c r="P691" t="inlineStr"/>
      <c r="Q691" t="inlineStr">
        <is>
          <t>USCollege Station 【关联】同集团另一实体：ISP Supplies Canada（MBSI WAV）（ispsupplies.ca）</t>
        </is>
      </c>
      <c r="R691" t="inlineStr">
        <is>
          <t>C</t>
        </is>
      </c>
      <c r="S691" t="inlineStr">
        <is>
          <t>备注含「集团」，决策链长或存在品牌冲突</t>
        </is>
      </c>
      <c r="T691" t="inlineStr">
        <is>
          <t>C-098</t>
        </is>
      </c>
      <c r="U691" t="inlineStr">
        <is>
          <t>太难·规模过大/决策链长</t>
        </is>
      </c>
      <c r="V691" t="inlineStr"/>
    </row>
    <row r="692">
      <c r="A692" t="inlineStr">
        <is>
          <t>Industrial Electronic Supply</t>
        </is>
      </c>
      <c r="B692" t="inlineStr">
        <is>
          <t>美国</t>
        </is>
      </c>
      <c r="C692" t="inlineStr">
        <is>
          <t>LA</t>
        </is>
      </c>
      <c r="D692" t="inlineStr"/>
      <c r="E692" t="inlineStr">
        <is>
          <t>分销（HMS/N-Tron·Red Lion 渠道）</t>
        </is>
      </c>
      <c r="F692" t="inlineStr">
        <is>
          <t>N-Tron + Red Lion + Anybus + Ewon</t>
        </is>
      </c>
      <c r="G692" t="inlineStr">
        <is>
          <t>否</t>
        </is>
      </c>
      <c r="H692" t="inlineStr">
        <is>
          <t>卖 N-Tron/Red Lion 工业交换机（8口约 $500+）→ 中性货同规格 LT-IS6310G 约 $91，做第二供应商，价差 5 倍</t>
        </is>
      </c>
      <c r="I692" t="inlineStr">
        <is>
          <t>LT-IS6312XG-4XS8GT</t>
        </is>
      </c>
      <c r="J692" t="inlineStr">
        <is>
          <t>官网联系页（HMS 名录只公开地址与网址）</t>
        </is>
      </c>
      <c r="K692" t="inlineStr">
        <is>
          <t>★★</t>
        </is>
      </c>
      <c r="L692" t="inlineStr">
        <is>
          <t>未触达</t>
        </is>
      </c>
      <c r="M692" t="inlineStr">
        <is>
          <t>2026-09-22</t>
        </is>
      </c>
      <c r="N692" t="inlineStr"/>
      <c r="O692" t="inlineStr"/>
      <c r="P692" t="inlineStr"/>
      <c r="Q692" t="inlineStr">
        <is>
          <t>覆盖 40+ 州；无公开网址；⚠️ 中国产地不能做 TAA/NDAA 政府/电力项目，只谈商业渠道</t>
        </is>
      </c>
      <c r="R692" t="inlineStr">
        <is>
          <t>C</t>
        </is>
      </c>
      <c r="S692" t="inlineStr">
        <is>
          <t>备注含「覆盖 40」，决策链长或存在品牌冲突</t>
        </is>
      </c>
      <c r="T692" t="inlineStr">
        <is>
          <t>C-099</t>
        </is>
      </c>
      <c r="U692" t="inlineStr">
        <is>
          <t>太难·规模过大/决策链长</t>
        </is>
      </c>
      <c r="V692" t="inlineStr"/>
    </row>
    <row r="693">
      <c r="A693" t="inlineStr">
        <is>
          <t>Industrial Networking Solutions</t>
        </is>
      </c>
      <c r="B693" t="inlineStr">
        <is>
          <t>美国</t>
        </is>
      </c>
      <c r="C693" t="inlineStr">
        <is>
          <t>TX</t>
        </is>
      </c>
      <c r="D693" t="inlineStr">
        <is>
          <t>industrialnetworking.com</t>
        </is>
      </c>
      <c r="E693" t="inlineStr">
        <is>
          <t>分销（HMS/N-Tron·Red Lion 渠道）</t>
        </is>
      </c>
      <c r="F693" t="inlineStr">
        <is>
          <t>N-Tron + Red Lion</t>
        </is>
      </c>
      <c r="G693" t="inlineStr">
        <is>
          <t>否</t>
        </is>
      </c>
      <c r="H693" t="inlineStr">
        <is>
          <t>卖 N-Tron/Red Lion 工业交换机（8口约 $500+）→ 中性货同规格 LT-IS6310G 约 $91，做第二供应商，价差 5 倍</t>
        </is>
      </c>
      <c r="I693" t="inlineStr">
        <is>
          <t>LT-IS6312XGP-4XS8GT</t>
        </is>
      </c>
      <c r="J693" t="inlineStr">
        <is>
          <t>官网联系页（HMS 名录只公开地址与网址）</t>
        </is>
      </c>
      <c r="K693" t="inlineStr">
        <is>
          <t>★★★</t>
        </is>
      </c>
      <c r="L693" t="inlineStr">
        <is>
          <t>未触达</t>
        </is>
      </c>
      <c r="M693" t="inlineStr">
        <is>
          <t>2026-09-22</t>
        </is>
      </c>
      <c r="N693" t="inlineStr"/>
      <c r="O693" t="inlineStr"/>
      <c r="P693" t="inlineStr"/>
      <c r="Q693" t="inlineStr">
        <is>
          <t>★ 公司名就是工业网络，最对口；覆盖 40+ 州；⚠️ 中国产地不能做 TAA/NDAA 政府/电力项目，只谈商业渠道</t>
        </is>
      </c>
      <c r="R693" t="inlineStr">
        <is>
          <t>C</t>
        </is>
      </c>
      <c r="S693" t="inlineStr">
        <is>
          <t>备注含「覆盖 40」，决策链长或存在品牌冲突</t>
        </is>
      </c>
      <c r="T693" t="inlineStr">
        <is>
          <t>C-100</t>
        </is>
      </c>
      <c r="U693" t="inlineStr">
        <is>
          <t>太难·规模过大/决策链长</t>
        </is>
      </c>
      <c r="V693" t="inlineStr"/>
    </row>
    <row r="694">
      <c r="A694" t="inlineStr">
        <is>
          <t>John Ellis</t>
        </is>
      </c>
      <c r="B694" t="inlineStr">
        <is>
          <t>美国</t>
        </is>
      </c>
      <c r="C694" t="inlineStr">
        <is>
          <t>Woodland, WA</t>
        </is>
      </c>
      <c r="D694" t="inlineStr">
        <is>
          <t>ellis.me</t>
        </is>
      </c>
      <c r="E694" t="inlineStr">
        <is>
          <t>集成商/顾问（MikroTik 认证）</t>
        </is>
      </c>
      <c r="F694" t="inlineStr">
        <is>
          <t>MikroTik 认证顾问 MTCNA+MTCINE</t>
        </is>
      </c>
      <c r="G694" t="inlineStr">
        <is>
          <t>否</t>
        </is>
      </c>
      <c r="H694" t="inlineStr">
        <is>
          <t>MikroTik 认证顾问：自己做方案/集成/运维并自行采购设备 → 用 ERPS/IGMP/VLAN/CLI/MIB 这类技术语言切入，不打价格战</t>
        </is>
      </c>
      <c r="I694" t="inlineStr">
        <is>
          <t>LT-S8328GP-4GX24GT-S</t>
        </is>
      </c>
      <c r="J694" t="inlineStr">
        <is>
          <t>john@ellis.me</t>
        </is>
      </c>
      <c r="K694" t="inlineStr">
        <is>
          <t>★★★</t>
        </is>
      </c>
      <c r="L694" t="inlineStr">
        <is>
          <t>未触达</t>
        </is>
      </c>
      <c r="M694" t="inlineStr">
        <is>
          <t>2026-09-22</t>
        </is>
      </c>
      <c r="N694" t="inlineStr"/>
      <c r="O694" t="inlineStr"/>
      <c r="P694" t="inlineStr"/>
      <c r="Q694" t="inlineStr">
        <is>
          <t>★ 2007 年起持 MikroTik 认证；近 30 年任首席工程师/系统架构师；专长明确含 **routing、switching、bridging**、防火墙、园区与固定无线、VPN、脚本；运营本地 WISP、全国性企业网络、**区域学区的安全防火墙** → 学区是 PoE 交换机的大宗场景</t>
        </is>
      </c>
      <c r="R694" t="inlineStr">
        <is>
          <t>C</t>
        </is>
      </c>
      <c r="S694" t="inlineStr">
        <is>
          <t>备注含「全国性」，决策链长或存在品牌冲突</t>
        </is>
      </c>
      <c r="T694" t="inlineStr">
        <is>
          <t>C-101</t>
        </is>
      </c>
      <c r="U694" t="inlineStr">
        <is>
          <t>太难·规模过大/决策链长</t>
        </is>
      </c>
      <c r="V694" t="inlineStr"/>
    </row>
    <row r="695">
      <c r="A695" t="inlineStr">
        <is>
          <t>Jun Baay</t>
        </is>
      </c>
      <c r="B695" t="inlineStr">
        <is>
          <t>美国</t>
        </is>
      </c>
      <c r="C695" t="inlineStr">
        <is>
          <t>Green Valley, AZ</t>
        </is>
      </c>
      <c r="D695" t="inlineStr"/>
      <c r="E695" t="inlineStr">
        <is>
          <t>集成商/顾问（MikroTik 认证）</t>
        </is>
      </c>
      <c r="F695" t="inlineStr">
        <is>
          <t>MikroTik 认证顾问 MTCNA+MTCRE</t>
        </is>
      </c>
      <c r="G695" t="inlineStr">
        <is>
          <t>否</t>
        </is>
      </c>
      <c r="H695" t="inlineStr">
        <is>
          <t>MikroTik 认证顾问：自己做方案/集成/运维并自行采购设备 → 用 ERPS/IGMP/VLAN/CLI/MIB 这类技术语言切入，不打价格战</t>
        </is>
      </c>
      <c r="I695" t="inlineStr">
        <is>
          <t>LT-S8328GP-4GX24GT-S</t>
        </is>
      </c>
      <c r="J695" t="inlineStr">
        <is>
          <t>+1 951 433 0197 / junbaay2011@gmail.com</t>
        </is>
      </c>
      <c r="K695" t="inlineStr">
        <is>
          <t>★★★</t>
        </is>
      </c>
      <c r="L695" t="inlineStr">
        <is>
          <t>未触达</t>
        </is>
      </c>
      <c r="M695" t="inlineStr">
        <is>
          <t>2026-09-22</t>
        </is>
      </c>
      <c r="N695" t="inlineStr"/>
      <c r="O695" t="inlineStr"/>
      <c r="P695" t="inlineStr"/>
      <c r="Q695" t="inlineStr">
        <is>
          <t>资深网络工程师 10+ 年：企业路由、大规模网络架构、专家级排障；**多厂商高性能环境**，擅长用 MikroTik RouterOS/CCR 搭配传统企业设备以最大化基础设施价值；**擅长定位 Layer 2 到 Layer 7 异常**、数据中心迁移</t>
        </is>
      </c>
      <c r="R695" t="inlineStr">
        <is>
          <t>C</t>
        </is>
      </c>
      <c r="S695" t="inlineStr">
        <is>
          <t>备注含「最大」，决策链长或存在品牌冲突</t>
        </is>
      </c>
      <c r="T695" t="inlineStr">
        <is>
          <t>C-102</t>
        </is>
      </c>
      <c r="U695" t="inlineStr">
        <is>
          <t>太难·规模过大/决策链长</t>
        </is>
      </c>
      <c r="V695" t="inlineStr"/>
    </row>
    <row r="696">
      <c r="A696" t="inlineStr">
        <is>
          <t>Kendall Electric</t>
        </is>
      </c>
      <c r="B696" t="inlineStr">
        <is>
          <t>美国</t>
        </is>
      </c>
      <c r="C696" t="inlineStr">
        <is>
          <t>IN</t>
        </is>
      </c>
      <c r="D696" t="inlineStr">
        <is>
          <t>kendallelectric.com</t>
        </is>
      </c>
      <c r="E696" t="inlineStr">
        <is>
          <t>分销（HMS/N-Tron·Red Lion 渠道）</t>
        </is>
      </c>
      <c r="F696" t="inlineStr">
        <is>
          <t>N-Tron + Red Lion + Anybus + Ewon</t>
        </is>
      </c>
      <c r="G696" t="inlineStr">
        <is>
          <t>否</t>
        </is>
      </c>
      <c r="H696" t="inlineStr">
        <is>
          <t>卖 N-Tron/Red Lion 工业交换机（8口约 $500+）→ 中性货同规格 LT-IS6310G 约 $91，做第二供应商，价差 5 倍</t>
        </is>
      </c>
      <c r="I696" t="inlineStr">
        <is>
          <t>LT-IS6312XGP-4XS8GT</t>
        </is>
      </c>
      <c r="J696" t="inlineStr">
        <is>
          <t>官网联系页（HMS 名录只公开地址与网址）</t>
        </is>
      </c>
      <c r="K696" t="inlineStr">
        <is>
          <t>★★★</t>
        </is>
      </c>
      <c r="L696" t="inlineStr">
        <is>
          <t>未触达</t>
        </is>
      </c>
      <c r="M696" t="inlineStr">
        <is>
          <t>2026-09-22</t>
        </is>
      </c>
      <c r="N696" t="inlineStr"/>
      <c r="O696" t="inlineStr"/>
      <c r="P696" t="inlineStr"/>
      <c r="Q696" t="inlineStr">
        <is>
          <t>★ 17 个分部（MI Traverse City/Benton Harbor/Wyoming/Lansing/Portage/Saginaw、IN Elkhart/Fort Wayne/Greensburg、AL Montgomery/Irondale、GA Tallapoosa、OH Sidney/Columbus、PA Conshohocken、TN Jackson/Chattanooga/Knoxville/Cleveland）；与 CBT Company 同集团；⚠️ 中国产地不能做 TAA/NDAA 政府/电力项目，只谈商业渠道</t>
        </is>
      </c>
      <c r="R696" t="inlineStr">
        <is>
          <t>C</t>
        </is>
      </c>
      <c r="S696" t="inlineStr">
        <is>
          <t>备注含「17 个分部」，决策链长或存在品牌冲突</t>
        </is>
      </c>
      <c r="T696" t="inlineStr">
        <is>
          <t>C-103</t>
        </is>
      </c>
      <c r="U696" t="inlineStr">
        <is>
          <t>太难·规模过大/决策链长</t>
        </is>
      </c>
      <c r="V696" t="inlineStr"/>
    </row>
    <row r="697">
      <c r="A697" t="inlineStr">
        <is>
          <t>Link Technologies, Inc.</t>
        </is>
      </c>
      <c r="B697" t="inlineStr">
        <is>
          <t>美国</t>
        </is>
      </c>
      <c r="C697" t="inlineStr">
        <is>
          <t>MO</t>
        </is>
      </c>
      <c r="D697" t="inlineStr">
        <is>
          <t>linktechs.net</t>
        </is>
      </c>
      <c r="E697" t="inlineStr">
        <is>
          <t>分销（MikroTik 官方）</t>
        </is>
      </c>
      <c r="F697" t="inlineStr">
        <is>
          <t>MikroTik（Master+VAD）</t>
        </is>
      </c>
      <c r="G697" t="inlineStr">
        <is>
          <t>否</t>
        </is>
      </c>
      <c r="H697" t="inlineStr">
        <is>
          <t>卖 MikroTik 但缺工业/ERPS/PoE++ → 用同价位工业线补他的产品缺口</t>
        </is>
      </c>
      <c r="I697" t="inlineStr">
        <is>
          <t>LT-IS6312XGP-4XS8GT</t>
        </is>
      </c>
      <c r="J697" t="inlineStr">
        <is>
          <t>+1 314 735 0270 / support@linktechs.net</t>
        </is>
      </c>
      <c r="K697" t="inlineStr">
        <is>
          <t>★★★</t>
        </is>
      </c>
      <c r="L697" t="inlineStr">
        <is>
          <t>未触达</t>
        </is>
      </c>
      <c r="M697" t="inlineStr">
        <is>
          <t>2026-09-22</t>
        </is>
      </c>
      <c r="N697" t="inlineStr"/>
      <c r="O697" t="inlineStr"/>
      <c r="P697" t="inlineStr"/>
      <c r="Q697" t="inlineStr">
        <is>
          <t>★★★ 【升级：这不只是总代，还是北美最大的 MikroTik 工程公司之一】自述「北美领先的 MikroTik 工程与咨询公司之一」，客户从单人创业到全国性 ISP、**市政公用事业 utilities、园区/工业/多站点企业**，项目跨多洲。公司内 2 位认证顾问：Dennis Burgess（314-735-0270 / dmburgess@linktechs.net，6 证）、Dan Parrish（support@linktechs.net，5 证）。★**交换专长（逐条列出）：VLAN/Q-in-Q、VLAN 翻译与重写、LACP/绑定、生成树 RSTP/MSTP、二层传输与冗余、GPON 集成、EVPN/VXLAN、10G/25G/40G/100G/200G/400G 交换矩阵**。路由：BGP/OSPF/MPLS-TE/策略路由/路由反射器/CGNAT。★**另开网店 shop.linktechs.net 卖设备 → 总代 + 咨询集成 + 零售，三线合一，北美第一优先账号**</t>
        </is>
      </c>
      <c r="R697" t="inlineStr">
        <is>
          <t>C</t>
        </is>
      </c>
      <c r="S697" t="inlineStr">
        <is>
          <t>备注含「北美领先」，决策链长或存在品牌冲突</t>
        </is>
      </c>
      <c r="T697" t="inlineStr">
        <is>
          <t>C-104</t>
        </is>
      </c>
      <c r="U697" t="inlineStr">
        <is>
          <t>太难·规模过大/决策链长</t>
        </is>
      </c>
      <c r="V697" t="inlineStr"/>
    </row>
    <row r="698">
      <c r="A698" t="inlineStr">
        <is>
          <t>Motion (motionworld.com)</t>
        </is>
      </c>
      <c r="B698" t="inlineStr">
        <is>
          <t>美国</t>
        </is>
      </c>
      <c r="C698" t="inlineStr"/>
      <c r="D698" t="inlineStr">
        <is>
          <t>motionworld.com</t>
        </is>
      </c>
      <c r="E698" t="inlineStr">
        <is>
          <t>大分销</t>
        </is>
      </c>
      <c r="F698" t="inlineStr">
        <is>
          <t>Moxa</t>
        </is>
      </c>
      <c r="G698" t="inlineStr">
        <is>
          <t>否</t>
        </is>
      </c>
      <c r="H698" t="inlineStr">
        <is>
          <t>流程长，慢跟</t>
        </is>
      </c>
      <c r="I698" t="inlineStr">
        <is>
          <t>LT-IS6312XG-4XS8GT</t>
        </is>
      </c>
      <c r="J698" t="inlineStr">
        <is>
          <t>官网</t>
        </is>
      </c>
      <c r="K698" t="inlineStr">
        <is>
          <t>★</t>
        </is>
      </c>
      <c r="L698" t="inlineStr">
        <is>
          <t>未触达</t>
        </is>
      </c>
      <c r="M698" t="inlineStr">
        <is>
          <t>反向信号/2026-09</t>
        </is>
      </c>
      <c r="N698" t="inlineStr"/>
      <c r="O698" t="inlineStr"/>
      <c r="P698" t="inlineStr"/>
      <c r="Q698" t="inlineStr"/>
      <c r="R698" t="inlineStr">
        <is>
          <t>C</t>
        </is>
      </c>
      <c r="S698" t="inlineStr">
        <is>
          <t>类型属大盘/自有品牌（大分销）；备注含「大分销」，决策链长或存在品牌冲突</t>
        </is>
      </c>
      <c r="T698" t="inlineStr">
        <is>
          <t>C-105</t>
        </is>
      </c>
      <c r="U698" t="inlineStr">
        <is>
          <t>太难·自有品牌</t>
        </is>
      </c>
      <c r="V698" t="inlineStr"/>
    </row>
    <row r="699">
      <c r="A699" t="inlineStr">
        <is>
          <t>PTS Precision Tools Service, Inc.</t>
        </is>
      </c>
      <c r="B699" t="inlineStr">
        <is>
          <t>美国</t>
        </is>
      </c>
      <c r="C699" t="inlineStr">
        <is>
          <t>IN</t>
        </is>
      </c>
      <c r="D699" t="inlineStr">
        <is>
          <t>ptservice.com</t>
        </is>
      </c>
      <c r="E699" t="inlineStr">
        <is>
          <t>分销（HMS/N-Tron·Red Lion 渠道）</t>
        </is>
      </c>
      <c r="F699" t="inlineStr">
        <is>
          <t>N-Tron + Red Lion</t>
        </is>
      </c>
      <c r="G699" t="inlineStr">
        <is>
          <t>否</t>
        </is>
      </c>
      <c r="H699" t="inlineStr">
        <is>
          <t>卖 N-Tron/Red Lion 工业交换机（8口约 $500+）→ 中性货同规格 LT-IS6310G 约 $91，做第二供应商，价差 5 倍</t>
        </is>
      </c>
      <c r="I699" t="inlineStr">
        <is>
          <t>LT-IS6310G</t>
        </is>
      </c>
      <c r="J699" t="inlineStr">
        <is>
          <t>官网联系页（HMS 名录只公开地址与网址）</t>
        </is>
      </c>
      <c r="K699" t="inlineStr">
        <is>
          <t>★★</t>
        </is>
      </c>
      <c r="L699" t="inlineStr">
        <is>
          <t>未触达</t>
        </is>
      </c>
      <c r="M699" t="inlineStr">
        <is>
          <t>2026-09-22</t>
        </is>
      </c>
      <c r="N699" t="inlineStr"/>
      <c r="O699" t="inlineStr"/>
      <c r="P699" t="inlineStr"/>
      <c r="Q699" t="inlineStr">
        <is>
          <t>覆盖 40+ 州；⚠️ 中国产地不能做 TAA/NDAA 政府/电力项目，只谈商业渠道</t>
        </is>
      </c>
      <c r="R699" t="inlineStr">
        <is>
          <t>C</t>
        </is>
      </c>
      <c r="S699" t="inlineStr">
        <is>
          <t>备注含「覆盖 40」，决策链长或存在品牌冲突</t>
        </is>
      </c>
      <c r="T699" t="inlineStr">
        <is>
          <t>C-106</t>
        </is>
      </c>
      <c r="U699" t="inlineStr">
        <is>
          <t>太难·规模过大/决策链长</t>
        </is>
      </c>
      <c r="V699" t="inlineStr"/>
    </row>
    <row r="700">
      <c r="A700" t="inlineStr">
        <is>
          <t>Power Drives</t>
        </is>
      </c>
      <c r="B700" t="inlineStr">
        <is>
          <t>美国</t>
        </is>
      </c>
      <c r="C700" t="inlineStr">
        <is>
          <t>NC</t>
        </is>
      </c>
      <c r="D700" t="inlineStr">
        <is>
          <t>power-drives.com</t>
        </is>
      </c>
      <c r="E700" t="inlineStr">
        <is>
          <t>分销（HMS/N-Tron·Red Lion 渠道）</t>
        </is>
      </c>
      <c r="F700" t="inlineStr">
        <is>
          <t>N-Tron + Red Lion + Anybus + Ewon</t>
        </is>
      </c>
      <c r="G700" t="inlineStr">
        <is>
          <t>否</t>
        </is>
      </c>
      <c r="H700" t="inlineStr">
        <is>
          <t>卖 N-Tron/Red Lion 工业交换机（8口约 $500+）→ 中性货同规格 LT-IS6310G 约 $91，做第二供应商，价差 5 倍</t>
        </is>
      </c>
      <c r="I700" t="inlineStr">
        <is>
          <t>LT-IS6312XGP-4XS8GT</t>
        </is>
      </c>
      <c r="J700" t="inlineStr">
        <is>
          <t>官网联系页（HMS 名录只公开地址与网址）</t>
        </is>
      </c>
      <c r="K700" t="inlineStr">
        <is>
          <t>★★★</t>
        </is>
      </c>
      <c r="L700" t="inlineStr">
        <is>
          <t>未触达</t>
        </is>
      </c>
      <c r="M700" t="inlineStr">
        <is>
          <t>2026-09-22</t>
        </is>
      </c>
      <c r="N700" t="inlineStr"/>
      <c r="O700" t="inlineStr"/>
      <c r="P700" t="inlineStr"/>
      <c r="Q700" t="inlineStr">
        <is>
          <t>覆盖 40+ 州；⚠️ 中国产地不能做 TAA/NDAA 政府/电力项目，只谈商业渠道</t>
        </is>
      </c>
      <c r="R700" t="inlineStr">
        <is>
          <t>C</t>
        </is>
      </c>
      <c r="S700" t="inlineStr">
        <is>
          <t>备注含「覆盖 40」，决策链长或存在品牌冲突</t>
        </is>
      </c>
      <c r="T700" t="inlineStr">
        <is>
          <t>C-107</t>
        </is>
      </c>
      <c r="U700" t="inlineStr">
        <is>
          <t>太难·规模过大/决策链长</t>
        </is>
      </c>
      <c r="V700" t="inlineStr"/>
    </row>
    <row r="701">
      <c r="A701" t="inlineStr">
        <is>
          <t>Prime Industrial Components, Inc</t>
        </is>
      </c>
      <c r="B701" t="inlineStr">
        <is>
          <t>美国</t>
        </is>
      </c>
      <c r="C701" t="inlineStr">
        <is>
          <t>NJ</t>
        </is>
      </c>
      <c r="D701" t="inlineStr">
        <is>
          <t>prime-industrial.com</t>
        </is>
      </c>
      <c r="E701" t="inlineStr">
        <is>
          <t>分销（HMS/N-Tron·Red Lion 渠道）</t>
        </is>
      </c>
      <c r="F701" t="inlineStr">
        <is>
          <t>N-Tron + Red Lion + Anybus</t>
        </is>
      </c>
      <c r="G701" t="inlineStr">
        <is>
          <t>否</t>
        </is>
      </c>
      <c r="H701" t="inlineStr">
        <is>
          <t>卖 N-Tron/Red Lion 工业交换机（8口约 $500+）→ 中性货同规格 LT-IS6310G 约 $91，做第二供应商，价差 5 倍</t>
        </is>
      </c>
      <c r="I701" t="inlineStr">
        <is>
          <t>LT-IS6312XG-4XS8GT</t>
        </is>
      </c>
      <c r="J701" t="inlineStr">
        <is>
          <t>官网联系页（HMS 名录只公开地址与网址）</t>
        </is>
      </c>
      <c r="K701" t="inlineStr">
        <is>
          <t>★★★</t>
        </is>
      </c>
      <c r="L701" t="inlineStr">
        <is>
          <t>未触达</t>
        </is>
      </c>
      <c r="M701" t="inlineStr">
        <is>
          <t>2026-09-22</t>
        </is>
      </c>
      <c r="N701" t="inlineStr"/>
      <c r="O701" t="inlineStr"/>
      <c r="P701" t="inlineStr"/>
      <c r="Q701" t="inlineStr">
        <is>
          <t>覆盖 40+ 州；⚠️ 中国产地不能做 TAA/NDAA 政府/电力项目，只谈商业渠道</t>
        </is>
      </c>
      <c r="R701" t="inlineStr">
        <is>
          <t>C</t>
        </is>
      </c>
      <c r="S701" t="inlineStr">
        <is>
          <t>备注含「覆盖 40」，决策链长或存在品牌冲突</t>
        </is>
      </c>
      <c r="T701" t="inlineStr">
        <is>
          <t>C-108</t>
        </is>
      </c>
      <c r="U701" t="inlineStr">
        <is>
          <t>太难·规模过大/决策链长</t>
        </is>
      </c>
      <c r="V701" t="inlineStr"/>
    </row>
    <row r="702">
      <c r="A702" t="inlineStr">
        <is>
          <t>Queen City Supply Co.（MQ Automation 分部）</t>
        </is>
      </c>
      <c r="B702" t="inlineStr">
        <is>
          <t>美国</t>
        </is>
      </c>
      <c r="C702" t="inlineStr">
        <is>
          <t>OH</t>
        </is>
      </c>
      <c r="D702" t="inlineStr">
        <is>
          <t>mqautomation.com</t>
        </is>
      </c>
      <c r="E702" t="inlineStr">
        <is>
          <t>分销（HMS/N-Tron·Red Lion 渠道）</t>
        </is>
      </c>
      <c r="F702" t="inlineStr">
        <is>
          <t>N-Tron + Red Lion + Anybus + Ewon</t>
        </is>
      </c>
      <c r="G702" t="inlineStr">
        <is>
          <t>否</t>
        </is>
      </c>
      <c r="H702" t="inlineStr">
        <is>
          <t>卖 N-Tron/Red Lion 工业交换机（8口约 $500+）→ 中性货同规格 LT-IS6310G 约 $91，做第二供应商，价差 5 倍</t>
        </is>
      </c>
      <c r="I702" t="inlineStr">
        <is>
          <t>LT-IS6312XGP-4XS8GT</t>
        </is>
      </c>
      <c r="J702" t="inlineStr">
        <is>
          <t>官网联系页（HMS 名录只公开地址与网址）</t>
        </is>
      </c>
      <c r="K702" t="inlineStr">
        <is>
          <t>★★★</t>
        </is>
      </c>
      <c r="L702" t="inlineStr">
        <is>
          <t>未触达</t>
        </is>
      </c>
      <c r="M702" t="inlineStr">
        <is>
          <t>2026-09-22</t>
        </is>
      </c>
      <c r="N702" t="inlineStr"/>
      <c r="O702" t="inlineStr"/>
      <c r="P702" t="inlineStr"/>
      <c r="Q702" t="inlineStr">
        <is>
          <t>覆盖 40+ 州；母公司 MQ Automation；⚠️ 中国产地不能做 TAA/NDAA 政府/电力项目，只谈商业渠道</t>
        </is>
      </c>
      <c r="R702" t="inlineStr">
        <is>
          <t>C</t>
        </is>
      </c>
      <c r="S702" t="inlineStr">
        <is>
          <t>备注含「覆盖 40」，决策链长或存在品牌冲突</t>
        </is>
      </c>
      <c r="T702" t="inlineStr">
        <is>
          <t>C-109</t>
        </is>
      </c>
      <c r="U702" t="inlineStr">
        <is>
          <t>太难·规模过大/决策链长</t>
        </is>
      </c>
      <c r="V702" t="inlineStr"/>
    </row>
    <row r="703">
      <c r="A703" t="inlineStr">
        <is>
          <t>RS Americas（RS Components 美国）</t>
        </is>
      </c>
      <c r="B703" t="inlineStr">
        <is>
          <t>美国</t>
        </is>
      </c>
      <c r="C703" t="inlineStr">
        <is>
          <t>TX</t>
        </is>
      </c>
      <c r="D703" t="inlineStr">
        <is>
          <t>us.rs-online.com</t>
        </is>
      </c>
      <c r="E703" t="inlineStr">
        <is>
          <t>分销（HMS/N-Tron·Red Lion 渠道）</t>
        </is>
      </c>
      <c r="F703" t="inlineStr">
        <is>
          <t>N-Tron + Red Lion</t>
        </is>
      </c>
      <c r="G703" t="inlineStr">
        <is>
          <t>否</t>
        </is>
      </c>
      <c r="H703" t="inlineStr">
        <is>
          <t>卖 N-Tron/Red Lion 工业交换机（8口约 $500+）→ 中性货同规格 LT-IS6310G 约 $91，做第二供应商，价差 5 倍</t>
        </is>
      </c>
      <c r="I703" t="inlineStr">
        <is>
          <t>LT-IS6310G</t>
        </is>
      </c>
      <c r="J703" t="inlineStr">
        <is>
          <t>官网联系页（HMS 名录只公开地址与网址）</t>
        </is>
      </c>
      <c r="K703" t="inlineStr">
        <is>
          <t>★</t>
        </is>
      </c>
      <c r="L703" t="inlineStr">
        <is>
          <t>未触达</t>
        </is>
      </c>
      <c r="M703" t="inlineStr">
        <is>
          <t>2026-09-22</t>
        </is>
      </c>
      <c r="N703" t="inlineStr"/>
      <c r="O703" t="inlineStr"/>
      <c r="P703" t="inlineStr"/>
      <c r="Q703" t="inlineStr">
        <is>
          <t>目录分销；与欧洲 RS Components 同集团，只谈线上寄售；⚠️ 中国产地不能做 TAA/NDAA 政府/电力项目，只谈商业渠道</t>
        </is>
      </c>
      <c r="R703" t="inlineStr">
        <is>
          <t>C</t>
        </is>
      </c>
      <c r="S703" t="inlineStr">
        <is>
          <t>备注含「集团」，决策链长或存在品牌冲突</t>
        </is>
      </c>
      <c r="T703" t="inlineStr">
        <is>
          <t>C-110</t>
        </is>
      </c>
      <c r="U703" t="inlineStr">
        <is>
          <t>太难·规模过大/决策链长</t>
        </is>
      </c>
      <c r="V703" t="inlineStr"/>
    </row>
    <row r="704">
      <c r="A704" t="inlineStr">
        <is>
          <t>Ramco Innovations</t>
        </is>
      </c>
      <c r="B704" t="inlineStr">
        <is>
          <t>美国</t>
        </is>
      </c>
      <c r="C704" t="inlineStr">
        <is>
          <t>IA</t>
        </is>
      </c>
      <c r="D704" t="inlineStr">
        <is>
          <t>ramcoi.com</t>
        </is>
      </c>
      <c r="E704" t="inlineStr">
        <is>
          <t>分销（HMS/N-Tron·Red Lion 渠道）</t>
        </is>
      </c>
      <c r="F704" t="inlineStr">
        <is>
          <t>N-Tron + Red Lion + Anybus + Ewon</t>
        </is>
      </c>
      <c r="G704" t="inlineStr">
        <is>
          <t>否</t>
        </is>
      </c>
      <c r="H704" t="inlineStr">
        <is>
          <t>卖 N-Tron/Red Lion 工业交换机（8口约 $500+）→ 中性货同规格 LT-IS6310G 约 $91，做第二供应商，价差 5 倍</t>
        </is>
      </c>
      <c r="I704" t="inlineStr">
        <is>
          <t>LT-IS6312XGP-4XS8GT</t>
        </is>
      </c>
      <c r="J704" t="inlineStr">
        <is>
          <t>官网联系页（HMS 名录只公开地址与网址）</t>
        </is>
      </c>
      <c r="K704" t="inlineStr">
        <is>
          <t>★★★</t>
        </is>
      </c>
      <c r="L704" t="inlineStr">
        <is>
          <t>未触达</t>
        </is>
      </c>
      <c r="M704" t="inlineStr">
        <is>
          <t>2026-09-22</t>
        </is>
      </c>
      <c r="N704" t="inlineStr"/>
      <c r="O704" t="inlineStr"/>
      <c r="P704" t="inlineStr"/>
      <c r="Q704" t="inlineStr">
        <is>
          <t>覆盖 40+ 州；工业自动化专业分销；⚠️ 中国产地不能做 TAA/NDAA 政府/电力项目，只谈商业渠道</t>
        </is>
      </c>
      <c r="R704" t="inlineStr">
        <is>
          <t>C</t>
        </is>
      </c>
      <c r="S704" t="inlineStr">
        <is>
          <t>备注含「覆盖 40」，决策链长或存在品牌冲突</t>
        </is>
      </c>
      <c r="T704" t="inlineStr">
        <is>
          <t>C-111</t>
        </is>
      </c>
      <c r="U704" t="inlineStr">
        <is>
          <t>太难·规模过大/决策链长</t>
        </is>
      </c>
      <c r="V704" t="inlineStr"/>
    </row>
    <row r="705">
      <c r="A705" t="inlineStr">
        <is>
          <t>Rexel USA</t>
        </is>
      </c>
      <c r="B705" t="inlineStr">
        <is>
          <t>美国</t>
        </is>
      </c>
      <c r="C705" t="inlineStr">
        <is>
          <t>TX</t>
        </is>
      </c>
      <c r="D705" t="inlineStr">
        <is>
          <t>rexelusa.com</t>
        </is>
      </c>
      <c r="E705" t="inlineStr">
        <is>
          <t>分销（HMS/N-Tron·Red Lion 渠道）</t>
        </is>
      </c>
      <c r="F705" t="inlineStr">
        <is>
          <t>N-Tron + Red Lion + Anybus + Ewon</t>
        </is>
      </c>
      <c r="G705" t="inlineStr">
        <is>
          <t>否</t>
        </is>
      </c>
      <c r="H705" t="inlineStr">
        <is>
          <t>卖 N-Tron/Red Lion 工业交换机（8口约 $500+）→ 中性货同规格 LT-IS6310G 约 $91，做第二供应商，价差 5 倍</t>
        </is>
      </c>
      <c r="I705" t="inlineStr">
        <is>
          <t>LT-IS6312XG-4XS8GT</t>
        </is>
      </c>
      <c r="J705" t="inlineStr">
        <is>
          <t>官网联系页（HMS 名录只公开地址与网址）</t>
        </is>
      </c>
      <c r="K705" t="inlineStr">
        <is>
          <t>★★★</t>
        </is>
      </c>
      <c r="L705" t="inlineStr">
        <is>
          <t>未触达</t>
        </is>
      </c>
      <c r="M705" t="inlineStr">
        <is>
          <t>2026-09-22</t>
        </is>
      </c>
      <c r="N705" t="inlineStr"/>
      <c r="O705" t="inlineStr"/>
      <c r="P705" t="inlineStr"/>
      <c r="Q705" t="inlineStr">
        <is>
          <t>★ 全球电气分销巨头；目录里 18 个分部：TX Missouri City·Carrollton / FL Pinellas Park·Orlando·Ocala·Ft Lauderdale·Miami·Sarasota·Tampa·Lakeland·Melbourne·Daytona Beach / OH Solon / CA Santa Clara / NC Hickory·Asheville / MD Sparks·Capitol Heights；⚠️ 中国产地不能做 TAA/NDAA 政府/电力项目，只谈商业渠道</t>
        </is>
      </c>
      <c r="R705" t="inlineStr">
        <is>
          <t>C</t>
        </is>
      </c>
      <c r="S705" t="inlineStr">
        <is>
          <t>备注含「巨头」，决策链长或存在品牌冲突</t>
        </is>
      </c>
      <c r="T705" t="inlineStr">
        <is>
          <t>C-112</t>
        </is>
      </c>
      <c r="U705" t="inlineStr">
        <is>
          <t>太难·规模过大/决策链长</t>
        </is>
      </c>
      <c r="V705" t="inlineStr"/>
    </row>
    <row r="706">
      <c r="A706" t="inlineStr">
        <is>
          <t>Seltrol</t>
        </is>
      </c>
      <c r="B706" t="inlineStr">
        <is>
          <t>美国</t>
        </is>
      </c>
      <c r="C706" t="inlineStr">
        <is>
          <t>SC</t>
        </is>
      </c>
      <c r="D706" t="inlineStr"/>
      <c r="E706" t="inlineStr">
        <is>
          <t>分销（HMS/N-Tron·Red Lion 渠道）</t>
        </is>
      </c>
      <c r="F706" t="inlineStr">
        <is>
          <t>N-Tron + Red Lion + Anybus + Ewon</t>
        </is>
      </c>
      <c r="G706" t="inlineStr">
        <is>
          <t>否</t>
        </is>
      </c>
      <c r="H706" t="inlineStr">
        <is>
          <t>卖 N-Tron/Red Lion 工业交换机（8口约 $500+）→ 中性货同规格 LT-IS6310G 约 $91，做第二供应商，价差 5 倍</t>
        </is>
      </c>
      <c r="I706" t="inlineStr">
        <is>
          <t>LT-IS6312XGP-4XS8GT</t>
        </is>
      </c>
      <c r="J706" t="inlineStr">
        <is>
          <t>官网联系页（HMS 名录只公开地址与网址）</t>
        </is>
      </c>
      <c r="K706" t="inlineStr">
        <is>
          <t>★★★</t>
        </is>
      </c>
      <c r="L706" t="inlineStr">
        <is>
          <t>未触达</t>
        </is>
      </c>
      <c r="M706" t="inlineStr">
        <is>
          <t>2026-09-22</t>
        </is>
      </c>
      <c r="N706" t="inlineStr"/>
      <c r="O706" t="inlineStr"/>
      <c r="P706" t="inlineStr"/>
      <c r="Q706" t="inlineStr">
        <is>
          <t>覆盖 40+ 州；无公开网址，需 LinkedIn 找人；⚠️ 中国产地不能做 TAA/NDAA 政府/电力项目，只谈商业渠道</t>
        </is>
      </c>
      <c r="R706" t="inlineStr">
        <is>
          <t>C</t>
        </is>
      </c>
      <c r="S706" t="inlineStr">
        <is>
          <t>备注含「覆盖 40」，决策链长或存在品牌冲突</t>
        </is>
      </c>
      <c r="T706" t="inlineStr">
        <is>
          <t>C-113</t>
        </is>
      </c>
      <c r="U706" t="inlineStr">
        <is>
          <t>太难·规模过大/决策链长</t>
        </is>
      </c>
      <c r="V706" t="inlineStr"/>
    </row>
    <row r="707">
      <c r="A707" t="inlineStr">
        <is>
          <t>Standard Electric Supply</t>
        </is>
      </c>
      <c r="B707" t="inlineStr">
        <is>
          <t>美国</t>
        </is>
      </c>
      <c r="C707" t="inlineStr">
        <is>
          <t>IL</t>
        </is>
      </c>
      <c r="D707" t="inlineStr">
        <is>
          <t>standardelectricsupply.com</t>
        </is>
      </c>
      <c r="E707" t="inlineStr">
        <is>
          <t>分销（HMS/N-Tron·Red Lion 渠道）</t>
        </is>
      </c>
      <c r="F707" t="inlineStr">
        <is>
          <t>N-Tron + Red Lion + Anybus + Ewon + Ixxat + Intesis</t>
        </is>
      </c>
      <c r="G707" t="inlineStr">
        <is>
          <t>否</t>
        </is>
      </c>
      <c r="H707" t="inlineStr">
        <is>
          <t>卖 N-Tron/Red Lion 工业交换机（8口约 $500+）→ 中性货同规格 LT-IS6310G 约 $91，做第二供应商，价差 5 倍</t>
        </is>
      </c>
      <c r="I707" t="inlineStr">
        <is>
          <t>LT-IS6312XG-4XS8GT</t>
        </is>
      </c>
      <c r="J707" t="inlineStr">
        <is>
          <t>官网联系页（HMS 名录只公开地址与网址）</t>
        </is>
      </c>
      <c r="K707" t="inlineStr">
        <is>
          <t>★★★</t>
        </is>
      </c>
      <c r="L707" t="inlineStr">
        <is>
          <t>未触达</t>
        </is>
      </c>
      <c r="M707" t="inlineStr">
        <is>
          <t>2026-09-22</t>
        </is>
      </c>
      <c r="N707" t="inlineStr"/>
      <c r="O707" t="inlineStr"/>
      <c r="P707" t="inlineStr"/>
      <c r="Q707" t="inlineStr">
        <is>
          <t>★ 7 个分部：IL Tinley Park·Champaign / IN Indianapolis·Warsaw / WI Stevens Point·Verona·Sheboygan；HMS 全品牌；⚠️ 中国产地不能做 TAA/NDAA 政府/电力项目，只谈商业渠道</t>
        </is>
      </c>
      <c r="R707" t="inlineStr">
        <is>
          <t>C</t>
        </is>
      </c>
      <c r="S707" t="inlineStr">
        <is>
          <t>备注含「7 个分部」，决策链长或存在品牌冲突</t>
        </is>
      </c>
      <c r="T707" t="inlineStr">
        <is>
          <t>C-114</t>
        </is>
      </c>
      <c r="U707" t="inlineStr">
        <is>
          <t>太难·规模过大/决策链长</t>
        </is>
      </c>
      <c r="V707" t="inlineStr"/>
    </row>
    <row r="708">
      <c r="A708" t="inlineStr">
        <is>
          <t>TRI-Phase</t>
        </is>
      </c>
      <c r="B708" t="inlineStr">
        <is>
          <t>美国</t>
        </is>
      </c>
      <c r="C708" t="inlineStr">
        <is>
          <t>WI</t>
        </is>
      </c>
      <c r="D708" t="inlineStr">
        <is>
          <t>tri-phase.com</t>
        </is>
      </c>
      <c r="E708" t="inlineStr">
        <is>
          <t>分销（HMS/N-Tron·Red Lion 渠道）</t>
        </is>
      </c>
      <c r="F708" t="inlineStr">
        <is>
          <t>N-Tron + Red Lion + Anybus + Ewon</t>
        </is>
      </c>
      <c r="G708" t="inlineStr">
        <is>
          <t>否</t>
        </is>
      </c>
      <c r="H708" t="inlineStr">
        <is>
          <t>卖 N-Tron/Red Lion 工业交换机（8口约 $500+）→ 中性货同规格 LT-IS6310G 约 $91，做第二供应商，价差 5 倍</t>
        </is>
      </c>
      <c r="I708" t="inlineStr">
        <is>
          <t>LT-IS6312XG-4XS8GT</t>
        </is>
      </c>
      <c r="J708" t="inlineStr">
        <is>
          <t>官网联系页（HMS 名录只公开地址与网址）</t>
        </is>
      </c>
      <c r="K708" t="inlineStr">
        <is>
          <t>★★★</t>
        </is>
      </c>
      <c r="L708" t="inlineStr">
        <is>
          <t>未触达</t>
        </is>
      </c>
      <c r="M708" t="inlineStr">
        <is>
          <t>2026-09-22</t>
        </is>
      </c>
      <c r="N708" t="inlineStr"/>
      <c r="O708" t="inlineStr"/>
      <c r="P708" t="inlineStr"/>
      <c r="Q708" t="inlineStr">
        <is>
          <t>覆盖 40+ 州；有售前+售后支持；⚠️ 中国产地不能做 TAA/NDAA 政府/电力项目，只谈商业渠道</t>
        </is>
      </c>
      <c r="R708" t="inlineStr">
        <is>
          <t>C</t>
        </is>
      </c>
      <c r="S708" t="inlineStr">
        <is>
          <t>备注含「覆盖 40」，决策链长或存在品牌冲突</t>
        </is>
      </c>
      <c r="T708" t="inlineStr">
        <is>
          <t>C-115</t>
        </is>
      </c>
      <c r="U708" t="inlineStr">
        <is>
          <t>太难·规模过大/决策链长</t>
        </is>
      </c>
      <c r="V708" t="inlineStr"/>
    </row>
    <row r="709">
      <c r="A709" t="inlineStr">
        <is>
          <t>The Reynolds Company</t>
        </is>
      </c>
      <c r="B709" t="inlineStr">
        <is>
          <t>美国</t>
        </is>
      </c>
      <c r="C709" t="inlineStr">
        <is>
          <t>TX</t>
        </is>
      </c>
      <c r="D709" t="inlineStr">
        <is>
          <t>reynoldsonline.com</t>
        </is>
      </c>
      <c r="E709" t="inlineStr">
        <is>
          <t>分销（HMS/N-Tron·Red Lion 渠道）</t>
        </is>
      </c>
      <c r="F709" t="inlineStr">
        <is>
          <t>N-Tron + Red Lion + Anybus + Ewon</t>
        </is>
      </c>
      <c r="G709" t="inlineStr">
        <is>
          <t>否</t>
        </is>
      </c>
      <c r="H709" t="inlineStr">
        <is>
          <t>卖 N-Tron/Red Lion 工业交换机（8口约 $500+）→ 中性货同规格 LT-IS6310G 约 $91，做第二供应商，价差 5 倍</t>
        </is>
      </c>
      <c r="I709" t="inlineStr">
        <is>
          <t>LT-IS6312XGP-4XS8GT</t>
        </is>
      </c>
      <c r="J709" t="inlineStr">
        <is>
          <t>官网联系页（HMS 名录只公开地址与网址）</t>
        </is>
      </c>
      <c r="K709" t="inlineStr">
        <is>
          <t>★★★</t>
        </is>
      </c>
      <c r="L709" t="inlineStr">
        <is>
          <t>未触达</t>
        </is>
      </c>
      <c r="M709" t="inlineStr">
        <is>
          <t>2026-09-22</t>
        </is>
      </c>
      <c r="N709" t="inlineStr"/>
      <c r="O709" t="inlineStr"/>
      <c r="P709" t="inlineStr"/>
      <c r="Q709" t="inlineStr">
        <is>
          <t>覆盖 40+ 州；德州工业分销；⚠️ 中国产地不能做 TAA/NDAA 政府/电力项目，只谈商业渠道</t>
        </is>
      </c>
      <c r="R709" t="inlineStr">
        <is>
          <t>C</t>
        </is>
      </c>
      <c r="S709" t="inlineStr">
        <is>
          <t>备注含「覆盖 40」，决策链长或存在品牌冲突</t>
        </is>
      </c>
      <c r="T709" t="inlineStr">
        <is>
          <t>C-116</t>
        </is>
      </c>
      <c r="U709" t="inlineStr">
        <is>
          <t>太难·规模过大/决策链长</t>
        </is>
      </c>
      <c r="V709" t="inlineStr"/>
    </row>
    <row r="710">
      <c r="A710" t="inlineStr">
        <is>
          <t>Torpey Denver Inc</t>
        </is>
      </c>
      <c r="B710" t="inlineStr">
        <is>
          <t>美国</t>
        </is>
      </c>
      <c r="C710" t="inlineStr">
        <is>
          <t>CO</t>
        </is>
      </c>
      <c r="D710" t="inlineStr"/>
      <c r="E710" t="inlineStr">
        <is>
          <t>分销（HMS/N-Tron·Red Lion 渠道）</t>
        </is>
      </c>
      <c r="F710" t="inlineStr">
        <is>
          <t>N-Tron + Red Lion</t>
        </is>
      </c>
      <c r="G710" t="inlineStr">
        <is>
          <t>否</t>
        </is>
      </c>
      <c r="H710" t="inlineStr">
        <is>
          <t>卖 N-Tron/Red Lion 工业交换机（8口约 $500+）→ 中性货同规格 LT-IS6310G 约 $91，做第二供应商，价差 5 倍</t>
        </is>
      </c>
      <c r="I710" t="inlineStr">
        <is>
          <t>LT-IS6312XG-4XS8GT</t>
        </is>
      </c>
      <c r="J710" t="inlineStr">
        <is>
          <t>官网联系页（HMS 名录只公开地址与网址）</t>
        </is>
      </c>
      <c r="K710" t="inlineStr">
        <is>
          <t>★★</t>
        </is>
      </c>
      <c r="L710" t="inlineStr">
        <is>
          <t>未触达</t>
        </is>
      </c>
      <c r="M710" t="inlineStr">
        <is>
          <t>2026-09-22</t>
        </is>
      </c>
      <c r="N710" t="inlineStr"/>
      <c r="O710" t="inlineStr"/>
      <c r="P710" t="inlineStr"/>
      <c r="Q710" t="inlineStr">
        <is>
          <t>覆盖 40+ 州；无公开网址；⚠️ 中国产地不能做 TAA/NDAA 政府/电力项目，只谈商业渠道</t>
        </is>
      </c>
      <c r="R710" t="inlineStr">
        <is>
          <t>C</t>
        </is>
      </c>
      <c r="S710" t="inlineStr">
        <is>
          <t>备注含「覆盖 40」，决策链长或存在品牌冲突</t>
        </is>
      </c>
      <c r="T710" t="inlineStr">
        <is>
          <t>C-117</t>
        </is>
      </c>
      <c r="U710" t="inlineStr">
        <is>
          <t>太难·规模过大/决策链长</t>
        </is>
      </c>
      <c r="V710" t="inlineStr"/>
    </row>
    <row r="711">
      <c r="A711" t="inlineStr">
        <is>
          <t>Tri-Power MPT/OTP Industrial Solutions</t>
        </is>
      </c>
      <c r="B711" t="inlineStr">
        <is>
          <t>美国</t>
        </is>
      </c>
      <c r="C711" t="inlineStr">
        <is>
          <t>OH</t>
        </is>
      </c>
      <c r="D711" t="inlineStr">
        <is>
          <t>otcindustrial.com</t>
        </is>
      </c>
      <c r="E711" t="inlineStr">
        <is>
          <t>分销（HMS/N-Tron·Red Lion 渠道）</t>
        </is>
      </c>
      <c r="F711" t="inlineStr">
        <is>
          <t>N-Tron + Red Lion + Anybus + Ewon</t>
        </is>
      </c>
      <c r="G711" t="inlineStr">
        <is>
          <t>否</t>
        </is>
      </c>
      <c r="H711" t="inlineStr">
        <is>
          <t>卖 N-Tron/Red Lion 工业交换机（8口约 $500+）→ 中性货同规格 LT-IS6310G 约 $91，做第二供应商，价差 5 倍</t>
        </is>
      </c>
      <c r="I711" t="inlineStr">
        <is>
          <t>LT-IS6312XGP-4XS8GT</t>
        </is>
      </c>
      <c r="J711" t="inlineStr">
        <is>
          <t>官网联系页（HMS 名录只公开地址与网址）</t>
        </is>
      </c>
      <c r="K711" t="inlineStr">
        <is>
          <t>★★★</t>
        </is>
      </c>
      <c r="L711" t="inlineStr">
        <is>
          <t>未触达</t>
        </is>
      </c>
      <c r="M711" t="inlineStr">
        <is>
          <t>2026-09-22</t>
        </is>
      </c>
      <c r="N711" t="inlineStr"/>
      <c r="O711" t="inlineStr"/>
      <c r="P711" t="inlineStr"/>
      <c r="Q711" t="inlineStr">
        <is>
          <t>覆盖 40+ 州；有售前+售后支持；⚠️ 中国产地不能做 TAA/NDAA 政府/电力项目，只谈商业渠道</t>
        </is>
      </c>
      <c r="R711" t="inlineStr">
        <is>
          <t>C</t>
        </is>
      </c>
      <c r="S711" t="inlineStr">
        <is>
          <t>备注含「覆盖 40」，决策链长或存在品牌冲突</t>
        </is>
      </c>
      <c r="T711" t="inlineStr">
        <is>
          <t>C-118</t>
        </is>
      </c>
      <c r="U711" t="inlineStr">
        <is>
          <t>太难·规模过大/决策链长</t>
        </is>
      </c>
      <c r="V711" t="inlineStr"/>
    </row>
    <row r="712">
      <c r="A712" t="inlineStr">
        <is>
          <t>Werner Electric</t>
        </is>
      </c>
      <c r="B712" t="inlineStr">
        <is>
          <t>美国</t>
        </is>
      </c>
      <c r="C712" t="inlineStr">
        <is>
          <t>WI</t>
        </is>
      </c>
      <c r="D712" t="inlineStr">
        <is>
          <t>wernerelectric.com</t>
        </is>
      </c>
      <c r="E712" t="inlineStr">
        <is>
          <t>分销（HMS/N-Tron·Red Lion 渠道）</t>
        </is>
      </c>
      <c r="F712" t="inlineStr">
        <is>
          <t>N-Tron + Red Lion + Anybus + Ewon + Ixxat</t>
        </is>
      </c>
      <c r="G712" t="inlineStr">
        <is>
          <t>否</t>
        </is>
      </c>
      <c r="H712" t="inlineStr">
        <is>
          <t>卖 N-Tron/Red Lion 工业交换机（8口约 $500+）→ 中性货同规格 LT-IS6310G 约 $91，做第二供应商，价差 5 倍</t>
        </is>
      </c>
      <c r="I712" t="inlineStr">
        <is>
          <t>LT-IS6312XGP-4XS8GT</t>
        </is>
      </c>
      <c r="J712" t="inlineStr">
        <is>
          <t>官网联系页（HMS 名录只公开地址与网址）</t>
        </is>
      </c>
      <c r="K712" t="inlineStr">
        <is>
          <t>★★★</t>
        </is>
      </c>
      <c r="L712" t="inlineStr">
        <is>
          <t>未触达</t>
        </is>
      </c>
      <c r="M712" t="inlineStr">
        <is>
          <t>2026-09-22</t>
        </is>
      </c>
      <c r="N712" t="inlineStr"/>
      <c r="O712" t="inlineStr"/>
      <c r="P712" t="inlineStr"/>
      <c r="Q712" t="inlineStr">
        <is>
          <t>覆盖 40+ 州；威斯康星工业分销；⚠️ 中国产地不能做 TAA/NDAA 政府/电力项目，只谈商业渠道</t>
        </is>
      </c>
      <c r="R712" t="inlineStr">
        <is>
          <t>C</t>
        </is>
      </c>
      <c r="S712" t="inlineStr">
        <is>
          <t>备注含「覆盖 40」，决策链长或存在品牌冲突</t>
        </is>
      </c>
      <c r="T712" t="inlineStr">
        <is>
          <t>C-119</t>
        </is>
      </c>
      <c r="U712" t="inlineStr">
        <is>
          <t>太难·规模过大/决策链长</t>
        </is>
      </c>
      <c r="V712" t="inlineStr"/>
    </row>
    <row r="713">
      <c r="A713" t="inlineStr">
        <is>
          <t>Wesco</t>
        </is>
      </c>
      <c r="B713" t="inlineStr">
        <is>
          <t>美国</t>
        </is>
      </c>
      <c r="C713" t="inlineStr">
        <is>
          <t>NC</t>
        </is>
      </c>
      <c r="D713" t="inlineStr">
        <is>
          <t>wesco.com</t>
        </is>
      </c>
      <c r="E713" t="inlineStr">
        <is>
          <t>分销（HMS/N-Tron·Red Lion 渠道）</t>
        </is>
      </c>
      <c r="F713" t="inlineStr">
        <is>
          <t>N-Tron + Red Lion + Anybus + Ewon</t>
        </is>
      </c>
      <c r="G713" t="inlineStr">
        <is>
          <t>否</t>
        </is>
      </c>
      <c r="H713" t="inlineStr">
        <is>
          <t>卖 N-Tron/Red Lion 工业交换机（8口约 $500+）→ 中性货同规格 LT-IS6310G 约 $91，做第二供应商，价差 5 倍</t>
        </is>
      </c>
      <c r="I713" t="inlineStr">
        <is>
          <t>LT-IS6312XG-4XS8GT</t>
        </is>
      </c>
      <c r="J713" t="inlineStr">
        <is>
          <t>官网联系页（HMS 名录只公开地址与网址）</t>
        </is>
      </c>
      <c r="K713" t="inlineStr">
        <is>
          <t>★★★</t>
        </is>
      </c>
      <c r="L713" t="inlineStr">
        <is>
          <t>未触达</t>
        </is>
      </c>
      <c r="M713" t="inlineStr">
        <is>
          <t>2026-09-22</t>
        </is>
      </c>
      <c r="N713" t="inlineStr"/>
      <c r="O713" t="inlineStr"/>
      <c r="P713" t="inlineStr"/>
      <c r="Q713" t="inlineStr">
        <is>
          <t>★ 北美最大电气分销之一（原 Anixter）；目录里 9 个分部：NC Charlotte·Raleigh / SC Greenville / VA Chesapeake·Midlothian·Lynchburg·Norfolk·Roanoke·Hampton；⚠️ 中国产地不能做 TAA/NDAA 政府/电力项目，只谈商业渠道；【2026-09-22 补】PLANET（台厂工业/商用交换机）授权分销渠道。</t>
        </is>
      </c>
      <c r="R713" t="inlineStr">
        <is>
          <t>C</t>
        </is>
      </c>
      <c r="S713" t="inlineStr">
        <is>
          <t>备注含「最大」，决策链长或存在品牌冲突</t>
        </is>
      </c>
      <c r="T713" t="inlineStr">
        <is>
          <t>C-120</t>
        </is>
      </c>
      <c r="U713" t="inlineStr">
        <is>
          <t>太难·规模过大/决策链长</t>
        </is>
      </c>
      <c r="V713" t="inlineStr"/>
    </row>
    <row r="714">
      <c r="A714" t="inlineStr">
        <is>
          <t>LaboTest Oy</t>
        </is>
      </c>
      <c r="B714" t="inlineStr">
        <is>
          <t>芬兰</t>
        </is>
      </c>
      <c r="C714" t="inlineStr"/>
      <c r="D714" t="inlineStr">
        <is>
          <t>labotest.fi</t>
        </is>
      </c>
      <c r="E714" t="inlineStr">
        <is>
          <t>分销（ORing 授权）</t>
        </is>
      </c>
      <c r="F714" t="inlineStr">
        <is>
          <t>ORing</t>
        </is>
      </c>
      <c r="G714" t="inlineStr">
        <is>
          <t>否</t>
        </is>
      </c>
      <c r="H714" t="inlineStr">
        <is>
          <t>芬兰分销</t>
        </is>
      </c>
      <c r="I714" t="inlineStr">
        <is>
          <t>LT-IS6312XG-4XS8GT</t>
        </is>
      </c>
      <c r="J714" t="inlineStr">
        <is>
          <t>+358 29 0039 600</t>
        </is>
      </c>
      <c r="K714" t="inlineStr">
        <is>
          <t>★★★</t>
        </is>
      </c>
      <c r="L714" t="inlineStr">
        <is>
          <t>未触达</t>
        </is>
      </c>
      <c r="M714" t="inlineStr">
        <is>
          <t>ORing经销商名录/2026-09</t>
        </is>
      </c>
      <c r="N714" t="inlineStr"/>
      <c r="O714" t="inlineStr"/>
      <c r="P714" t="inlineStr"/>
      <c r="Q714" t="inlineStr">
        <is>
          <t>【关联】同集团另一实体：LaboTest Oy（芬兰）（labotest.se）</t>
        </is>
      </c>
      <c r="R714" t="inlineStr">
        <is>
          <t>C</t>
        </is>
      </c>
      <c r="S714" t="inlineStr">
        <is>
          <t>备注含「集团」，决策链长或存在品牌冲突</t>
        </is>
      </c>
      <c r="T714" t="inlineStr">
        <is>
          <t>C-121</t>
        </is>
      </c>
      <c r="U714" t="inlineStr">
        <is>
          <t>太难·规模过大/决策链长</t>
        </is>
      </c>
      <c r="V714" t="inlineStr"/>
    </row>
    <row r="715">
      <c r="A715" t="inlineStr">
        <is>
          <t>AMG Systems</t>
        </is>
      </c>
      <c r="B715" t="inlineStr">
        <is>
          <t>英国</t>
        </is>
      </c>
      <c r="C715" t="inlineStr"/>
      <c r="D715" t="inlineStr">
        <is>
          <t>—</t>
        </is>
      </c>
      <c r="E715" t="inlineStr">
        <is>
          <t>品牌（竞品）</t>
        </is>
      </c>
      <c r="F715" t="inlineStr">
        <is>
          <t>AMG</t>
        </is>
      </c>
      <c r="G715" t="inlineStr">
        <is>
          <t>是</t>
        </is>
      </c>
      <c r="H715" t="inlineStr">
        <is>
          <t>打其下游集成商</t>
        </is>
      </c>
      <c r="I715" t="inlineStr">
        <is>
          <t>—</t>
        </is>
      </c>
      <c r="J715" t="inlineStr">
        <is>
          <t>—</t>
        </is>
      </c>
      <c r="K715" t="inlineStr">
        <is>
          <t>★</t>
        </is>
      </c>
      <c r="L715" t="inlineStr">
        <is>
          <t>未触达</t>
        </is>
      </c>
      <c r="M715" t="inlineStr">
        <is>
          <t>反向信号/2026-09</t>
        </is>
      </c>
      <c r="N715" t="inlineStr"/>
      <c r="O715" t="inlineStr"/>
      <c r="P715" t="inlineStr"/>
      <c r="Q715" t="inlineStr"/>
      <c r="R715" t="inlineStr">
        <is>
          <t>C</t>
        </is>
      </c>
      <c r="S715" t="inlineStr">
        <is>
          <t>类型属大盘/自有品牌（品牌（竞品）），决策链长或存在品牌冲突</t>
        </is>
      </c>
      <c r="T715" t="inlineStr">
        <is>
          <t>C-122</t>
        </is>
      </c>
      <c r="U715" t="inlineStr">
        <is>
          <t>竞品</t>
        </is>
      </c>
      <c r="V715" t="inlineStr"/>
    </row>
    <row r="716">
      <c r="A716" t="inlineStr">
        <is>
          <t>Amplicon（英国）</t>
        </is>
      </c>
      <c r="B716" t="inlineStr">
        <is>
          <t>英国</t>
        </is>
      </c>
      <c r="C716" t="inlineStr">
        <is>
          <t>Brighton</t>
        </is>
      </c>
      <c r="D716" t="inlineStr">
        <is>
          <t>amplicon.com</t>
        </is>
      </c>
      <c r="E716" t="inlineStr">
        <is>
          <t>分销（Moxa 授权）</t>
        </is>
      </c>
      <c r="F716" t="inlineStr">
        <is>
          <t>英国工业计算与网络设备分销商，可供应 Moxa 全线产品，含 EDS-205A、EDS-405A 工业以太网交换机与 NPort 串口服务器</t>
        </is>
      </c>
      <c r="G716" t="inlineStr">
        <is>
          <t>否</t>
        </is>
      </c>
      <c r="H716" t="inlineStr">
        <is>
          <t>台厂渠道话术</t>
        </is>
      </c>
      <c r="I716" t="inlineStr">
        <is>
          <t>LT-IS6312XGP-4XS8GT</t>
        </is>
      </c>
      <c r="J716" t="inlineStr">
        <is>
          <t>官网联系页</t>
        </is>
      </c>
      <c r="K716" t="inlineStr">
        <is>
          <t>★★</t>
        </is>
      </c>
      <c r="L716" t="inlineStr">
        <is>
          <t>未触达</t>
        </is>
      </c>
      <c r="M716" t="inlineStr">
        <is>
          <t>Moxa 渠道名录（经销商定位法）</t>
        </is>
      </c>
      <c r="N716" t="inlineStr"/>
      <c r="O716" t="inlineStr"/>
      <c r="P716" t="inlineStr"/>
      <c r="Q716" t="inlineStr">
        <is>
          <t>【2026-09-22 补】经 Moxa 渠道名录确认为 Moxa 官方分销商（台厂 Moxa 旗下欧洲/北美渠道）。注意：库内另有「Amplicon Middle East」（阿联酋，区域外 C 级）为其集团中东分支，此为英国主体，需分开跟进。</t>
        </is>
      </c>
      <c r="R716" t="inlineStr">
        <is>
          <t>C</t>
        </is>
      </c>
      <c r="S716" t="inlineStr">
        <is>
          <t>备注含「集团」，决策链长或存在品牌冲突</t>
        </is>
      </c>
      <c r="T716" t="inlineStr">
        <is>
          <t>C-123</t>
        </is>
      </c>
      <c r="U716" t="inlineStr">
        <is>
          <t>太难·规模过大/决策链长</t>
        </is>
      </c>
      <c r="V716" t="inlineStr"/>
    </row>
    <row r="717">
      <c r="A717" t="inlineStr">
        <is>
          <t>Bamidele Richard Amire / Nistech</t>
        </is>
      </c>
      <c r="B717" t="inlineStr">
        <is>
          <t>英国</t>
        </is>
      </c>
      <c r="C717" t="inlineStr">
        <is>
          <t>London</t>
        </is>
      </c>
      <c r="D717" t="inlineStr">
        <is>
          <t>nistechltd.net</t>
        </is>
      </c>
      <c r="E717" t="inlineStr">
        <is>
          <t>集成商/顾问（MikroTik 认证）</t>
        </is>
      </c>
      <c r="F717" t="inlineStr">
        <is>
          <t>MikroTik 认证顾问 MTCNA+MTCRE+MTCWE+MTCTCE+MTCUME+MTCINE+MTCIPv6E</t>
        </is>
      </c>
      <c r="G717" t="inlineStr">
        <is>
          <t>否</t>
        </is>
      </c>
      <c r="H717" t="inlineStr">
        <is>
          <t>MikroTik 认证顾问：自己做方案/集成/运维并自行采购设备 → 用 ERPS/IGMP/VLAN/CLI/MIB 这类技术语言切入，不打价格战</t>
        </is>
      </c>
      <c r="I717" t="inlineStr">
        <is>
          <t>LT-S8328XGP-4XS24GT-S</t>
        </is>
      </c>
      <c r="J717" t="inlineStr">
        <is>
          <t>+44 7498 168213 / richard@nistechltd.net</t>
        </is>
      </c>
      <c r="K717" t="inlineStr">
        <is>
          <t>★★★</t>
        </is>
      </c>
      <c r="L717" t="inlineStr">
        <is>
          <t>未触达</t>
        </is>
      </c>
      <c r="M717" t="inlineStr">
        <is>
          <t>2026-09-22</t>
        </is>
      </c>
      <c r="N717" t="inlineStr"/>
      <c r="O717" t="inlineStr"/>
      <c r="P717" t="inlineStr"/>
      <c r="Q717" t="inlineStr">
        <is>
          <t>多厂商集成、MPLS/VRF、QoS、策略路由、大型无线与**光纤网络**、Hotspot/User-Manager、IPv6 部署</t>
        </is>
      </c>
      <c r="R717" t="inlineStr">
        <is>
          <t>C</t>
        </is>
      </c>
      <c r="S717" t="inlineStr">
        <is>
          <t>备注含「大型」，决策链长或存在品牌冲突</t>
        </is>
      </c>
      <c r="T717" t="inlineStr">
        <is>
          <t>C-124</t>
        </is>
      </c>
      <c r="U717" t="inlineStr">
        <is>
          <t>太难·规模过大/决策链长</t>
        </is>
      </c>
      <c r="V717" t="inlineStr"/>
    </row>
    <row r="718">
      <c r="A718" t="inlineStr">
        <is>
          <t>EET United Kingdom</t>
        </is>
      </c>
      <c r="B718" t="inlineStr">
        <is>
          <t>英国</t>
        </is>
      </c>
      <c r="C718" t="inlineStr"/>
      <c r="D718" t="inlineStr">
        <is>
          <t>eetgroup.com</t>
        </is>
      </c>
      <c r="E718" t="inlineStr">
        <is>
          <t>分销（MikroTik 官方）</t>
        </is>
      </c>
      <c r="F718" t="inlineStr">
        <is>
          <t>MikroTik（Reseller）</t>
        </is>
      </c>
      <c r="G718" t="inlineStr">
        <is>
          <t>否</t>
        </is>
      </c>
      <c r="H718" t="inlineStr">
        <is>
          <t>EET 集团=北欧最大 IT 分销，英国+挪威+丹麦+芬兰+瑞典都有实体</t>
        </is>
      </c>
      <c r="I718" t="inlineStr">
        <is>
          <t>LT-S8328XG-4XS8GT-S</t>
        </is>
      </c>
      <c r="J718" t="inlineStr">
        <is>
          <t>+44 333 241 9251 / sales@eet.co.uk</t>
        </is>
      </c>
      <c r="K718" t="inlineStr">
        <is>
          <t>★★★</t>
        </is>
      </c>
      <c r="L718" t="inlineStr">
        <is>
          <t>未触达</t>
        </is>
      </c>
      <c r="M718" t="inlineStr">
        <is>
          <t>2026-09-22</t>
        </is>
      </c>
      <c r="N718" t="inlineStr"/>
      <c r="O718" t="inlineStr"/>
      <c r="P718" t="inlineStr"/>
      <c r="Q718" t="inlineStr">
        <is>
          <t>Uxbridge；泛欧大分销</t>
        </is>
      </c>
      <c r="R718" t="inlineStr">
        <is>
          <t>C</t>
        </is>
      </c>
      <c r="S718" t="inlineStr">
        <is>
          <t>备注含「大分销」，决策链长或存在品牌冲突</t>
        </is>
      </c>
      <c r="T718" t="inlineStr">
        <is>
          <t>C-125</t>
        </is>
      </c>
      <c r="U718" t="inlineStr">
        <is>
          <t>太难·规模过大/决策链长</t>
        </is>
      </c>
      <c r="V718" t="inlineStr"/>
    </row>
    <row r="719">
      <c r="A719" t="inlineStr">
        <is>
          <t>Jason Ede / ASK4</t>
        </is>
      </c>
      <c r="B719" t="inlineStr">
        <is>
          <t>英国</t>
        </is>
      </c>
      <c r="C719" t="inlineStr">
        <is>
          <t>Sheffield</t>
        </is>
      </c>
      <c r="D719" t="inlineStr">
        <is>
          <t>ask4.com</t>
        </is>
      </c>
      <c r="E719" t="inlineStr">
        <is>
          <t>集成商/顾问（MikroTik 认证）</t>
        </is>
      </c>
      <c r="F719" t="inlineStr">
        <is>
          <t>MikroTik 认证顾问 MTCNA+MTCRE+MTCTCE+MTCINE+MTCSE+MTCSWE</t>
        </is>
      </c>
      <c r="G719" t="inlineStr">
        <is>
          <t>否</t>
        </is>
      </c>
      <c r="H719" t="inlineStr">
        <is>
          <t>MikroTik 认证顾问：自己做方案/集成/运维并自行采购设备 → 用 ERPS/IGMP/VLAN/CLI/MIB 这类技术语言切入，不打价格战</t>
        </is>
      </c>
      <c r="I719" t="inlineStr">
        <is>
          <t>LT-S8328GP-4GX24GT-S</t>
        </is>
      </c>
      <c r="J719" t="inlineStr">
        <is>
          <t>+44 114 321 0555 / jason.ede@ask4.com</t>
        </is>
      </c>
      <c r="K719" t="inlineStr">
        <is>
          <t>★★★</t>
        </is>
      </c>
      <c r="L719" t="inlineStr">
        <is>
          <t>未触达</t>
        </is>
      </c>
      <c r="M719" t="inlineStr">
        <is>
          <t>2026-09-22</t>
        </is>
      </c>
      <c r="N719" t="inlineStr"/>
      <c r="O719" t="inlineStr"/>
      <c r="P719" t="inlineStr"/>
      <c r="Q719" t="inlineStr">
        <is>
          <t>★ 持 MTCSWE；ASK4 是英国大型 ISP（学生公寓/MDU 宽带）；技能含交换、VLAN、防火墙、路由、专线</t>
        </is>
      </c>
      <c r="R719" t="inlineStr">
        <is>
          <t>C</t>
        </is>
      </c>
      <c r="S719" t="inlineStr">
        <is>
          <t>备注含「大型」，决策链长或存在品牌冲突</t>
        </is>
      </c>
      <c r="T719" t="inlineStr">
        <is>
          <t>C-126</t>
        </is>
      </c>
      <c r="U719" t="inlineStr">
        <is>
          <t>太难·规模过大/决策链长</t>
        </is>
      </c>
      <c r="V719" t="inlineStr"/>
    </row>
    <row r="720">
      <c r="A720" t="inlineStr">
        <is>
          <t>MCC Controls Ltd T/A PES Ireland</t>
        </is>
      </c>
      <c r="B720" t="inlineStr">
        <is>
          <t>英国</t>
        </is>
      </c>
      <c r="C720" t="inlineStr">
        <is>
          <t>Dublin（爱尔兰）</t>
        </is>
      </c>
      <c r="D720" t="inlineStr">
        <is>
          <t>parkelect.com</t>
        </is>
      </c>
      <c r="E720" t="inlineStr">
        <is>
          <t>分销（HMS/N-Tron·Red Lion 渠道）</t>
        </is>
      </c>
      <c r="F720" t="inlineStr">
        <is>
          <t>N-Tron + Red Lion + Anybus + Ewon + Intesis</t>
        </is>
      </c>
      <c r="G720" t="inlineStr">
        <is>
          <t>否</t>
        </is>
      </c>
      <c r="H720" t="inlineStr">
        <is>
          <t>卖 N-Tron/Red Lion 工业交换机（8口非网管约 $500+）→ 中性货同规格 LT-IS6310G 约 $91，做第二供应商/替换，价差 5 倍</t>
        </is>
      </c>
      <c r="I720" t="inlineStr">
        <is>
          <t>LT-IS6312XGP-4XS8GT</t>
        </is>
      </c>
      <c r="J720" t="inlineStr">
        <is>
          <t>官网联系页（HMS 名录只公开地址与网址）</t>
        </is>
      </c>
      <c r="K720" t="inlineStr">
        <is>
          <t>★★★</t>
        </is>
      </c>
      <c r="L720" t="inlineStr">
        <is>
          <t>未触达</t>
        </is>
      </c>
      <c r="M720" t="inlineStr">
        <is>
          <t>2026-09-22</t>
        </is>
      </c>
      <c r="N720" t="inlineStr"/>
      <c r="O720" t="inlineStr"/>
      <c r="P720" t="inlineStr"/>
      <c r="Q720" t="inlineStr">
        <is>
          <t>Park Electrical 集团爱尔兰分部</t>
        </is>
      </c>
      <c r="R720" t="inlineStr">
        <is>
          <t>C</t>
        </is>
      </c>
      <c r="S720" t="inlineStr">
        <is>
          <t>备注含「集团」，决策链长或存在品牌冲突</t>
        </is>
      </c>
      <c r="T720" t="inlineStr">
        <is>
          <t>C-127</t>
        </is>
      </c>
      <c r="U720" t="inlineStr">
        <is>
          <t>太难·规模过大/决策链长</t>
        </is>
      </c>
      <c r="V720" t="inlineStr"/>
    </row>
    <row r="721">
      <c r="A721" t="inlineStr">
        <is>
          <t>Park Electrical Services</t>
        </is>
      </c>
      <c r="B721" t="inlineStr">
        <is>
          <t>英国</t>
        </is>
      </c>
      <c r="C721" t="inlineStr">
        <is>
          <t>Belfast（北爱）</t>
        </is>
      </c>
      <c r="D721" t="inlineStr">
        <is>
          <t>parkelect.co.uk</t>
        </is>
      </c>
      <c r="E721" t="inlineStr">
        <is>
          <t>分销（HMS/N-Tron·Red Lion 渠道）</t>
        </is>
      </c>
      <c r="F721" t="inlineStr">
        <is>
          <t>N-Tron + Red Lion + Anybus + Ewon + Ixxat</t>
        </is>
      </c>
      <c r="G721" t="inlineStr">
        <is>
          <t>否</t>
        </is>
      </c>
      <c r="H721" t="inlineStr">
        <is>
          <t>卖 N-Tron/Red Lion 工业交换机（8口非网管约 $500+）→ 中性货同规格 LT-IS6310G 约 $91，做第二供应商/替换，价差 5 倍</t>
        </is>
      </c>
      <c r="I721" t="inlineStr">
        <is>
          <t>LT-IS6312XGP-4XS8GT</t>
        </is>
      </c>
      <c r="J721" t="inlineStr">
        <is>
          <t>官网联系页（HMS 名录只公开地址与网址）</t>
        </is>
      </c>
      <c r="K721" t="inlineStr">
        <is>
          <t>★★★</t>
        </is>
      </c>
      <c r="L721" t="inlineStr">
        <is>
          <t>未触达</t>
        </is>
      </c>
      <c r="M721" t="inlineStr">
        <is>
          <t>2026-09-22</t>
        </is>
      </c>
      <c r="N721" t="inlineStr"/>
      <c r="O721" t="inlineStr"/>
      <c r="P721" t="inlineStr"/>
      <c r="Q721" t="inlineStr">
        <is>
          <t>Park Electrical 集团总部</t>
        </is>
      </c>
      <c r="R721" t="inlineStr">
        <is>
          <t>C</t>
        </is>
      </c>
      <c r="S721" t="inlineStr">
        <is>
          <t>备注含「集团」，决策链长或存在品牌冲突</t>
        </is>
      </c>
      <c r="T721" t="inlineStr">
        <is>
          <t>C-128</t>
        </is>
      </c>
      <c r="U721" t="inlineStr">
        <is>
          <t>太难·规模过大/决策链长</t>
        </is>
      </c>
      <c r="V721" t="inlineStr"/>
    </row>
    <row r="722">
      <c r="A722" t="inlineStr">
        <is>
          <t>Parmley Graham Ltd</t>
        </is>
      </c>
      <c r="B722" t="inlineStr">
        <is>
          <t>英国</t>
        </is>
      </c>
      <c r="C722" t="inlineStr">
        <is>
          <t>Gateshead</t>
        </is>
      </c>
      <c r="D722" t="inlineStr">
        <is>
          <t>parmley-graham.co.uk</t>
        </is>
      </c>
      <c r="E722" t="inlineStr">
        <is>
          <t>分销（HMS/N-Tron·Red Lion 渠道）</t>
        </is>
      </c>
      <c r="F722" t="inlineStr">
        <is>
          <t>N-Tron + Red Lion + Anybus + Ewon</t>
        </is>
      </c>
      <c r="G722" t="inlineStr">
        <is>
          <t>否</t>
        </is>
      </c>
      <c r="H722" t="inlineStr">
        <is>
          <t>卖 N-Tron/Red Lion 工业交换机（8口非网管约 $500+）→ 中性货同规格 LT-IS6310G 约 $91，做第二供应商/替换，价差 5 倍</t>
        </is>
      </c>
      <c r="I722" t="inlineStr">
        <is>
          <t>LT-IS6312XGP-4XS8GT</t>
        </is>
      </c>
      <c r="J722" t="inlineStr">
        <is>
          <t>官网联系页（HMS 名录只公开地址与网址）</t>
        </is>
      </c>
      <c r="K722" t="inlineStr">
        <is>
          <t>★★★</t>
        </is>
      </c>
      <c r="L722" t="inlineStr">
        <is>
          <t>未触达</t>
        </is>
      </c>
      <c r="M722" t="inlineStr">
        <is>
          <t>2026-09-22</t>
        </is>
      </c>
      <c r="N722" t="inlineStr"/>
      <c r="O722" t="inlineStr"/>
      <c r="P722" t="inlineStr"/>
      <c r="Q722" t="inlineStr">
        <is>
          <t>英国老牌工业自动化分销</t>
        </is>
      </c>
      <c r="R722" t="inlineStr">
        <is>
          <t>C</t>
        </is>
      </c>
      <c r="S722" t="inlineStr">
        <is>
          <t>备注含「老牌」，决策链长或存在品牌冲突</t>
        </is>
      </c>
      <c r="T722" t="inlineStr">
        <is>
          <t>C-129</t>
        </is>
      </c>
      <c r="U722" t="inlineStr">
        <is>
          <t>其他</t>
        </is>
      </c>
      <c r="V722" t="inlineStr"/>
    </row>
    <row r="723">
      <c r="A723" t="inlineStr">
        <is>
          <t>Routeco Limited</t>
        </is>
      </c>
      <c r="B723" t="inlineStr">
        <is>
          <t>英国</t>
        </is>
      </c>
      <c r="C723" t="inlineStr">
        <is>
          <t>Milton Keynes</t>
        </is>
      </c>
      <c r="D723" t="inlineStr">
        <is>
          <t>routeco.com</t>
        </is>
      </c>
      <c r="E723" t="inlineStr">
        <is>
          <t>分销（HMS/N-Tron·Red Lion 渠道）</t>
        </is>
      </c>
      <c r="F723" t="inlineStr">
        <is>
          <t>N-Tron + Red Lion + Anybus + Ewon + Ixxat</t>
        </is>
      </c>
      <c r="G723" t="inlineStr">
        <is>
          <t>否</t>
        </is>
      </c>
      <c r="H723" t="inlineStr">
        <is>
          <t>卖 N-Tron/Red Lion 工业交换机（8口非网管约 $500+）→ 中性货同规格 LT-IS6310G 约 $91，做第二供应商/替换，价差 5 倍</t>
        </is>
      </c>
      <c r="I723" t="inlineStr">
        <is>
          <t>LT-IS6312XGP-4XS8GT</t>
        </is>
      </c>
      <c r="J723" t="inlineStr">
        <is>
          <t>官网联系页（HMS 名录只公开地址与网址）</t>
        </is>
      </c>
      <c r="K723" t="inlineStr">
        <is>
          <t>★★★</t>
        </is>
      </c>
      <c r="L723" t="inlineStr">
        <is>
          <t>未触达</t>
        </is>
      </c>
      <c r="M723" t="inlineStr">
        <is>
          <t>2026-09-22</t>
        </is>
      </c>
      <c r="N723" t="inlineStr"/>
      <c r="O723" t="inlineStr"/>
      <c r="P723" t="inlineStr"/>
      <c r="Q723" t="inlineStr">
        <is>
          <t>英国工业自动化大分销</t>
        </is>
      </c>
      <c r="R723" t="inlineStr">
        <is>
          <t>C</t>
        </is>
      </c>
      <c r="S723" t="inlineStr">
        <is>
          <t>备注含「大分销」，决策链长或存在品牌冲突</t>
        </is>
      </c>
      <c r="T723" t="inlineStr">
        <is>
          <t>C-130</t>
        </is>
      </c>
      <c r="U723" t="inlineStr">
        <is>
          <t>太难·规模过大/决策链长</t>
        </is>
      </c>
      <c r="V723" t="inlineStr"/>
    </row>
    <row r="724">
      <c r="A724" t="inlineStr">
        <is>
          <t>Samson Kamwendo / IP Architechs</t>
        </is>
      </c>
      <c r="B724" t="inlineStr">
        <is>
          <t>英国</t>
        </is>
      </c>
      <c r="C724" t="inlineStr">
        <is>
          <t>Peterborough</t>
        </is>
      </c>
      <c r="D724" t="inlineStr">
        <is>
          <t>iparchitechs.com</t>
        </is>
      </c>
      <c r="E724" t="inlineStr">
        <is>
          <t>集成商/顾问（MikroTik 认证）</t>
        </is>
      </c>
      <c r="F724" t="inlineStr">
        <is>
          <t>MikroTik 认证顾问 MTCNA+MTCUME</t>
        </is>
      </c>
      <c r="G724" t="inlineStr">
        <is>
          <t>否</t>
        </is>
      </c>
      <c r="H724" t="inlineStr">
        <is>
          <t>MikroTik 认证顾问：自己做方案/集成/运维并自行采购设备 → 用 ERPS/IGMP/VLAN/CLI/MIB 这类技术语言切入，不打价格战</t>
        </is>
      </c>
      <c r="I724" t="inlineStr">
        <is>
          <t>LT-S8328G-4XS24GT-S</t>
        </is>
      </c>
      <c r="J724" t="inlineStr">
        <is>
          <t>+44 7778 431460 / samson.kamwendo@iparchitechs.com</t>
        </is>
      </c>
      <c r="K724" t="inlineStr">
        <is>
          <t>★★★</t>
        </is>
      </c>
      <c r="L724" t="inlineStr">
        <is>
          <t>未触达</t>
        </is>
      </c>
      <c r="M724" t="inlineStr">
        <is>
          <t>2026-09-22</t>
        </is>
      </c>
      <c r="N724" t="inlineStr"/>
      <c r="O724" t="inlineStr"/>
      <c r="P724" t="inlineStr"/>
      <c r="Q724" t="inlineStr">
        <is>
          <t>★★★ 【升级：这家是跨国大所，不是普通顾问】自述「全球最大的 MikroTik 咨询公司之一，3 国设办公室、6 大洲有在建项目，客户含财富 500 强与上市公司，提供全球 24/7 支持」。公司内已知 3 位认证顾问：英国 Samson Kamwendo（MTCNA+MTCUME）、美国 Thomas Murdock（+1-855-645-7684 / thomas.murdock@iparchitechs.com，9 证）、Abraham Rios Velez（+1 303 590 9940 / abraham.rios@gmail.com，6 证，波多黎各出身，服务西语市场；西语站 es.iparchitechs.com）。★**交换专长（逐条列出）：VLAN（Q-in-Q、s/c tag、重写/翻译）、生成树、LACP 与绑定、GPON、二层传输设计、二层冗余**。无线含体育场/大型场馆；服务含 IPTV 与实时视频、SIP/H.323。→ 一家公司同时覆盖欧美与拉美</t>
        </is>
      </c>
      <c r="R724" t="inlineStr">
        <is>
          <t>C</t>
        </is>
      </c>
      <c r="S724" t="inlineStr">
        <is>
          <t>备注含「全球最大」，决策链长或存在品牌冲突</t>
        </is>
      </c>
      <c r="T724" t="inlineStr">
        <is>
          <t>C-131</t>
        </is>
      </c>
      <c r="U724" t="inlineStr">
        <is>
          <t>太难·规模过大/决策链长</t>
        </is>
      </c>
      <c r="V724" t="inlineStr"/>
    </row>
    <row r="725">
      <c r="A725" t="inlineStr">
        <is>
          <t>Senetic LTD（英国）</t>
        </is>
      </c>
      <c r="B725" t="inlineStr">
        <is>
          <t>英国</t>
        </is>
      </c>
      <c r="C725" t="inlineStr"/>
      <c r="D725" t="inlineStr">
        <is>
          <t>senetic.co.uk</t>
        </is>
      </c>
      <c r="E725" t="inlineStr">
        <is>
          <t>分销（MikroTik 官方）</t>
        </is>
      </c>
      <c r="F725" t="inlineStr">
        <is>
          <t>MikroTik（Reseller）</t>
        </is>
      </c>
      <c r="G725" t="inlineStr">
        <is>
          <t>否</t>
        </is>
      </c>
      <c r="H725" t="inlineStr">
        <is>
          <t>Senetic 集团英国站</t>
        </is>
      </c>
      <c r="I725" t="inlineStr">
        <is>
          <t>LT-S8328XG-4XS8GT-S</t>
        </is>
      </c>
      <c r="J725" t="inlineStr">
        <is>
          <t>+44 20 3666 5800 / info@senetic.co.uk</t>
        </is>
      </c>
      <c r="K725" t="inlineStr">
        <is>
          <t>★★</t>
        </is>
      </c>
      <c r="L725" t="inlineStr">
        <is>
          <t>未触达</t>
        </is>
      </c>
      <c r="M725" t="inlineStr">
        <is>
          <t>2026-09-22</t>
        </is>
      </c>
      <c r="N725" t="inlineStr"/>
      <c r="O725" t="inlineStr"/>
      <c r="P725" t="inlineStr"/>
      <c r="Q725" t="inlineStr">
        <is>
          <t>London 【关联】Senetic（同集团另有 pl / co.uk / fr / it / ch / se 站点，一国的采购决策可能由集团统一，谈一家等于谈七国）</t>
        </is>
      </c>
      <c r="R725" t="inlineStr">
        <is>
          <t>C</t>
        </is>
      </c>
      <c r="S725" t="inlineStr">
        <is>
          <t>备注含「集团」，决策链长或存在品牌冲突</t>
        </is>
      </c>
      <c r="T725" t="inlineStr">
        <is>
          <t>C-132</t>
        </is>
      </c>
      <c r="U725" t="inlineStr">
        <is>
          <t>太难·规模过大/决策链长</t>
        </is>
      </c>
      <c r="V725" t="inlineStr"/>
    </row>
    <row r="726">
      <c r="A726" t="inlineStr">
        <is>
          <t>Wifi Stock (UK) Ltd</t>
        </is>
      </c>
      <c r="B726" t="inlineStr">
        <is>
          <t>英国</t>
        </is>
      </c>
      <c r="C726" t="inlineStr"/>
      <c r="D726" t="inlineStr">
        <is>
          <t>wifi-stock.co.uk</t>
        </is>
      </c>
      <c r="E726" t="inlineStr">
        <is>
          <t>分销（MikroTik 官方）</t>
        </is>
      </c>
      <c r="F726" t="inlineStr">
        <is>
          <t>MikroTik（Master+VAD）</t>
        </is>
      </c>
      <c r="G726" t="inlineStr">
        <is>
          <t>否</t>
        </is>
      </c>
      <c r="H726" t="inlineStr">
        <is>
          <t>卖 MikroTik 但缺工业/ERPS/PoE++ → 用同价位工业线补他的产品缺口</t>
        </is>
      </c>
      <c r="I726" t="inlineStr">
        <is>
          <t>LT-IS6312XGP-4XS8GT</t>
        </is>
      </c>
      <c r="J726" t="inlineStr">
        <is>
          <t>+44 1293 863531 / sales@wifi-stock.co.uk</t>
        </is>
      </c>
      <c r="K726" t="inlineStr">
        <is>
          <t>★★★</t>
        </is>
      </c>
      <c r="L726" t="inlineStr">
        <is>
          <t>未触达</t>
        </is>
      </c>
      <c r="M726" t="inlineStr">
        <is>
          <t>2026-09-22</t>
        </is>
      </c>
      <c r="N726" t="inlineStr"/>
      <c r="O726" t="inlineStr"/>
      <c r="P726" t="inlineStr"/>
      <c r="Q726" t="inlineStr">
        <is>
          <t>Surrey；英国 Master 【关联】同集团另一实体：WiFi-Stock.com（JSC Katalita，立陶宛）（wifi-stock.com）；【2026-09-22 补】官网列 Netonix WISP 交换机（PoE、宽温、DC 输入）为代理品牌。</t>
        </is>
      </c>
      <c r="R726" t="inlineStr">
        <is>
          <t>C</t>
        </is>
      </c>
      <c r="S726" t="inlineStr">
        <is>
          <t>备注含「集团」，决策链长或存在品牌冲突</t>
        </is>
      </c>
      <c r="T726" t="inlineStr">
        <is>
          <t>C-133</t>
        </is>
      </c>
      <c r="U726" t="inlineStr">
        <is>
          <t>太难·规模过大/决策链长</t>
        </is>
      </c>
      <c r="V726" t="inlineStr"/>
    </row>
    <row r="727">
      <c r="A727" t="inlineStr">
        <is>
          <t>Nedis</t>
        </is>
      </c>
      <c r="B727" t="inlineStr">
        <is>
          <t>荷兰</t>
        </is>
      </c>
      <c r="C727" t="inlineStr">
        <is>
          <t>'s-Hertogenbosch</t>
        </is>
      </c>
      <c r="D727" t="inlineStr">
        <is>
          <t>nedis.com</t>
        </is>
      </c>
      <c r="E727" t="inlineStr">
        <is>
          <t>自有品牌分销</t>
        </is>
      </c>
      <c r="F727" t="inlineStr">
        <is>
          <t>Nedis（交换机仅非管理）</t>
        </is>
      </c>
      <c r="G727" t="inlineStr">
        <is>
          <t>是</t>
        </is>
      </c>
      <c r="H727" t="inlineStr">
        <is>
          <t>补可管理/24口/PoE++</t>
        </is>
      </c>
      <c r="I727" t="inlineStr">
        <is>
          <t>LT-S8328XGP-4XS24GT-S</t>
        </is>
      </c>
      <c r="J727" t="inlineStr">
        <is>
          <t>+31 73 599 1055 / become-a-partner表单</t>
        </is>
      </c>
      <c r="K727" t="inlineStr">
        <is>
          <t>★★</t>
        </is>
      </c>
      <c r="L727" t="inlineStr">
        <is>
          <t>未触达</t>
        </is>
      </c>
      <c r="M727" t="inlineStr">
        <is>
          <t>重点客户/2026-09</t>
        </is>
      </c>
      <c r="N727" t="inlineStr"/>
      <c r="O727" t="inlineStr"/>
      <c r="P727" t="inlineStr"/>
      <c r="Q727" t="inlineStr">
        <is>
          <t>Chaitanya Mhatre (Director Sales Asia)</t>
        </is>
      </c>
      <c r="R727" t="inlineStr">
        <is>
          <t>C</t>
        </is>
      </c>
      <c r="S727" t="inlineStr">
        <is>
          <t>类型属大盘/自有品牌（自有品牌分销），决策链长或存在品牌冲突</t>
        </is>
      </c>
      <c r="T727" t="inlineStr">
        <is>
          <t>C-134</t>
        </is>
      </c>
      <c r="U727" t="inlineStr">
        <is>
          <t>太难·自有品牌</t>
        </is>
      </c>
      <c r="V727" t="inlineStr"/>
    </row>
    <row r="728">
      <c r="A728" t="inlineStr">
        <is>
          <t>Senetic B.V.</t>
        </is>
      </c>
      <c r="B728" t="inlineStr">
        <is>
          <t>荷兰</t>
        </is>
      </c>
      <c r="C728" t="inlineStr"/>
      <c r="D728" t="inlineStr">
        <is>
          <t>senetic.nl</t>
        </is>
      </c>
      <c r="E728" t="inlineStr">
        <is>
          <t>分销（MikroTik 官方）</t>
        </is>
      </c>
      <c r="F728" t="inlineStr">
        <is>
          <t>MikroTik（Reseller）</t>
        </is>
      </c>
      <c r="G728" t="inlineStr">
        <is>
          <t>否</t>
        </is>
      </c>
      <c r="H728" t="inlineStr">
        <is>
          <t>Senetic 集团荷兰站</t>
        </is>
      </c>
      <c r="I728" t="inlineStr">
        <is>
          <t>LT-S8328XG-4XS8GT-S</t>
        </is>
      </c>
      <c r="J728" t="inlineStr">
        <is>
          <t>020 369 73 50 / info@senetic.nl</t>
        </is>
      </c>
      <c r="K728" t="inlineStr">
        <is>
          <t>★★</t>
        </is>
      </c>
      <c r="L728" t="inlineStr">
        <is>
          <t>未触达</t>
        </is>
      </c>
      <c r="M728" t="inlineStr">
        <is>
          <t>2026-09-22</t>
        </is>
      </c>
      <c r="N728" t="inlineStr"/>
      <c r="O728" t="inlineStr"/>
      <c r="P728" t="inlineStr"/>
      <c r="Q728" t="inlineStr">
        <is>
          <t>Amsterdam 【关联】Senetic（同集团另有 pl / co.uk / fr / it / ch / se 站点，一国的采购决策可能由集团统一，谈一家等于谈七国）</t>
        </is>
      </c>
      <c r="R728" t="inlineStr">
        <is>
          <t>C</t>
        </is>
      </c>
      <c r="S728" t="inlineStr">
        <is>
          <t>备注含「集团」，决策链长或存在品牌冲突</t>
        </is>
      </c>
      <c r="T728" t="inlineStr">
        <is>
          <t>C-135</t>
        </is>
      </c>
      <c r="U728" t="inlineStr">
        <is>
          <t>太难·规模过大/决策链长</t>
        </is>
      </c>
      <c r="V728" t="inlineStr"/>
    </row>
    <row r="729">
      <c r="A729" t="inlineStr">
        <is>
          <t>shop4power.nl</t>
        </is>
      </c>
      <c r="B729" t="inlineStr">
        <is>
          <t>荷兰</t>
        </is>
      </c>
      <c r="C729" t="inlineStr"/>
      <c r="D729" t="inlineStr">
        <is>
          <t>shop4power.nl</t>
        </is>
      </c>
      <c r="E729" t="inlineStr">
        <is>
          <t>分销+自有品牌</t>
        </is>
      </c>
      <c r="F729" t="inlineStr">
        <is>
          <t>PLANET + E-Link</t>
        </is>
      </c>
      <c r="G729" t="inlineStr">
        <is>
          <t>是</t>
        </is>
      </c>
      <c r="H729" t="inlineStr">
        <is>
          <t>已做OEM/贴牌，最容易谈中性货</t>
        </is>
      </c>
      <c r="I729" t="inlineStr">
        <is>
          <t>LT-S8328XGP-4XS24GT-S</t>
        </is>
      </c>
      <c r="J729" t="inlineStr">
        <is>
          <t>官网表单+邮件</t>
        </is>
      </c>
      <c r="K729" t="inlineStr">
        <is>
          <t>★★★</t>
        </is>
      </c>
      <c r="L729" t="inlineStr">
        <is>
          <t>未触达</t>
        </is>
      </c>
      <c r="M729" t="inlineStr">
        <is>
          <t>反向信号/2026-09</t>
        </is>
      </c>
      <c r="N729" t="inlineStr"/>
      <c r="O729" t="inlineStr"/>
      <c r="P729" t="inlineStr"/>
      <c r="Q729" t="inlineStr">
        <is>
          <t>Benelux Planet Partner</t>
        </is>
      </c>
      <c r="R729" t="inlineStr">
        <is>
          <t>C</t>
        </is>
      </c>
      <c r="S729" t="inlineStr">
        <is>
          <t>类型属大盘/自有品牌（分销+自有品牌），决策链长或存在品牌冲突</t>
        </is>
      </c>
      <c r="T729" t="inlineStr">
        <is>
          <t>C-136</t>
        </is>
      </c>
      <c r="U729" t="inlineStr">
        <is>
          <t>太难·自有品牌</t>
        </is>
      </c>
      <c r="V729" t="inlineStr"/>
    </row>
    <row r="730">
      <c r="A730" t="inlineStr">
        <is>
          <t>F.Fonseca S.A</t>
        </is>
      </c>
      <c r="B730" t="inlineStr">
        <is>
          <t>葡萄牙</t>
        </is>
      </c>
      <c r="C730" t="inlineStr">
        <is>
          <t>Aveiro</t>
        </is>
      </c>
      <c r="D730" t="inlineStr">
        <is>
          <t>ffonseca.com</t>
        </is>
      </c>
      <c r="E730" t="inlineStr">
        <is>
          <t>分销（HMS/N-Tron·Red Lion 渠道）</t>
        </is>
      </c>
      <c r="F730" t="inlineStr">
        <is>
          <t>N-Tron + Red Lion</t>
        </is>
      </c>
      <c r="G730" t="inlineStr">
        <is>
          <t>否</t>
        </is>
      </c>
      <c r="H730" t="inlineStr">
        <is>
          <t>卖 N-Tron/Red Lion 工业交换机（8口非网管约 $500+）→ 中性货同规格 LT-IS6310G 约 $91，做第二供应商，价差 5 倍</t>
        </is>
      </c>
      <c r="I730" t="inlineStr">
        <is>
          <t>LT-IS6310G</t>
        </is>
      </c>
      <c r="J730" t="inlineStr">
        <is>
          <t>官网联系页（HMS 名录只公开地址与网址）</t>
        </is>
      </c>
      <c r="K730" t="inlineStr">
        <is>
          <t>★★★</t>
        </is>
      </c>
      <c r="L730" t="inlineStr">
        <is>
          <t>未触达</t>
        </is>
      </c>
      <c r="M730" t="inlineStr">
        <is>
          <t>2026-09-22</t>
        </is>
      </c>
      <c r="N730" t="inlineStr"/>
      <c r="O730" t="inlineStr"/>
      <c r="P730" t="inlineStr"/>
      <c r="Q730" t="inlineStr">
        <is>
          <t>葡萄牙工业自动化老牌分销</t>
        </is>
      </c>
      <c r="R730" t="inlineStr">
        <is>
          <t>C</t>
        </is>
      </c>
      <c r="S730" t="inlineStr">
        <is>
          <t>备注含「老牌」，决策链长或存在品牌冲突</t>
        </is>
      </c>
      <c r="T730" t="inlineStr">
        <is>
          <t>C-137</t>
        </is>
      </c>
      <c r="U730" t="inlineStr">
        <is>
          <t>其他</t>
        </is>
      </c>
      <c r="V730" t="inlineStr"/>
    </row>
    <row r="731">
      <c r="A731" t="inlineStr">
        <is>
          <t>Tempel Group</t>
        </is>
      </c>
      <c r="B731" t="inlineStr">
        <is>
          <t>葡萄牙</t>
        </is>
      </c>
      <c r="C731" t="inlineStr"/>
      <c r="D731" t="inlineStr">
        <is>
          <t>tempelgroup.pt</t>
        </is>
      </c>
      <c r="E731" t="inlineStr">
        <is>
          <t>分销（ORing 授权）</t>
        </is>
      </c>
      <c r="F731" t="inlineStr">
        <is>
          <t>ORing</t>
        </is>
      </c>
      <c r="G731" t="inlineStr">
        <is>
          <t>否</t>
        </is>
      </c>
      <c r="H731" t="inlineStr">
        <is>
          <t>葡萄牙分销</t>
        </is>
      </c>
      <c r="I731" t="inlineStr">
        <is>
          <t>LT-IS6312XG-4XS8GT</t>
        </is>
      </c>
      <c r="J731" t="inlineStr">
        <is>
          <t>+351 214220540</t>
        </is>
      </c>
      <c r="K731" t="inlineStr">
        <is>
          <t>★★</t>
        </is>
      </c>
      <c r="L731" t="inlineStr">
        <is>
          <t>未触达</t>
        </is>
      </c>
      <c r="M731" t="inlineStr">
        <is>
          <t>ORing经销商名录/2026-09</t>
        </is>
      </c>
      <c r="N731" t="inlineStr"/>
      <c r="O731" t="inlineStr"/>
      <c r="P731" t="inlineStr"/>
      <c r="Q731" t="inlineStr">
        <is>
          <t>【关联】同集团另一实体：Tempel Group（西班牙）（tempelgroup.com）</t>
        </is>
      </c>
      <c r="R731" t="inlineStr">
        <is>
          <t>C</t>
        </is>
      </c>
      <c r="S731" t="inlineStr">
        <is>
          <t>备注含「集团」，决策链长或存在品牌冲突</t>
        </is>
      </c>
      <c r="T731" t="inlineStr">
        <is>
          <t>C-138</t>
        </is>
      </c>
      <c r="U731" t="inlineStr">
        <is>
          <t>太难·规模过大/决策链长</t>
        </is>
      </c>
      <c r="V731" t="inlineStr"/>
    </row>
    <row r="732">
      <c r="A732" t="inlineStr">
        <is>
          <t>Fibercli</t>
        </is>
      </c>
      <c r="B732" t="inlineStr">
        <is>
          <t>西班牙</t>
        </is>
      </c>
      <c r="C732" t="inlineStr"/>
      <c r="D732" t="inlineStr">
        <is>
          <t>fibercli.com</t>
        </is>
      </c>
      <c r="E732" t="inlineStr">
        <is>
          <t>集成商/顾问（MikroTik 认证）</t>
        </is>
      </c>
      <c r="F732" t="inlineStr">
        <is>
          <t>MikroTik 认证顾问 10 证全拿</t>
        </is>
      </c>
      <c r="G732" t="inlineStr">
        <is>
          <t>否</t>
        </is>
      </c>
      <c r="H732" t="inlineStr">
        <is>
          <t>MikroTik 认证顾问：自己做方案/集成/运维并自行采购设备 → 用 ERPS/IGMP/VLAN/CLI/MIB 这类技术语言切入，不打价格战</t>
        </is>
      </c>
      <c r="I732" t="inlineStr">
        <is>
          <t>LT-S8328XGP-4XS24GT-S</t>
        </is>
      </c>
      <c r="J732" t="inlineStr">
        <is>
          <t>Víctor Bolaños +34 605 75 90 75 / victor.bolanos@fibercli.com；José Manuel Román Fernández-Checa +34 652 241 431 / facturacion@fibercli.com</t>
        </is>
      </c>
      <c r="K732" t="inlineStr">
        <is>
          <t>★★★</t>
        </is>
      </c>
      <c r="L732" t="inlineStr">
        <is>
          <t>未触达</t>
        </is>
      </c>
      <c r="M732" t="inlineStr">
        <is>
          <t>2026-09-22</t>
        </is>
      </c>
      <c r="N732" t="inlineStr"/>
      <c r="O732" t="inlineStr"/>
      <c r="P732" t="inlineStr"/>
      <c r="Q732" t="inlineStr">
        <is>
          <t>★★ 西班牙最大的 MikroTik 工程团队之一（自述「全球最大之一」），自带 MikroTik 认证培训中心 lo0.es（已在 10+ 时区开课）；客户覆盖 ISP/Telco、数据中心、**酒店 Hospitality**、零售、银行保险、油气，含 IBEX35 上市企业与公共部门；做 RouterOS + 多厂商集成的设计/部署/支持。公司内 2 位 10 证顾问</t>
        </is>
      </c>
      <c r="R732" t="inlineStr">
        <is>
          <t>C</t>
        </is>
      </c>
      <c r="S732" t="inlineStr">
        <is>
          <t>备注含「最大」，决策链长或存在品牌冲突</t>
        </is>
      </c>
      <c r="T732" t="inlineStr">
        <is>
          <t>C-139</t>
        </is>
      </c>
      <c r="U732" t="inlineStr">
        <is>
          <t>太难·规模过大/决策链长</t>
        </is>
      </c>
      <c r="V732" t="inlineStr"/>
    </row>
    <row r="733">
      <c r="A733" t="inlineStr">
        <is>
          <t>Senetic España S.L.U.</t>
        </is>
      </c>
      <c r="B733" t="inlineStr">
        <is>
          <t>西班牙</t>
        </is>
      </c>
      <c r="C733" t="inlineStr"/>
      <c r="D733" t="inlineStr">
        <is>
          <t>senetic.es</t>
        </is>
      </c>
      <c r="E733" t="inlineStr">
        <is>
          <t>分销（MikroTik 官方）</t>
        </is>
      </c>
      <c r="F733" t="inlineStr">
        <is>
          <t>MikroTik（Reseller）</t>
        </is>
      </c>
      <c r="G733" t="inlineStr">
        <is>
          <t>否</t>
        </is>
      </c>
      <c r="H733" t="inlineStr">
        <is>
          <t>Senetic 集团西班牙站</t>
        </is>
      </c>
      <c r="I733" t="inlineStr">
        <is>
          <t>LT-S8328XG-4XS8GT-S</t>
        </is>
      </c>
      <c r="J733" t="inlineStr">
        <is>
          <t>+34 917 942 500 / info@senetic.es</t>
        </is>
      </c>
      <c r="K733" t="inlineStr">
        <is>
          <t>★★</t>
        </is>
      </c>
      <c r="L733" t="inlineStr">
        <is>
          <t>未触达</t>
        </is>
      </c>
      <c r="M733" t="inlineStr">
        <is>
          <t>2026-09-22</t>
        </is>
      </c>
      <c r="N733" t="inlineStr"/>
      <c r="O733" t="inlineStr"/>
      <c r="P733" t="inlineStr"/>
      <c r="Q733" t="inlineStr">
        <is>
          <t>Madrid 【关联】Senetic（同集团另有 pl / co.uk / fr / it / ch / se 站点，一国的采购决策可能由集团统一，谈一家等于谈七国）</t>
        </is>
      </c>
      <c r="R733" t="inlineStr">
        <is>
          <t>C</t>
        </is>
      </c>
      <c r="S733" t="inlineStr">
        <is>
          <t>备注含「集团」，决策链长或存在品牌冲突</t>
        </is>
      </c>
      <c r="T733" t="inlineStr">
        <is>
          <t>C-140</t>
        </is>
      </c>
      <c r="U733" t="inlineStr">
        <is>
          <t>太难·规模过大/决策链长</t>
        </is>
      </c>
      <c r="V733" t="inlineStr"/>
    </row>
    <row r="734">
      <c r="A734" t="inlineStr">
        <is>
          <t>Tempel Group</t>
        </is>
      </c>
      <c r="B734" t="inlineStr">
        <is>
          <t>西班牙</t>
        </is>
      </c>
      <c r="C734" t="inlineStr"/>
      <c r="D734" t="inlineStr">
        <is>
          <t>tempelgroup.com</t>
        </is>
      </c>
      <c r="E734" t="inlineStr">
        <is>
          <t>分销（ORing 授权）</t>
        </is>
      </c>
      <c r="F734" t="inlineStr">
        <is>
          <t>ORing</t>
        </is>
      </c>
      <c r="G734" t="inlineStr">
        <is>
          <t>否</t>
        </is>
      </c>
      <c r="H734" t="inlineStr">
        <is>
          <t>西班牙分销（与葡萄牙同集团）</t>
        </is>
      </c>
      <c r="I734" t="inlineStr">
        <is>
          <t>LT-IS6312XG-4XS8GT</t>
        </is>
      </c>
      <c r="J734" t="inlineStr">
        <is>
          <t>+34 936003600</t>
        </is>
      </c>
      <c r="K734" t="inlineStr">
        <is>
          <t>★★★</t>
        </is>
      </c>
      <c r="L734" t="inlineStr">
        <is>
          <t>未触达</t>
        </is>
      </c>
      <c r="M734" t="inlineStr">
        <is>
          <t>ORing经销商名录/2026-09</t>
        </is>
      </c>
      <c r="N734" t="inlineStr"/>
      <c r="O734" t="inlineStr"/>
      <c r="P734" t="inlineStr"/>
      <c r="Q734" t="inlineStr">
        <is>
          <t>【关联】同集团另一实体：Tempel Group（葡萄牙）（tempelgroup.pt）</t>
        </is>
      </c>
      <c r="R734" t="inlineStr">
        <is>
          <t>C</t>
        </is>
      </c>
      <c r="S734" t="inlineStr">
        <is>
          <t>备注含「集团」，决策链长或存在品牌冲突</t>
        </is>
      </c>
      <c r="T734" t="inlineStr">
        <is>
          <t>C-141</t>
        </is>
      </c>
      <c r="U734" t="inlineStr">
        <is>
          <t>太难·规模过大/决策链长</t>
        </is>
      </c>
      <c r="V734" t="inlineStr"/>
    </row>
    <row r="735">
      <c r="A735" t="inlineStr">
        <is>
          <t>ALIDEX IBERIA</t>
        </is>
      </c>
      <c r="B735" t="inlineStr">
        <is>
          <t>西班牙/葡萄牙</t>
        </is>
      </c>
      <c r="C735" t="inlineStr"/>
      <c r="D735" t="inlineStr">
        <is>
          <t>alidex.es</t>
        </is>
      </c>
      <c r="E735" t="inlineStr">
        <is>
          <t>分销（ORing 授权）</t>
        </is>
      </c>
      <c r="F735" t="inlineStr">
        <is>
          <t>ORing</t>
        </is>
      </c>
      <c r="G735" t="inlineStr">
        <is>
          <t>否</t>
        </is>
      </c>
      <c r="H735" t="inlineStr">
        <is>
          <t>伊比利亚半岛分销</t>
        </is>
      </c>
      <c r="I735" t="inlineStr">
        <is>
          <t>LT-IS6312XGP-4XS8GT</t>
        </is>
      </c>
      <c r="J735" t="inlineStr">
        <is>
          <t>+34 639 13 22 03</t>
        </is>
      </c>
      <c r="K735" t="inlineStr">
        <is>
          <t>★★★</t>
        </is>
      </c>
      <c r="L735" t="inlineStr">
        <is>
          <t>未触达</t>
        </is>
      </c>
      <c r="M735" t="inlineStr">
        <is>
          <t>ORing经销商名录/2026-09</t>
        </is>
      </c>
      <c r="N735" t="inlineStr"/>
      <c r="O735" t="inlineStr"/>
      <c r="P735" t="inlineStr"/>
      <c r="Q735" t="inlineStr">
        <is>
          <t>【关联】同集团另一实体：ALIDEX ITALIA（意大利）（alidex.it） 【范围外】不在本次目标区域（欧洲+美加）内，暂不触达，留档备用</t>
        </is>
      </c>
      <c r="R735" t="inlineStr">
        <is>
          <t>C</t>
        </is>
      </c>
      <c r="S735" t="inlineStr">
        <is>
          <t>备注含「集团」，决策链长或存在品牌冲突</t>
        </is>
      </c>
      <c r="T735" t="inlineStr">
        <is>
          <t>C-142</t>
        </is>
      </c>
      <c r="U735" t="inlineStr">
        <is>
          <t>太难·规模过大/决策链长</t>
        </is>
      </c>
      <c r="V735" t="inlineStr"/>
    </row>
    <row r="736">
      <c r="A736" t="inlineStr">
        <is>
          <t>HOANG VAN INFORMATICS TECHNOLOGY</t>
        </is>
      </c>
      <c r="B736" t="inlineStr">
        <is>
          <t>越南</t>
        </is>
      </c>
      <c r="C736" t="inlineStr"/>
      <c r="D736" t="inlineStr">
        <is>
          <t>hoangvanco.com.vn</t>
        </is>
      </c>
      <c r="E736" t="inlineStr">
        <is>
          <t>分销（ORing 授权）</t>
        </is>
      </c>
      <c r="F736" t="inlineStr">
        <is>
          <t>ORing</t>
        </is>
      </c>
      <c r="G736" t="inlineStr">
        <is>
          <t>否</t>
        </is>
      </c>
      <c r="H736" t="inlineStr">
        <is>
          <t>越南分销</t>
        </is>
      </c>
      <c r="I736" t="inlineStr">
        <is>
          <t>LT-IS6312XG-4XS8GT</t>
        </is>
      </c>
      <c r="J736" t="inlineStr">
        <is>
          <t>+84 28 38429843 / info@hoangvanco.com.vn</t>
        </is>
      </c>
      <c r="K736" t="inlineStr">
        <is>
          <t>★</t>
        </is>
      </c>
      <c r="L736" t="inlineStr">
        <is>
          <t>未触达</t>
        </is>
      </c>
      <c r="M736" t="inlineStr">
        <is>
          <t>2026-09-22</t>
        </is>
      </c>
      <c r="N736" t="inlineStr"/>
      <c r="O736" t="inlineStr"/>
      <c r="P736" t="inlineStr"/>
      <c r="Q736" t="inlineStr">
        <is>
          <t>【范围外】不在本次目标区域（欧洲+美加）内，暂不触达，留档备用</t>
        </is>
      </c>
      <c r="R736" t="inlineStr">
        <is>
          <t>C</t>
        </is>
      </c>
      <c r="S736" t="inlineStr">
        <is>
          <t>区域外（越南），不在欧洲+美加范围内，决策链长或存在品牌冲突</t>
        </is>
      </c>
      <c r="T736" t="inlineStr">
        <is>
          <t>C-143</t>
        </is>
      </c>
      <c r="U736" t="inlineStr">
        <is>
          <t>范围外（非欧洲/北美）</t>
        </is>
      </c>
      <c r="V736" t="inlineStr"/>
    </row>
    <row r="737">
      <c r="A737" t="inlineStr">
        <is>
          <t>KHAI MINH ELECTRIC TECHNOLOGY JSC</t>
        </is>
      </c>
      <c r="B737" t="inlineStr">
        <is>
          <t>越南</t>
        </is>
      </c>
      <c r="C737" t="inlineStr"/>
      <c r="D737" t="inlineStr">
        <is>
          <t>kmet.com.vn</t>
        </is>
      </c>
      <c r="E737" t="inlineStr">
        <is>
          <t>分销（ORing 授权）</t>
        </is>
      </c>
      <c r="F737" t="inlineStr">
        <is>
          <t>ORing</t>
        </is>
      </c>
      <c r="G737" t="inlineStr">
        <is>
          <t>否</t>
        </is>
      </c>
      <c r="H737" t="inlineStr">
        <is>
          <t>越南工业电气分销</t>
        </is>
      </c>
      <c r="I737" t="inlineStr">
        <is>
          <t>LT-IS6312XGP-4XS8GT</t>
        </is>
      </c>
      <c r="J737" t="inlineStr">
        <is>
          <t>+84 906 758 688 / khaiminh@kmet.com.vn</t>
        </is>
      </c>
      <c r="K737" t="inlineStr">
        <is>
          <t>★</t>
        </is>
      </c>
      <c r="L737" t="inlineStr">
        <is>
          <t>未触达</t>
        </is>
      </c>
      <c r="M737" t="inlineStr">
        <is>
          <t>2026-09-22</t>
        </is>
      </c>
      <c r="N737" t="inlineStr"/>
      <c r="O737" t="inlineStr"/>
      <c r="P737" t="inlineStr"/>
      <c r="Q737" t="inlineStr">
        <is>
          <t>【范围外】不在本次目标区域（欧洲+美加）内，暂不触达，留档备用</t>
        </is>
      </c>
      <c r="R737" t="inlineStr">
        <is>
          <t>C</t>
        </is>
      </c>
      <c r="S737" t="inlineStr">
        <is>
          <t>区域外（越南），不在欧洲+美加范围内，决策链长或存在品牌冲突</t>
        </is>
      </c>
      <c r="T737" t="inlineStr">
        <is>
          <t>C-144</t>
        </is>
      </c>
      <c r="U737" t="inlineStr">
        <is>
          <t>范围外（非欧洲/北美）</t>
        </is>
      </c>
      <c r="V737" t="inlineStr"/>
    </row>
    <row r="738">
      <c r="A738" t="inlineStr">
        <is>
          <t>Dritan / Vreshta</t>
        </is>
      </c>
      <c r="B738" t="inlineStr">
        <is>
          <t>阿尔巴尼亚</t>
        </is>
      </c>
      <c r="C738" t="inlineStr"/>
      <c r="D738" t="inlineStr">
        <is>
          <t>vreshta.com</t>
        </is>
      </c>
      <c r="E738" t="inlineStr">
        <is>
          <t>集成商/顾问（MikroTik 认证）</t>
        </is>
      </c>
      <c r="F738" t="inlineStr">
        <is>
          <t>MikroTik 认证顾问 含 Switching</t>
        </is>
      </c>
      <c r="G738" t="inlineStr">
        <is>
          <t>否</t>
        </is>
      </c>
      <c r="H738" t="inlineStr">
        <is>
          <t>MikroTik 认证顾问：自己做方案/集成/运维并自行采购设备 → 用 ERPS/IGMP/VLAN/CLI/MIB 这类技术语言切入，不打价格战</t>
        </is>
      </c>
      <c r="I738" t="inlineStr">
        <is>
          <t>LT-S8328GP-4GX24GT-S</t>
        </is>
      </c>
      <c r="J738" t="inlineStr">
        <is>
          <t>+355 682 059 505 / dritan@vreshta.com</t>
        </is>
      </c>
      <c r="K738" t="inlineStr">
        <is>
          <t>★★★</t>
        </is>
      </c>
      <c r="L738" t="inlineStr">
        <is>
          <t>未触达</t>
        </is>
      </c>
      <c r="M738" t="inlineStr">
        <is>
          <t>2026-09-22</t>
        </is>
      </c>
      <c r="N738" t="inlineStr"/>
      <c r="O738" t="inlineStr"/>
      <c r="P738" t="inlineStr"/>
      <c r="Q738" t="inlineStr">
        <is>
          <t>★ 专长 BGP/OSPF/MPLS/**Switching**；Hotspot（公共场所大型部署、企业项目）；**熟悉「Made for MikroTik」生态软件、扇区天线、链路、机柜外壳与配件 → 卖配件的人，进货渠道意识强**；WISP 规划与硬件选型</t>
        </is>
      </c>
      <c r="R738" t="inlineStr">
        <is>
          <t>C</t>
        </is>
      </c>
      <c r="S738" t="inlineStr">
        <is>
          <t>备注含「大型」，决策链长或存在品牌冲突</t>
        </is>
      </c>
      <c r="T738" t="inlineStr">
        <is>
          <t>C-145</t>
        </is>
      </c>
      <c r="U738" t="inlineStr">
        <is>
          <t>太难·规模过大/决策链长</t>
        </is>
      </c>
      <c r="V738" t="inlineStr"/>
    </row>
    <row r="739">
      <c r="A739" t="inlineStr">
        <is>
          <t>TEMPEL GROUP ARGENTINA</t>
        </is>
      </c>
      <c r="B739" t="inlineStr">
        <is>
          <t>阿根廷</t>
        </is>
      </c>
      <c r="C739" t="inlineStr"/>
      <c r="D739" t="inlineStr">
        <is>
          <t>tempelgrouplatam.com</t>
        </is>
      </c>
      <c r="E739" t="inlineStr">
        <is>
          <t>分销（ORing 授权）</t>
        </is>
      </c>
      <c r="F739" t="inlineStr">
        <is>
          <t>ORing</t>
        </is>
      </c>
      <c r="G739" t="inlineStr">
        <is>
          <t>否</t>
        </is>
      </c>
      <c r="H739" t="inlineStr">
        <is>
          <t>工业/轨道同规格 1/3 价第二供应源</t>
        </is>
      </c>
      <c r="I739" t="inlineStr">
        <is>
          <t>LT-IS6312XGP-4XS8GT</t>
        </is>
      </c>
      <c r="J739" t="inlineStr">
        <is>
          <t>+54 11 4897-7184</t>
        </is>
      </c>
      <c r="K739" t="inlineStr">
        <is>
          <t>★★</t>
        </is>
      </c>
      <c r="L739" t="inlineStr">
        <is>
          <t>未触达</t>
        </is>
      </c>
      <c r="M739" t="inlineStr">
        <is>
          <t>2026-09-22</t>
        </is>
      </c>
      <c r="N739" t="inlineStr"/>
      <c r="O739" t="inlineStr"/>
      <c r="P739" t="inlineStr"/>
      <c r="Q739" t="inlineStr">
        <is>
          <t>Tempel 集团拉美分支（另见西/葡 Tempel） 【范围外】不在本次目标区域（欧洲+美加）内，暂不触达，留档备用</t>
        </is>
      </c>
      <c r="R739" t="inlineStr">
        <is>
          <t>C</t>
        </is>
      </c>
      <c r="S739" t="inlineStr">
        <is>
          <t>备注含「集团」；区域外（阿根廷），不在欧洲+美加范围内，决策链长或存在品牌冲突</t>
        </is>
      </c>
      <c r="T739" t="inlineStr">
        <is>
          <t>C-146</t>
        </is>
      </c>
      <c r="U739" t="inlineStr">
        <is>
          <t>范围外（非欧洲/北美）</t>
        </is>
      </c>
      <c r="V739" t="inlineStr"/>
    </row>
    <row r="740">
      <c r="A740" t="inlineStr">
        <is>
          <t>Amplicon Middle East</t>
        </is>
      </c>
      <c r="B740" t="inlineStr">
        <is>
          <t>阿联酋</t>
        </is>
      </c>
      <c r="C740" t="inlineStr"/>
      <c r="D740" t="inlineStr">
        <is>
          <t>ampliconme.com</t>
        </is>
      </c>
      <c r="E740" t="inlineStr">
        <is>
          <t>分销（ORing 授权）</t>
        </is>
      </c>
      <c r="F740" t="inlineStr">
        <is>
          <t>ORing</t>
        </is>
      </c>
      <c r="G740" t="inlineStr">
        <is>
          <t>否</t>
        </is>
      </c>
      <c r="H740" t="inlineStr">
        <is>
          <t>工业/轨道同规格 1/3 价第二供应源</t>
        </is>
      </c>
      <c r="I740" t="inlineStr">
        <is>
          <t>LT-IS6312XG-4XS8GT</t>
        </is>
      </c>
      <c r="J740" t="inlineStr">
        <is>
          <t>+971 4 3918897 / info@ampliconme.com</t>
        </is>
      </c>
      <c r="K740" t="inlineStr">
        <is>
          <t>★★</t>
        </is>
      </c>
      <c r="L740" t="inlineStr">
        <is>
          <t>未触达</t>
        </is>
      </c>
      <c r="M740" t="inlineStr">
        <is>
          <t>2026-09-22</t>
        </is>
      </c>
      <c r="N740" t="inlineStr"/>
      <c r="O740" t="inlineStr"/>
      <c r="P740" t="inlineStr"/>
      <c r="Q740" t="inlineStr">
        <is>
          <t>Amplicon 集团中东分支</t>
        </is>
      </c>
      <c r="R740" t="inlineStr">
        <is>
          <t>C</t>
        </is>
      </c>
      <c r="S740" t="inlineStr">
        <is>
          <t>备注含「集团」，决策链长或存在品牌冲突</t>
        </is>
      </c>
      <c r="T740" t="inlineStr">
        <is>
          <t>C-147</t>
        </is>
      </c>
      <c r="U740" t="inlineStr">
        <is>
          <t>太难·规模过大/决策链长</t>
        </is>
      </c>
      <c r="V740" t="inlineStr"/>
    </row>
    <row r="741">
      <c r="A741" t="inlineStr">
        <is>
          <t>Cayee Information Technology Ltd</t>
        </is>
      </c>
      <c r="B741" t="inlineStr">
        <is>
          <t>香港</t>
        </is>
      </c>
      <c r="C741" t="inlineStr"/>
      <c r="D741" t="inlineStr">
        <is>
          <t>cayee.com</t>
        </is>
      </c>
      <c r="E741" t="inlineStr">
        <is>
          <t>分销（ORing 授权）</t>
        </is>
      </c>
      <c r="F741" t="inlineStr">
        <is>
          <t>ORing</t>
        </is>
      </c>
      <c r="G741" t="inlineStr">
        <is>
          <t>否</t>
        </is>
      </c>
      <c r="H741" t="inlineStr">
        <is>
          <t>港澳台亚太分销</t>
        </is>
      </c>
      <c r="I741" t="inlineStr">
        <is>
          <t>LT-IS6312XGP-4XS8GT</t>
        </is>
      </c>
      <c r="J741" t="inlineStr">
        <is>
          <t>+852 3590 9266 / sales@cayee.com</t>
        </is>
      </c>
      <c r="K741" t="inlineStr">
        <is>
          <t>★★</t>
        </is>
      </c>
      <c r="L741" t="inlineStr">
        <is>
          <t>未触达</t>
        </is>
      </c>
      <c r="M741" t="inlineStr">
        <is>
          <t>2026-09-22</t>
        </is>
      </c>
      <c r="N741" t="inlineStr"/>
      <c r="O741" t="inlineStr"/>
      <c r="P741" t="inlineStr"/>
      <c r="Q741" t="inlineStr">
        <is>
          <t>【范围外】不在本次目标区域（欧洲+美加）内，暂不触达，留档备用</t>
        </is>
      </c>
      <c r="R741" t="inlineStr">
        <is>
          <t>C</t>
        </is>
      </c>
      <c r="S741" t="inlineStr">
        <is>
          <t>区域外（香港），不在欧洲+美加范围内，决策链长或存在品牌冲突</t>
        </is>
      </c>
      <c r="T741" t="inlineStr">
        <is>
          <t>C-148</t>
        </is>
      </c>
      <c r="U741" t="inlineStr">
        <is>
          <t>范围外（非欧洲/北美）</t>
        </is>
      </c>
      <c r="V741" t="inlineStr"/>
    </row>
    <row r="742">
      <c r="A742" t="inlineStr">
        <is>
          <t>NetEon</t>
        </is>
      </c>
      <c r="B742" t="inlineStr">
        <is>
          <t>马来西亚</t>
        </is>
      </c>
      <c r="C742" t="inlineStr"/>
      <c r="D742" t="inlineStr">
        <is>
          <t>neteon.com.my</t>
        </is>
      </c>
      <c r="E742" t="inlineStr">
        <is>
          <t>分销（ORing 授权）</t>
        </is>
      </c>
      <c r="F742" t="inlineStr">
        <is>
          <t>ORing</t>
        </is>
      </c>
      <c r="G742" t="inlineStr">
        <is>
          <t>否</t>
        </is>
      </c>
      <c r="H742" t="inlineStr">
        <is>
          <t>马来西亚工业网络分销</t>
        </is>
      </c>
      <c r="I742" t="inlineStr">
        <is>
          <t>LT-IS6312XGP-4XS8GT</t>
        </is>
      </c>
      <c r="J742" t="inlineStr">
        <is>
          <t>+60 3 5633 4921 / sales@neteon.com.my</t>
        </is>
      </c>
      <c r="K742" t="inlineStr">
        <is>
          <t>★★</t>
        </is>
      </c>
      <c r="L742" t="inlineStr">
        <is>
          <t>未触达</t>
        </is>
      </c>
      <c r="M742" t="inlineStr">
        <is>
          <t>2026-09-22</t>
        </is>
      </c>
      <c r="N742" t="inlineStr"/>
      <c r="O742" t="inlineStr"/>
      <c r="P742" t="inlineStr"/>
      <c r="Q742" t="inlineStr">
        <is>
          <t>【范围外】不在本次目标区域（欧洲+美加）内，暂不触达，留档备用</t>
        </is>
      </c>
      <c r="R742" t="inlineStr">
        <is>
          <t>C</t>
        </is>
      </c>
      <c r="S742" t="inlineStr">
        <is>
          <t>区域外（马来西亚），不在欧洲+美加范围内，决策链长或存在品牌冲突</t>
        </is>
      </c>
      <c r="T742" t="inlineStr">
        <is>
          <t>C-149</t>
        </is>
      </c>
      <c r="U742" t="inlineStr">
        <is>
          <t>范围外（非欧洲/北美）</t>
        </is>
      </c>
      <c r="V742" t="inlineStr"/>
    </row>
    <row r="743">
      <c r="A743" t="inlineStr">
        <is>
          <t>Dennis Burgess</t>
        </is>
      </c>
      <c r="B743" t="inlineStr">
        <is>
          <t>美国</t>
        </is>
      </c>
      <c r="C743" t="inlineStr">
        <is>
          <t>Dittmer, MO</t>
        </is>
      </c>
      <c r="D743" t="inlineStr"/>
      <c r="E743" t="inlineStr">
        <is>
          <t>集成商/顾问（MikroTik 认证）</t>
        </is>
      </c>
      <c r="F743" t="inlineStr">
        <is>
          <t>MikroTik 认证顾问，持 MTCRE MTCWE MTCTCE MTCSE MTCEWE</t>
        </is>
      </c>
      <c r="G743" t="inlineStr">
        <is>
          <t>否</t>
        </is>
      </c>
      <c r="H743" t="inlineStr">
        <is>
          <t>MikroTik 生态切入</t>
        </is>
      </c>
      <c r="I743" t="inlineStr">
        <is>
          <t>LT-S8328XGP-4XS24GT-S</t>
        </is>
      </c>
      <c r="J743" t="inlineStr">
        <is>
          <t>MikroTik 顾问名录</t>
        </is>
      </c>
      <c r="K743" t="inlineStr">
        <is>
          <t>★★★</t>
        </is>
      </c>
      <c r="L743" t="inlineStr">
        <is>
          <t>未触达</t>
        </is>
      </c>
      <c r="M743" t="inlineStr">
        <is>
          <t>MikroTik 官方认证顾问名录</t>
        </is>
      </c>
      <c r="N743" t="inlineStr"/>
      <c r="O743" t="inlineStr"/>
      <c r="P743" t="inlineStr"/>
      <c r="Q743" t="inlineStr">
        <is>
          <t>【2026-09-23】MikroTik 官方认证顾问名录 / 认证培训伙伴收录。自述专长路由/OSPF/BGP、带宽管理、Hotspot、PPPoE、点对点无线；**企业级与大型 WISP 工程支持**。美国 WISP 圈资深人士。</t>
        </is>
      </c>
      <c r="R743" t="inlineStr">
        <is>
          <t>C</t>
        </is>
      </c>
      <c r="S743" t="inlineStr">
        <is>
          <t>备注含「大型」，决策链长或存在品牌冲突</t>
        </is>
      </c>
      <c r="T743" t="inlineStr">
        <is>
          <t>C-150</t>
        </is>
      </c>
      <c r="U743" t="inlineStr">
        <is>
          <t>太难·规模过大/决策链长</t>
        </is>
      </c>
      <c r="V743" t="inlineStr"/>
    </row>
    <row r="744">
      <c r="A744" t="inlineStr">
        <is>
          <t>Amin Dashti</t>
        </is>
      </c>
      <c r="B744" t="inlineStr">
        <is>
          <t>美国</t>
        </is>
      </c>
      <c r="C744" t="inlineStr">
        <is>
          <t>California</t>
        </is>
      </c>
      <c r="D744" t="inlineStr"/>
      <c r="E744" t="inlineStr">
        <is>
          <t>集成商/顾问（MikroTik 认证）</t>
        </is>
      </c>
      <c r="F744" t="inlineStr">
        <is>
          <t>MikroTik 认证顾问，持 MTCRE MTCWE MTCTCE MTCINE</t>
        </is>
      </c>
      <c r="G744" t="inlineStr">
        <is>
          <t>否</t>
        </is>
      </c>
      <c r="H744" t="inlineStr">
        <is>
          <t>MikroTik 生态切入</t>
        </is>
      </c>
      <c r="I744" t="inlineStr">
        <is>
          <t>LT-S8328XGP-4XS24GT-S</t>
        </is>
      </c>
      <c r="J744" t="inlineStr">
        <is>
          <t>(949) 385-2171；站点 mikrotikinfo.com</t>
        </is>
      </c>
      <c r="K744" t="inlineStr">
        <is>
          <t>★★★</t>
        </is>
      </c>
      <c r="L744" t="inlineStr">
        <is>
          <t>未触达</t>
        </is>
      </c>
      <c r="M744" t="inlineStr">
        <is>
          <t>MikroTik 官方认证顾问名录</t>
        </is>
      </c>
      <c r="N744" t="inlineStr"/>
      <c r="O744" t="inlineStr"/>
      <c r="P744" t="inlineStr"/>
      <c r="Q744" t="inlineStr">
        <is>
          <t>【2026-09-23】MikroTik 官方认证顾问名录 / 认证培训伙伴收录。自述专长带宽控制、负载均衡、静态/OSPF/BGP 路由、防火墙、VPN、Hotspot、PPPoE。</t>
        </is>
      </c>
      <c r="R744" t="inlineStr">
        <is>
          <t>A</t>
        </is>
      </c>
      <c r="S744" t="inlineStr">
        <is>
          <t>有明确交换/供电需求（PoE/监控/门禁），且有具体人直联</t>
        </is>
      </c>
      <c r="T744" t="inlineStr">
        <is>
          <t>A-092</t>
        </is>
      </c>
      <c r="U744" t="inlineStr"/>
      <c r="V744" t="inlineStr"/>
    </row>
    <row r="745">
      <c r="A745" t="inlineStr">
        <is>
          <t>Dan Parrish</t>
        </is>
      </c>
      <c r="B745" t="inlineStr">
        <is>
          <t>美国</t>
        </is>
      </c>
      <c r="C745" t="inlineStr">
        <is>
          <t>Fenton, MO</t>
        </is>
      </c>
      <c r="D745" t="inlineStr"/>
      <c r="E745" t="inlineStr">
        <is>
          <t>集成商/顾问（MikroTik 认证）</t>
        </is>
      </c>
      <c r="F745" t="inlineStr">
        <is>
          <t>MikroTik 认证顾问，持 MTCRE MTCWE MTCTCE</t>
        </is>
      </c>
      <c r="G745" t="inlineStr">
        <is>
          <t>否</t>
        </is>
      </c>
      <c r="H745" t="inlineStr">
        <is>
          <t>MikroTik 生态切入</t>
        </is>
      </c>
      <c r="I745" t="inlineStr">
        <is>
          <t>LT-S8328XGP-4XS24GT-S</t>
        </is>
      </c>
      <c r="J745" t="inlineStr">
        <is>
          <t>314-735-0270</t>
        </is>
      </c>
      <c r="K745" t="inlineStr">
        <is>
          <t>★★★</t>
        </is>
      </c>
      <c r="L745" t="inlineStr">
        <is>
          <t>未触达</t>
        </is>
      </c>
      <c r="M745" t="inlineStr">
        <is>
          <t>MikroTik 官方认证顾问名录</t>
        </is>
      </c>
      <c r="N745" t="inlineStr"/>
      <c r="O745" t="inlineStr"/>
      <c r="P745" t="inlineStr"/>
      <c r="Q7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认证培训伙伴收录。自述做 **WISP 工程与咨询支持**。</t>
        </is>
      </c>
      <c r="R745" t="inlineStr">
        <is>
          <t>A</t>
        </is>
      </c>
      <c r="S745" t="inlineStr">
        <is>
          <t>【人工定级】A —— 自动规则已跳过；信息待人工补齐（见备注）</t>
        </is>
      </c>
      <c r="T745" t="inlineStr">
        <is>
          <t>A-159</t>
        </is>
      </c>
      <c r="U745" t="inlineStr"/>
      <c r="V745" t="inlineStr">
        <is>
          <t>A</t>
        </is>
      </c>
    </row>
    <row r="746">
      <c r="A746" t="inlineStr">
        <is>
          <t>Kevin Myers</t>
        </is>
      </c>
      <c r="B746" t="inlineStr">
        <is>
          <t>美国</t>
        </is>
      </c>
      <c r="C746" t="inlineStr">
        <is>
          <t>Flowood, MS</t>
        </is>
      </c>
      <c r="D746" t="inlineStr"/>
      <c r="E746" t="inlineStr">
        <is>
          <t>集成商/顾问（MikroTik 认证）</t>
        </is>
      </c>
      <c r="F746" t="inlineStr">
        <is>
          <t>MikroTik 认证顾问，持 MTCNA MTCRE MTCTCE MTCUME MTCSE</t>
        </is>
      </c>
      <c r="G746" t="inlineStr">
        <is>
          <t>否</t>
        </is>
      </c>
      <c r="H746" t="inlineStr">
        <is>
          <t>MikroTik 生态切入</t>
        </is>
      </c>
      <c r="I746" t="inlineStr">
        <is>
          <t>LT-S8328XGP-4XS24GT-S</t>
        </is>
      </c>
      <c r="J746" t="inlineStr">
        <is>
          <t>601-287-3868</t>
        </is>
      </c>
      <c r="K746" t="inlineStr">
        <is>
          <t>★★★</t>
        </is>
      </c>
      <c r="L746" t="inlineStr">
        <is>
          <t>未触达</t>
        </is>
      </c>
      <c r="M746" t="inlineStr">
        <is>
          <t>MikroTik 官方认证顾问名录</t>
        </is>
      </c>
      <c r="N746" t="inlineStr"/>
      <c r="O746" t="inlineStr"/>
      <c r="P746" t="inlineStr"/>
      <c r="Q7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6" t="inlineStr">
        <is>
          <t>A</t>
        </is>
      </c>
      <c r="S746" t="inlineStr">
        <is>
          <t>【人工定级】A —— 自动规则已跳过；信息待人工补齐（见备注）</t>
        </is>
      </c>
      <c r="T746" t="inlineStr">
        <is>
          <t>A-160</t>
        </is>
      </c>
      <c r="U746" t="inlineStr"/>
      <c r="V746" t="inlineStr">
        <is>
          <t>A</t>
        </is>
      </c>
    </row>
    <row r="747">
      <c r="A747" t="inlineStr">
        <is>
          <t>Chris Schiessl</t>
        </is>
      </c>
      <c r="B747" t="inlineStr">
        <is>
          <t>美国</t>
        </is>
      </c>
      <c r="C747" t="inlineStr">
        <is>
          <t>Minot, ND</t>
        </is>
      </c>
      <c r="D747" t="inlineStr"/>
      <c r="E747" t="inlineStr">
        <is>
          <t>集成商/顾问（MikroTik 认证）</t>
        </is>
      </c>
      <c r="F747" t="inlineStr">
        <is>
          <t>MikroTik 认证顾问，持 MTCRE MTCTCE</t>
        </is>
      </c>
      <c r="G747" t="inlineStr">
        <is>
          <t>否</t>
        </is>
      </c>
      <c r="H747" t="inlineStr">
        <is>
          <t>MikroTik 生态切入</t>
        </is>
      </c>
      <c r="I747" t="inlineStr">
        <is>
          <t>LT-S8328XGP-4XS24GT-S</t>
        </is>
      </c>
      <c r="J747" t="inlineStr">
        <is>
          <t>701-833-0464 / 701-858-5464</t>
        </is>
      </c>
      <c r="K747" t="inlineStr">
        <is>
          <t>★★★</t>
        </is>
      </c>
      <c r="L747" t="inlineStr">
        <is>
          <t>未触达</t>
        </is>
      </c>
      <c r="M747" t="inlineStr">
        <is>
          <t>MikroTik 官方认证顾问名录</t>
        </is>
      </c>
      <c r="N747" t="inlineStr"/>
      <c r="O747" t="inlineStr"/>
      <c r="P747" t="inlineStr"/>
      <c r="Q7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7" t="inlineStr">
        <is>
          <t>A</t>
        </is>
      </c>
      <c r="S747" t="inlineStr">
        <is>
          <t>【人工定级】A —— 自动规则已跳过；信息待人工补齐（见备注）</t>
        </is>
      </c>
      <c r="T747" t="inlineStr">
        <is>
          <t>A-161</t>
        </is>
      </c>
      <c r="U747" t="inlineStr"/>
      <c r="V747" t="inlineStr">
        <is>
          <t>A</t>
        </is>
      </c>
    </row>
    <row r="748">
      <c r="A748" t="inlineStr">
        <is>
          <t>Martin Sundahl</t>
        </is>
      </c>
      <c r="B748" t="inlineStr">
        <is>
          <t>美国</t>
        </is>
      </c>
      <c r="C748" t="inlineStr">
        <is>
          <t>New Port Richey, FL</t>
        </is>
      </c>
      <c r="D748" t="inlineStr"/>
      <c r="E748" t="inlineStr">
        <is>
          <t>集成商/顾问（MikroTik 认证）</t>
        </is>
      </c>
      <c r="F748" t="inlineStr">
        <is>
          <t>MikroTik 认证顾问，持 MTCRE</t>
        </is>
      </c>
      <c r="G748" t="inlineStr">
        <is>
          <t>否</t>
        </is>
      </c>
      <c r="H748" t="inlineStr">
        <is>
          <t>MikroTik 生态切入</t>
        </is>
      </c>
      <c r="I748" t="inlineStr">
        <is>
          <t>LT-S8328XGP-4XS24GT-S</t>
        </is>
      </c>
      <c r="J748" t="inlineStr">
        <is>
          <t>+1 727 505 1534（Skype: sundalez1）</t>
        </is>
      </c>
      <c r="K748" t="inlineStr">
        <is>
          <t>★★★</t>
        </is>
      </c>
      <c r="L748" t="inlineStr">
        <is>
          <t>未触达</t>
        </is>
      </c>
      <c r="M748" t="inlineStr">
        <is>
          <t>MikroTik 官方认证顾问名录</t>
        </is>
      </c>
      <c r="N748" t="inlineStr"/>
      <c r="O748" t="inlineStr"/>
      <c r="P748" t="inlineStr"/>
      <c r="Q7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8" t="inlineStr">
        <is>
          <t>A</t>
        </is>
      </c>
      <c r="S748" t="inlineStr">
        <is>
          <t>【人工定级】A —— 自动规则已跳过；信息待人工补齐（见备注）</t>
        </is>
      </c>
      <c r="T748" t="inlineStr">
        <is>
          <t>A-162</t>
        </is>
      </c>
      <c r="U748" t="inlineStr"/>
      <c r="V748" t="inlineStr">
        <is>
          <t>A</t>
        </is>
      </c>
    </row>
    <row r="749">
      <c r="A749" t="inlineStr">
        <is>
          <t>David Garland</t>
        </is>
      </c>
      <c r="B749" t="inlineStr">
        <is>
          <t>美国</t>
        </is>
      </c>
      <c r="C749" t="inlineStr">
        <is>
          <t>Panora, IA</t>
        </is>
      </c>
      <c r="D749" t="inlineStr"/>
      <c r="E749" t="inlineStr">
        <is>
          <t>集成商/顾问（MikroTik 认证）</t>
        </is>
      </c>
      <c r="F749" t="inlineStr">
        <is>
          <t>MikroTik 认证顾问，持 MTCINE</t>
        </is>
      </c>
      <c r="G749" t="inlineStr">
        <is>
          <t>否</t>
        </is>
      </c>
      <c r="H749" t="inlineStr">
        <is>
          <t>MikroTik 生态切入</t>
        </is>
      </c>
      <c r="I749" t="inlineStr">
        <is>
          <t>LT-S8328XGP-4XS24GT-S</t>
        </is>
      </c>
      <c r="J749" t="inlineStr">
        <is>
          <t>641-755-3037</t>
        </is>
      </c>
      <c r="K749" t="inlineStr">
        <is>
          <t>★★★</t>
        </is>
      </c>
      <c r="L749" t="inlineStr">
        <is>
          <t>未触达</t>
        </is>
      </c>
      <c r="M749" t="inlineStr">
        <is>
          <t>MikroTik 官方认证顾问名录</t>
        </is>
      </c>
      <c r="N749" t="inlineStr"/>
      <c r="O749" t="inlineStr"/>
      <c r="P749" t="inlineStr"/>
      <c r="Q7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</t>
        </is>
      </c>
      <c r="R749" t="inlineStr">
        <is>
          <t>A</t>
        </is>
      </c>
      <c r="S749" t="inlineStr">
        <is>
          <t>【人工定级】A —— 自动规则已跳过；信息待人工补齐（见备注）</t>
        </is>
      </c>
      <c r="T749" t="inlineStr">
        <is>
          <t>A-163</t>
        </is>
      </c>
      <c r="U749" t="inlineStr"/>
      <c r="V749" t="inlineStr">
        <is>
          <t>A</t>
        </is>
      </c>
    </row>
    <row r="750">
      <c r="A750" t="inlineStr">
        <is>
          <t>Hector Prado</t>
        </is>
      </c>
      <c r="B750" t="inlineStr">
        <is>
          <t>美国</t>
        </is>
      </c>
      <c r="C750" t="inlineStr">
        <is>
          <t>La Habra, CA</t>
        </is>
      </c>
      <c r="D750" t="inlineStr"/>
      <c r="E750" t="inlineStr">
        <is>
          <t>集成商/顾问（MikroTik 认证）</t>
        </is>
      </c>
      <c r="F750" t="inlineStr">
        <is>
          <t>MikroTik 认证顾问，持 MTCRE</t>
        </is>
      </c>
      <c r="G750" t="inlineStr">
        <is>
          <t>否</t>
        </is>
      </c>
      <c r="H750" t="inlineStr">
        <is>
          <t>MikroTik 生态切入</t>
        </is>
      </c>
      <c r="I750" t="inlineStr">
        <is>
          <t>LT-S8328XGP-4XS24GT-S</t>
        </is>
      </c>
      <c r="J750" t="inlineStr">
        <is>
          <t>+595 974 202030（WhatsApp）</t>
        </is>
      </c>
      <c r="K750" t="inlineStr">
        <is>
          <t>★★★</t>
        </is>
      </c>
      <c r="L750" t="inlineStr">
        <is>
          <t>未触达</t>
        </is>
      </c>
      <c r="M750" t="inlineStr">
        <is>
          <t>MikroTik 官方认证顾问名录</t>
        </is>
      </c>
      <c r="N750" t="inlineStr"/>
      <c r="O750" t="inlineStr"/>
      <c r="P750" t="inlineStr"/>
      <c r="Q7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认证培训伙伴收录。名录标注为美国加州，但联系方式为巴拉圭号，国别待核实。</t>
        </is>
      </c>
      <c r="R750" t="inlineStr">
        <is>
          <t>A</t>
        </is>
      </c>
      <c r="S750" t="inlineStr">
        <is>
          <t>【人工定级】A —— 自动规则已跳过；信息待人工补齐（见备注）</t>
        </is>
      </c>
      <c r="T750" t="inlineStr">
        <is>
          <t>A-164</t>
        </is>
      </c>
      <c r="U750" t="inlineStr"/>
      <c r="V750" t="inlineStr">
        <is>
          <t>A</t>
        </is>
      </c>
    </row>
    <row r="751">
      <c r="A751" t="inlineStr">
        <is>
          <t>Christopher Fikes</t>
        </is>
      </c>
      <c r="B751" t="inlineStr">
        <is>
          <t>美国</t>
        </is>
      </c>
      <c r="C751" t="inlineStr">
        <is>
          <t>Silsbee, TX</t>
        </is>
      </c>
      <c r="D751" t="inlineStr"/>
      <c r="E751" t="inlineStr">
        <is>
          <t>集成商/顾问（MikroTik 认证）</t>
        </is>
      </c>
      <c r="F751" t="inlineStr">
        <is>
          <t>MikroTik 认证顾问，持 MTCRE</t>
        </is>
      </c>
      <c r="G751" t="inlineStr">
        <is>
          <t>否</t>
        </is>
      </c>
      <c r="H751" t="inlineStr">
        <is>
          <t>MikroTik 生态切入</t>
        </is>
      </c>
      <c r="I751" t="inlineStr">
        <is>
          <t>LT-S8328XGP-4XS24GT-S</t>
        </is>
      </c>
      <c r="J751" t="inlineStr">
        <is>
          <t>站点 fikesmedia.com</t>
        </is>
      </c>
      <c r="K751" t="inlineStr">
        <is>
          <t>★★★</t>
        </is>
      </c>
      <c r="L751" t="inlineStr">
        <is>
          <t>未触达</t>
        </is>
      </c>
      <c r="M751" t="inlineStr">
        <is>
          <t>MikroTik 官方认证顾问名录</t>
        </is>
      </c>
      <c r="N751" t="inlineStr"/>
      <c r="O751" t="inlineStr"/>
      <c r="P751" t="inlineStr"/>
      <c r="Q751" t="inlineStr">
        <is>
          <t>【2026-09-23】MikroTik 官方认证顾问名录 / 认证培训伙伴收录。自述 20+ 年教育与公共部门网络经验（地方政府 ISP 到大学与 K12），专长含交换、VLAN、无线、VoIP。</t>
        </is>
      </c>
      <c r="R751" t="inlineStr">
        <is>
          <t>A</t>
        </is>
      </c>
      <c r="S751" t="inlineStr">
        <is>
          <t>有明确交换/供电需求（交换专长），三星重点</t>
        </is>
      </c>
      <c r="T751" t="inlineStr">
        <is>
          <t>A-093</t>
        </is>
      </c>
      <c r="U751" t="inlineStr"/>
      <c r="V751" t="inlineStr"/>
    </row>
    <row r="752">
      <c r="A752" t="inlineStr">
        <is>
          <t>NCTIK</t>
        </is>
      </c>
      <c r="B752" t="inlineStr">
        <is>
          <t>美国</t>
        </is>
      </c>
      <c r="C752" t="inlineStr">
        <is>
          <t>Raleigh, NC</t>
        </is>
      </c>
      <c r="D752" t="inlineStr"/>
      <c r="E752" t="inlineStr">
        <is>
          <t>集成商/顾问（MikroTik 认证）</t>
        </is>
      </c>
      <c r="F752" t="inlineStr">
        <is>
          <t>MikroTik 认证顾问，持 MikroTik 认证培训伙伴</t>
        </is>
      </c>
      <c r="G752" t="inlineStr">
        <is>
          <t>否</t>
        </is>
      </c>
      <c r="H752" t="inlineStr">
        <is>
          <t>MikroTik 生态切入</t>
        </is>
      </c>
      <c r="I752" t="inlineStr">
        <is>
          <t>LT-S8328XGP-4XS24GT-S</t>
        </is>
      </c>
      <c r="J752" t="inlineStr">
        <is>
          <t>Nctik@nctik.com；+1 704 750 9446</t>
        </is>
      </c>
      <c r="K752" t="inlineStr">
        <is>
          <t>★★★</t>
        </is>
      </c>
      <c r="L752" t="inlineStr">
        <is>
          <t>未触达</t>
        </is>
      </c>
      <c r="M752" t="inlineStr">
        <is>
          <t>MikroTik 官方认证顾问名录</t>
        </is>
      </c>
      <c r="N752" t="inlineStr"/>
      <c r="O752" t="inlineStr"/>
      <c r="P752" t="inlineStr"/>
      <c r="Q752" t="inlineStr">
        <is>
          <t>【2026-09-23】MikroTik 官方认证顾问名录 / 认证培训伙伴收录。北卡认证培训机构，开设全部 MTC*E 工程课程，面向网络工程师、ISP 与 WISP。</t>
        </is>
      </c>
      <c r="R752" t="inlineStr">
        <is>
          <t>B</t>
        </is>
      </c>
      <c r="S752" t="inlineStr">
        <is>
          <t>有信号（ISP/骨干、影响力/渠道）但需先验证需求或联系人不具体</t>
        </is>
      </c>
      <c r="T752" t="inlineStr">
        <is>
          <t>B-508</t>
        </is>
      </c>
      <c r="U752" t="inlineStr"/>
      <c r="V752" t="inlineStr"/>
    </row>
    <row r="753">
      <c r="A753" t="inlineStr">
        <is>
          <t>Steve Discher</t>
        </is>
      </c>
      <c r="B753" t="inlineStr">
        <is>
          <t>美国</t>
        </is>
      </c>
      <c r="C753" t="inlineStr">
        <is>
          <t>TX</t>
        </is>
      </c>
      <c r="D753" t="inlineStr"/>
      <c r="E753" t="inlineStr">
        <is>
          <t>集成商/顾问（MikroTik 认证）</t>
        </is>
      </c>
      <c r="F753" t="inlineStr">
        <is>
          <t>MikroTik 认证顾问，持 MikroTik 与 Ubiquiti 认证讲师</t>
        </is>
      </c>
      <c r="G753" t="inlineStr">
        <is>
          <t>否</t>
        </is>
      </c>
      <c r="H753" t="inlineStr">
        <is>
          <t>MikroTik 生态切入</t>
        </is>
      </c>
      <c r="I753" t="inlineStr">
        <is>
          <t>LT-S8328XGP-4XS24GT-S</t>
        </is>
      </c>
      <c r="J753" t="inlineStr">
        <is>
          <t>979-314-4431；站点 mywisptraining.com</t>
        </is>
      </c>
      <c r="K753" t="inlineStr">
        <is>
          <t>★★★</t>
        </is>
      </c>
      <c r="L753" t="inlineStr">
        <is>
          <t>未触达</t>
        </is>
      </c>
      <c r="M753" t="inlineStr">
        <is>
          <t>MikroTik 官方认证顾问名录</t>
        </is>
      </c>
      <c r="N753" t="inlineStr"/>
      <c r="O753" t="inlineStr"/>
      <c r="P753" t="inlineStr"/>
      <c r="Q7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【2026-09-23】MikroTik 官方认证顾问名录 / 认证培训伙伴收录。《RouterOS by Example》作者，**自营 WISP 六年以上**，做 WISP 实操培训。</t>
        </is>
      </c>
      <c r="R753" t="inlineStr">
        <is>
          <t>A</t>
        </is>
      </c>
      <c r="S753" t="inlineStr">
        <is>
          <t>【人工定级】A —— 自动规则已跳过；信息待人工补齐（见备注）</t>
        </is>
      </c>
      <c r="T753" t="inlineStr">
        <is>
          <t>A-165</t>
        </is>
      </c>
      <c r="U753" t="inlineStr"/>
      <c r="V753" t="inlineStr">
        <is>
          <t>A</t>
        </is>
      </c>
    </row>
    <row r="754">
      <c r="A754" t="inlineStr">
        <is>
          <t>FMS Internetservice GmbH</t>
        </is>
      </c>
      <c r="B754" t="inlineStr">
        <is>
          <t>德国</t>
        </is>
      </c>
      <c r="C754" t="inlineStr">
        <is>
          <t>Umkirch</t>
        </is>
      </c>
      <c r="D754" t="inlineStr"/>
      <c r="E754" t="inlineStr">
        <is>
          <t>集成商/顾问（MikroTik 认证）</t>
        </is>
      </c>
      <c r="F754" t="inlineStr">
        <is>
          <t>MikroTik 培训伙伴，开课/持证 MTCRE MTCSWE</t>
        </is>
      </c>
      <c r="G754" t="inlineStr">
        <is>
          <t>否</t>
        </is>
      </c>
      <c r="H754" t="inlineStr">
        <is>
          <t>MikroTik 生态切入</t>
        </is>
      </c>
      <c r="I754" t="inlineStr">
        <is>
          <t>LT-S8328XGP-4XS24GT-S</t>
        </is>
      </c>
      <c r="J754" t="inlineStr">
        <is>
          <t>见 mikrotik.com/training/europe 培训计划页</t>
        </is>
      </c>
      <c r="K754" t="inlineStr">
        <is>
          <t>★★★</t>
        </is>
      </c>
      <c r="L754" t="inlineStr">
        <is>
          <t>未触达</t>
        </is>
      </c>
      <c r="M754" t="inlineStr">
        <is>
          <t>MikroTik 官方培训计划（欧洲）</t>
        </is>
      </c>
      <c r="N754" t="inlineStr"/>
      <c r="O754" t="inlineStr"/>
      <c r="P754" t="inlineStr"/>
      <c r="Q754" t="inlineStr">
        <is>
          <t>【2026-09-23】MikroTik 官方培训伙伴/顾问名录收录。在 Umkirch 开 MTCRE 与 **MTCSWE**，德语授课。ISP/网络服务商背景。</t>
        </is>
      </c>
      <c r="R754" t="inlineStr">
        <is>
          <t>A</t>
        </is>
      </c>
      <c r="S754" t="inlineStr">
        <is>
          <t>有明确交换/供电需求（交换认证 MTCSWE），三星重点</t>
        </is>
      </c>
      <c r="T754" t="inlineStr">
        <is>
          <t>A-094</t>
        </is>
      </c>
      <c r="U754" t="inlineStr"/>
      <c r="V754" t="inlineStr"/>
    </row>
    <row r="755">
      <c r="A755" t="inlineStr">
        <is>
          <t>Janzen Group</t>
        </is>
      </c>
      <c r="B755" t="inlineStr">
        <is>
          <t>德国</t>
        </is>
      </c>
      <c r="C755" t="inlineStr">
        <is>
          <t>Hamburg</t>
        </is>
      </c>
      <c r="D755" t="inlineStr">
        <is>
          <t>janzen-group.com</t>
        </is>
      </c>
      <c r="E755" t="inlineStr">
        <is>
          <t>集成商/顾问（MikroTik 认证）</t>
        </is>
      </c>
      <c r="F755" t="inlineStr">
        <is>
          <t>MikroTik 培训伙伴，开课/持证 MikroTik 认证顾问与讲师（具体科目未列）</t>
        </is>
      </c>
      <c r="G755" t="inlineStr">
        <is>
          <t>否</t>
        </is>
      </c>
      <c r="H755" t="inlineStr">
        <is>
          <t>MikroTik 生态切入</t>
        </is>
      </c>
      <c r="I755" t="inlineStr">
        <is>
          <t>LT-S8328XGP-4XS24GT-S</t>
        </is>
      </c>
      <c r="J755" t="inlineStr">
        <is>
          <t>info@janzen-group.com</t>
        </is>
      </c>
      <c r="K755" t="inlineStr">
        <is>
          <t>★★★</t>
        </is>
      </c>
      <c r="L755" t="inlineStr">
        <is>
          <t>未触达</t>
        </is>
      </c>
      <c r="M755" t="inlineStr">
        <is>
          <t>MikroTik 官方培训计划（欧洲）</t>
        </is>
      </c>
      <c r="N755" t="inlineStr"/>
      <c r="O755" t="inlineStr"/>
      <c r="P755" t="inlineStr"/>
      <c r="Q755" t="inlineStr">
        <is>
          <t>【2026-09-23】MikroTik 官方培训伙伴/顾问名录收录。汉堡本地 MikroTik **支持/咨询/实施**商，全德远程+汉堡现场。自述团队为「认证培训师与顾问」，面向企业网络与 IT 基础设施。</t>
        </is>
      </c>
      <c r="R755" t="inlineStr">
        <is>
          <t>B</t>
        </is>
      </c>
      <c r="S755" t="inlineStr">
        <is>
          <t>有信号（影响力/渠道）但需先验证需求或联系人不具体</t>
        </is>
      </c>
      <c r="T755" t="inlineStr">
        <is>
          <t>B-510</t>
        </is>
      </c>
      <c r="U755" t="inlineStr"/>
      <c r="V755" t="inlineStr"/>
    </row>
    <row r="756">
      <c r="A756" t="inlineStr">
        <is>
          <t>Patrik Schaub</t>
        </is>
      </c>
      <c r="B756" t="inlineStr">
        <is>
          <t>德国</t>
        </is>
      </c>
      <c r="C756" t="inlineStr">
        <is>
          <t>Freiburg</t>
        </is>
      </c>
      <c r="D756" t="inlineStr"/>
      <c r="E756" t="inlineStr">
        <is>
          <t>集成商/顾问（MikroTik 认证）</t>
        </is>
      </c>
      <c r="F756" t="inlineStr">
        <is>
          <t>MikroTik 认证培训伙伴，持 MTCNA MTCRE MTCWE MTCTCE MTCUME MTCINE MTCIPv6E MTCSE MTCSWE MTCEWE</t>
        </is>
      </c>
      <c r="G756" t="inlineStr">
        <is>
          <t>否</t>
        </is>
      </c>
      <c r="H756" t="inlineStr">
        <is>
          <t>MikroTik 生态切入</t>
        </is>
      </c>
      <c r="I756" t="inlineStr">
        <is>
          <t>LT-S8328XGP-4XS24GT-S</t>
        </is>
      </c>
      <c r="J756" t="inlineStr">
        <is>
          <t>49 761 2926500</t>
        </is>
      </c>
      <c r="K756" t="inlineStr">
        <is>
          <t>★★★</t>
        </is>
      </c>
      <c r="L756" t="inlineStr">
        <is>
          <t>未触达</t>
        </is>
      </c>
      <c r="M756" t="inlineStr">
        <is>
          <t>MikroTik 官方培训中心名录</t>
        </is>
      </c>
      <c r="N756" t="inlineStr"/>
      <c r="O756" t="inlineStr"/>
      <c r="P756" t="inlineStr"/>
      <c r="Q756" t="inlineStr">
        <is>
          <t>FMS Internetservice GmbH。持全部十证，含 **MTCSWE**。</t>
        </is>
      </c>
      <c r="R756" t="inlineStr">
        <is>
          <t>A</t>
        </is>
      </c>
      <c r="S756" t="inlineStr">
        <is>
          <t>有明确交换/供电需求（交换认证 MTCSWE），且有具体人直联</t>
        </is>
      </c>
      <c r="T756" t="inlineStr">
        <is>
          <t>A-095</t>
        </is>
      </c>
      <c r="U756" t="inlineStr"/>
      <c r="V756" t="inlineStr"/>
    </row>
    <row r="757">
      <c r="A757" t="inlineStr">
        <is>
          <t>Khalil Chamseddine</t>
        </is>
      </c>
      <c r="B757" t="inlineStr">
        <is>
          <t>奥地利</t>
        </is>
      </c>
      <c r="C757" t="inlineStr">
        <is>
          <t>Vienna</t>
        </is>
      </c>
      <c r="D757" t="inlineStr"/>
      <c r="E757" t="inlineStr">
        <is>
          <t>集成商/顾问（MikroTik 认证）</t>
        </is>
      </c>
      <c r="F757" t="inlineStr">
        <is>
          <t>MikroTik 认证培训伙伴，持 MTCNA MTCRE MTCWE MTCTCE MTCUME MTCINE MTCIPv6E MTCSE MTCSWE MTCEWE</t>
        </is>
      </c>
      <c r="G757" t="inlineStr">
        <is>
          <t>否</t>
        </is>
      </c>
      <c r="H757" t="inlineStr">
        <is>
          <t>MikroTik 生态切入</t>
        </is>
      </c>
      <c r="I757" t="inlineStr">
        <is>
          <t>LT-S8328XGP-4XS24GT-S</t>
        </is>
      </c>
      <c r="J757" t="inlineStr">
        <is>
          <t>+436889131190</t>
        </is>
      </c>
      <c r="K757" t="inlineStr">
        <is>
          <t>★★★</t>
        </is>
      </c>
      <c r="L757" t="inlineStr">
        <is>
          <t>未触达</t>
        </is>
      </c>
      <c r="M757" t="inlineStr">
        <is>
          <t>MikroTik 官方培训中心名录</t>
        </is>
      </c>
      <c r="N757" t="inlineStr"/>
      <c r="O757" t="inlineStr"/>
      <c r="P757" t="inlineStr"/>
      <c r="Q757" t="inlineStr">
        <is>
          <t>持全部十证，含 **MTCSWE**。奥地利首位进库的 MTCSWE 顾问。</t>
        </is>
      </c>
      <c r="R757" t="inlineStr">
        <is>
          <t>A</t>
        </is>
      </c>
      <c r="S757" t="inlineStr">
        <is>
          <t>有明确交换/供电需求（交换认证 MTCSWE），且有具体人直联</t>
        </is>
      </c>
      <c r="T757" t="inlineStr">
        <is>
          <t>A-096</t>
        </is>
      </c>
      <c r="U757" t="inlineStr"/>
      <c r="V757" t="inlineStr"/>
    </row>
    <row r="758">
      <c r="A758" t="inlineStr">
        <is>
          <t>Martin Polainer</t>
        </is>
      </c>
      <c r="B758" t="inlineStr">
        <is>
          <t>奥地利</t>
        </is>
      </c>
      <c r="C758" t="inlineStr">
        <is>
          <t>Weiz</t>
        </is>
      </c>
      <c r="D758" t="inlineStr"/>
      <c r="E758" t="inlineStr">
        <is>
          <t>集成商/顾问（MikroTik 认证）</t>
        </is>
      </c>
      <c r="F758" t="inlineStr">
        <is>
          <t>MikroTik 认证培训伙伴，持 MTCNA MTCRE MTCWE MTCTCE MTCUME</t>
        </is>
      </c>
      <c r="G758" t="inlineStr">
        <is>
          <t>否</t>
        </is>
      </c>
      <c r="H758" t="inlineStr">
        <is>
          <t>MikroTik 生态切入</t>
        </is>
      </c>
      <c r="I758" t="inlineStr">
        <is>
          <t>LT-S8328XGP-4XS24GT-S</t>
        </is>
      </c>
      <c r="J758" t="inlineStr">
        <is>
          <t>43 3172 42299 0</t>
        </is>
      </c>
      <c r="K758" t="inlineStr">
        <is>
          <t>★★★</t>
        </is>
      </c>
      <c r="L758" t="inlineStr">
        <is>
          <t>未触达</t>
        </is>
      </c>
      <c r="M758" t="inlineStr">
        <is>
          <t>MikroTik 官方培训中心名录</t>
        </is>
      </c>
      <c r="N758" t="inlineStr"/>
      <c r="O758" t="inlineStr"/>
      <c r="P758" t="inlineStr"/>
      <c r="Q758" t="inlineStr">
        <is>
          <t>TRIOTRONIK。缺 MTCSWE。</t>
        </is>
      </c>
      <c r="R758" t="inlineStr">
        <is>
          <t>A</t>
        </is>
      </c>
      <c r="S758" t="inlineStr">
        <is>
          <t>有明确交换/供电需求（交换认证 MTCSWE），且有具体人直联</t>
        </is>
      </c>
      <c r="T758" t="inlineStr">
        <is>
          <t>A-097</t>
        </is>
      </c>
      <c r="U758" t="inlineStr"/>
      <c r="V758" t="inlineStr"/>
    </row>
    <row r="759">
      <c r="A759" t="inlineStr">
        <is>
          <t>Scornici Vadim</t>
        </is>
      </c>
      <c r="B759" t="inlineStr">
        <is>
          <t>乌克兰</t>
        </is>
      </c>
      <c r="C759" t="inlineStr">
        <is>
          <t>Kyiv</t>
        </is>
      </c>
      <c r="D759" t="inlineStr"/>
      <c r="E759" t="inlineStr">
        <is>
          <t>集成商/顾问（MikroTik 认证）</t>
        </is>
      </c>
      <c r="F759" t="inlineStr">
        <is>
          <t>MikroTik 认证培训伙伴，持 MTCNA MTCRE MTCWE MTCTCE MTCUME MTCINE MTCIPv6E MTCSE MTCSWE MTCEWE</t>
        </is>
      </c>
      <c r="G759" t="inlineStr">
        <is>
          <t>否</t>
        </is>
      </c>
      <c r="H759" t="inlineStr">
        <is>
          <t>MikroTik 生态切入</t>
        </is>
      </c>
      <c r="I759" t="inlineStr">
        <is>
          <t>LT-S8328XGP-4XS24GT-S</t>
        </is>
      </c>
      <c r="J759" t="inlineStr">
        <is>
          <t>+380 662340273</t>
        </is>
      </c>
      <c r="K759" t="inlineStr">
        <is>
          <t>★★★</t>
        </is>
      </c>
      <c r="L759" t="inlineStr">
        <is>
          <t>未触达</t>
        </is>
      </c>
      <c r="M759" t="inlineStr">
        <is>
          <t>MikroTik 官方培训中心名录</t>
        </is>
      </c>
      <c r="N759" t="inlineStr"/>
      <c r="O759" t="inlineStr"/>
      <c r="P759" t="inlineStr"/>
      <c r="Q759" t="inlineStr">
        <is>
          <t>持全部十证，含 **MTCSWE**。</t>
        </is>
      </c>
      <c r="R759" t="inlineStr">
        <is>
          <t>A</t>
        </is>
      </c>
      <c r="S759" t="inlineStr">
        <is>
          <t>有明确交换/供电需求（交换认证 MTCSWE），且有具体人直联</t>
        </is>
      </c>
      <c r="T759" t="inlineStr">
        <is>
          <t>A-098</t>
        </is>
      </c>
      <c r="U759" t="inlineStr"/>
      <c r="V759" t="inlineStr"/>
    </row>
    <row r="760">
      <c r="A760" t="inlineStr">
        <is>
          <t>Ahababian V.</t>
        </is>
      </c>
      <c r="B760" t="inlineStr">
        <is>
          <t>乌克兰</t>
        </is>
      </c>
      <c r="C760" t="inlineStr">
        <is>
          <t>Kyiv</t>
        </is>
      </c>
      <c r="D760" t="inlineStr">
        <is>
          <t>mikrotikls.com.ua</t>
        </is>
      </c>
      <c r="E760" t="inlineStr">
        <is>
          <t>集成商/顾问（MikroTik 认证）</t>
        </is>
      </c>
      <c r="F760" t="inlineStr">
        <is>
          <t>MikroTik 认证培训伙伴，持 MTCNA MTCRE MTCWE MTCTCE MTCIPv6E MTCSE MTCSWE MTCEWE</t>
        </is>
      </c>
      <c r="G760" t="inlineStr">
        <is>
          <t>否</t>
        </is>
      </c>
      <c r="H760" t="inlineStr">
        <is>
          <t>MikroTik 生态切入</t>
        </is>
      </c>
      <c r="I760" t="inlineStr">
        <is>
          <t>LT-S8328XGP-4XS24GT-S</t>
        </is>
      </c>
      <c r="J760" t="inlineStr">
        <is>
          <t>+380669074488</t>
        </is>
      </c>
      <c r="K760" t="inlineStr">
        <is>
          <t>★★★</t>
        </is>
      </c>
      <c r="L760" t="inlineStr">
        <is>
          <t>未触达</t>
        </is>
      </c>
      <c r="M760" t="inlineStr">
        <is>
          <t>MikroTik 官方培训中心名录</t>
        </is>
      </c>
      <c r="N760" t="inlineStr"/>
      <c r="O760" t="inlineStr"/>
      <c r="P760" t="inlineStr"/>
      <c r="Q760" t="inlineStr">
        <is>
          <t>自营 MikroTik 培训中心（MikroTikls.com.ua），持 **MTCSWE**，带培训影响力。</t>
        </is>
      </c>
      <c r="R760" t="inlineStr">
        <is>
          <t>A</t>
        </is>
      </c>
      <c r="S760" t="inlineStr">
        <is>
          <t>有明确交换/供电需求（交换认证 MTCSWE），且有具体人直联</t>
        </is>
      </c>
      <c r="T760" t="inlineStr">
        <is>
          <t>A-099</t>
        </is>
      </c>
      <c r="U760" t="inlineStr"/>
      <c r="V760" t="inlineStr"/>
    </row>
    <row r="761">
      <c r="A761" t="inlineStr">
        <is>
          <t>Andrii Sychov</t>
        </is>
      </c>
      <c r="B761" t="inlineStr">
        <is>
          <t>乌克兰</t>
        </is>
      </c>
      <c r="C761" t="inlineStr">
        <is>
          <t>Kyiv</t>
        </is>
      </c>
      <c r="D761" t="inlineStr"/>
      <c r="E761" t="inlineStr">
        <is>
          <t>集成商/顾问（MikroTik 认证）</t>
        </is>
      </c>
      <c r="F761" t="inlineStr">
        <is>
          <t>MikroTik 认证培训伙伴，持 MTCNA MTCRE MTCWE MTCTCE MTCUME MTCINE MTCIPv6E MTCSE MTCSWE MTCEWE</t>
        </is>
      </c>
      <c r="G761" t="inlineStr">
        <is>
          <t>否</t>
        </is>
      </c>
      <c r="H761" t="inlineStr">
        <is>
          <t>MikroTik 生态切入</t>
        </is>
      </c>
      <c r="I761" t="inlineStr">
        <is>
          <t>LT-S8328XGP-4XS24GT-S</t>
        </is>
      </c>
      <c r="J761" t="inlineStr">
        <is>
          <t>+380 67 701 22 82</t>
        </is>
      </c>
      <c r="K761" t="inlineStr">
        <is>
          <t>★★★</t>
        </is>
      </c>
      <c r="L761" t="inlineStr">
        <is>
          <t>未触达</t>
        </is>
      </c>
      <c r="M761" t="inlineStr">
        <is>
          <t>MikroTik 官方培训中心名录</t>
        </is>
      </c>
      <c r="N761" t="inlineStr"/>
      <c r="O761" t="inlineStr"/>
      <c r="P761" t="inlineStr"/>
      <c r="Q761" t="inlineStr">
        <is>
          <t>持全部十证，含 **MTCSWE**。</t>
        </is>
      </c>
      <c r="R761" t="inlineStr">
        <is>
          <t>A</t>
        </is>
      </c>
      <c r="S761" t="inlineStr">
        <is>
          <t>有明确交换/供电需求（交换认证 MTCSWE），且有具体人直联</t>
        </is>
      </c>
      <c r="T761" t="inlineStr">
        <is>
          <t>A-100</t>
        </is>
      </c>
      <c r="U761" t="inlineStr"/>
      <c r="V761" t="inlineStr"/>
    </row>
    <row r="762">
      <c r="A762" t="inlineStr">
        <is>
          <t>Mikrotik Warsaw Training Center</t>
        </is>
      </c>
      <c r="B762" t="inlineStr">
        <is>
          <t>波兰</t>
        </is>
      </c>
      <c r="C762" t="inlineStr">
        <is>
          <t>Warsaw</t>
        </is>
      </c>
      <c r="D762" t="inlineStr"/>
      <c r="E762" t="inlineStr">
        <is>
          <t>集成商/顾问（MikroTik 认证）</t>
        </is>
      </c>
      <c r="F762" t="inlineStr">
        <is>
          <t>MikroTik 认证培训伙伴，持 MTCNA MTCRE MTCWE MTCTCE MTCUME MTCINE MTCIPv6E MTCSE MTCSWE MTCEWE</t>
        </is>
      </c>
      <c r="G762" t="inlineStr">
        <is>
          <t>否</t>
        </is>
      </c>
      <c r="H762" t="inlineStr">
        <is>
          <t>MikroTik 生态切入</t>
        </is>
      </c>
      <c r="I762" t="inlineStr">
        <is>
          <t>LT-S8328XGP-4XS24GT-S</t>
        </is>
      </c>
      <c r="J762" t="inlineStr">
        <is>
          <t>+48 796 171 971</t>
        </is>
      </c>
      <c r="K762" t="inlineStr">
        <is>
          <t>★★★</t>
        </is>
      </c>
      <c r="L762" t="inlineStr">
        <is>
          <t>未触达</t>
        </is>
      </c>
      <c r="M762" t="inlineStr">
        <is>
          <t>MikroTik 官方培训中心名录</t>
        </is>
      </c>
      <c r="N762" t="inlineStr"/>
      <c r="O762" t="inlineStr"/>
      <c r="P762" t="inlineStr"/>
      <c r="Q762" t="inlineStr">
        <is>
          <t>华沙官方培训中心（M.Filipek / P.Wasyk / I.Hreskiv），持 **MTCSWE**。</t>
        </is>
      </c>
      <c r="R762" t="inlineStr">
        <is>
          <t>A</t>
        </is>
      </c>
      <c r="S762" t="inlineStr">
        <is>
          <t>有明确交换/供电需求（交换认证 MTCSWE），且有具体人直联</t>
        </is>
      </c>
      <c r="T762" t="inlineStr">
        <is>
          <t>A-101</t>
        </is>
      </c>
      <c r="U762" t="inlineStr"/>
      <c r="V762" t="inlineStr"/>
    </row>
    <row r="763">
      <c r="A763" t="inlineStr">
        <is>
          <t>Tadeusz Ruchlewicz</t>
        </is>
      </c>
      <c r="B763" t="inlineStr">
        <is>
          <t>波兰</t>
        </is>
      </c>
      <c r="C763" t="inlineStr">
        <is>
          <t>Rzeszów</t>
        </is>
      </c>
      <c r="D763" t="inlineStr"/>
      <c r="E763" t="inlineStr">
        <is>
          <t>集成商/顾问（MikroTik 认证）</t>
        </is>
      </c>
      <c r="F763" t="inlineStr">
        <is>
          <t>MikroTik 认证培训伙伴，持 MTCNA MTCRE MTCWE MTCTCE MTCUME MTCINE MTCIPv6E MTCSE MTCSWE MTCEWE</t>
        </is>
      </c>
      <c r="G763" t="inlineStr">
        <is>
          <t>否</t>
        </is>
      </c>
      <c r="H763" t="inlineStr">
        <is>
          <t>MikroTik 生态切入</t>
        </is>
      </c>
      <c r="I763" t="inlineStr">
        <is>
          <t>LT-S8328XGP-4XS24GT-S</t>
        </is>
      </c>
      <c r="J763" t="inlineStr">
        <is>
          <t>+48 604 922 386</t>
        </is>
      </c>
      <c r="K763" t="inlineStr">
        <is>
          <t>★★★</t>
        </is>
      </c>
      <c r="L763" t="inlineStr">
        <is>
          <t>未触达</t>
        </is>
      </c>
      <c r="M763" t="inlineStr">
        <is>
          <t>MikroTik 官方培训中心名录</t>
        </is>
      </c>
      <c r="N763" t="inlineStr"/>
      <c r="O763" t="inlineStr"/>
      <c r="P763" t="inlineStr"/>
      <c r="Q763" t="inlineStr">
        <is>
          <t>Cs Edu Idet Sp. z o.o.，持 **MTCSWE**。</t>
        </is>
      </c>
      <c r="R763" t="inlineStr">
        <is>
          <t>A</t>
        </is>
      </c>
      <c r="S763" t="inlineStr">
        <is>
          <t>有明确交换/供电需求（交换认证 MTCSWE），且有具体人直联</t>
        </is>
      </c>
      <c r="T763" t="inlineStr">
        <is>
          <t>A-102</t>
        </is>
      </c>
      <c r="U763" t="inlineStr"/>
      <c r="V763" t="inlineStr"/>
    </row>
    <row r="764">
      <c r="A764" t="inlineStr">
        <is>
          <t>Bartłomiej Rodek</t>
        </is>
      </c>
      <c r="B764" t="inlineStr">
        <is>
          <t>波兰</t>
        </is>
      </c>
      <c r="C764" t="inlineStr">
        <is>
          <t>Gliwice</t>
        </is>
      </c>
      <c r="D764" t="inlineStr"/>
      <c r="E764" t="inlineStr">
        <is>
          <t>集成商/顾问（MikroTik 认证）</t>
        </is>
      </c>
      <c r="F764" t="inlineStr">
        <is>
          <t>MikroTik 认证培训伙伴，持 MTCNA MTCRE MTCWE MTCINE</t>
        </is>
      </c>
      <c r="G764" t="inlineStr">
        <is>
          <t>否</t>
        </is>
      </c>
      <c r="H764" t="inlineStr">
        <is>
          <t>MikroTik 生态切入</t>
        </is>
      </c>
      <c r="I764" t="inlineStr">
        <is>
          <t>LT-S8328XGP-4XS24GT-S</t>
        </is>
      </c>
      <c r="J764" t="inlineStr">
        <is>
          <t>+48 32 3022 907</t>
        </is>
      </c>
      <c r="K764" t="inlineStr">
        <is>
          <t>★★★</t>
        </is>
      </c>
      <c r="L764" t="inlineStr">
        <is>
          <t>未触达</t>
        </is>
      </c>
      <c r="M764" t="inlineStr">
        <is>
          <t>MikroTik 官方培训中心名录</t>
        </is>
      </c>
      <c r="N764" t="inlineStr"/>
      <c r="O764" t="inlineStr"/>
      <c r="P764" t="inlineStr"/>
      <c r="Q764" t="inlineStr">
        <is>
          <t>Inter Project。缺 MTCSWE。</t>
        </is>
      </c>
      <c r="R764" t="inlineStr">
        <is>
          <t>A</t>
        </is>
      </c>
      <c r="S764" t="inlineStr">
        <is>
          <t>有明确交换/供电需求（交换认证 MTCSWE），且有具体人直联</t>
        </is>
      </c>
      <c r="T764" t="inlineStr">
        <is>
          <t>A-103</t>
        </is>
      </c>
      <c r="U764" t="inlineStr"/>
      <c r="V764" t="inlineStr"/>
    </row>
    <row r="765">
      <c r="A765" t="inlineStr">
        <is>
          <t>Jaromir Cihak</t>
        </is>
      </c>
      <c r="B765" t="inlineStr">
        <is>
          <t>捷克</t>
        </is>
      </c>
      <c r="C765" t="inlineStr">
        <is>
          <t>Prague</t>
        </is>
      </c>
      <c r="D765" t="inlineStr"/>
      <c r="E765" t="inlineStr">
        <is>
          <t>集成商/顾问（MikroTik 认证）</t>
        </is>
      </c>
      <c r="F765" t="inlineStr">
        <is>
          <t>MikroTik 认证培训伙伴，持 MTCNA MTCRE MTCTCE MTCSE MTCEWE</t>
        </is>
      </c>
      <c r="G765" t="inlineStr">
        <is>
          <t>否</t>
        </is>
      </c>
      <c r="H765" t="inlineStr">
        <is>
          <t>MikroTik 生态切入</t>
        </is>
      </c>
      <c r="I765" t="inlineStr">
        <is>
          <t>LT-S8328XGP-4XS24GT-S</t>
        </is>
      </c>
      <c r="J765" t="inlineStr">
        <is>
          <t>+420 222356220</t>
        </is>
      </c>
      <c r="K765" t="inlineStr">
        <is>
          <t>★★★</t>
        </is>
      </c>
      <c r="L765" t="inlineStr">
        <is>
          <t>未触达</t>
        </is>
      </c>
      <c r="M765" t="inlineStr">
        <is>
          <t>MikroTik 官方培训中心名录</t>
        </is>
      </c>
      <c r="N765" t="inlineStr"/>
      <c r="O765" t="inlineStr"/>
      <c r="P765" t="inlineStr"/>
      <c r="Q765" t="inlineStr">
        <is>
          <t>SysDataCom s.r.o.。缺 MTCSWE。</t>
        </is>
      </c>
      <c r="R765" t="inlineStr">
        <is>
          <t>A</t>
        </is>
      </c>
      <c r="S765" t="inlineStr">
        <is>
          <t>有明确交换/供电需求（交换认证 MTCSWE），且有具体人直联</t>
        </is>
      </c>
      <c r="T765" t="inlineStr">
        <is>
          <t>A-104</t>
        </is>
      </c>
      <c r="U765" t="inlineStr"/>
      <c r="V765" t="inlineStr"/>
    </row>
    <row r="766">
      <c r="A766" t="inlineStr">
        <is>
          <t>Petar Dimitrov</t>
        </is>
      </c>
      <c r="B766" t="inlineStr">
        <is>
          <t>保加利亚</t>
        </is>
      </c>
      <c r="C766" t="inlineStr">
        <is>
          <t>Sofia</t>
        </is>
      </c>
      <c r="D766" t="inlineStr">
        <is>
          <t>mikrotikbg.shop</t>
        </is>
      </c>
      <c r="E766" t="inlineStr">
        <is>
          <t>集成商/顾问（MikroTik 认证）</t>
        </is>
      </c>
      <c r="F766" t="inlineStr">
        <is>
          <t>MikroTik 认证培训伙伴，持 可讲授 MTCSWE 等全部工程级课程</t>
        </is>
      </c>
      <c r="G766" t="inlineStr">
        <is>
          <t>否</t>
        </is>
      </c>
      <c r="H766" t="inlineStr">
        <is>
          <t>MikroTik 生态切入</t>
        </is>
      </c>
      <c r="I766" t="inlineStr">
        <is>
          <t>LT-S8328XGP-4XS24GT-S</t>
        </is>
      </c>
      <c r="J766" t="inlineStr">
        <is>
          <t>info@mikrotikbg.shop；+359 2 451 2525</t>
        </is>
      </c>
      <c r="K766" t="inlineStr">
        <is>
          <t>★★★</t>
        </is>
      </c>
      <c r="L766" t="inlineStr">
        <is>
          <t>未触达</t>
        </is>
      </c>
      <c r="M766" t="inlineStr">
        <is>
          <t>MikroTik 官方培训中心名录</t>
        </is>
      </c>
      <c r="N766" t="inlineStr"/>
      <c r="O766" t="inlineStr"/>
      <c r="P766" t="inlineStr"/>
      <c r="Q766" t="inlineStr">
        <is>
          <t>mikrotikbg.shop 与 PG NET PRO 合作开课，**Petar Dimitrov 为 MikroTik 认证讲师**，开 MTCNA/MTCTCE/**MTCSWE**/MTCSE/MTCIPv6E/MTCUME/MTCEWE/MTCWE/MTCRE/MTCINE 全部工程级课程。保加利亚首位进库。</t>
        </is>
      </c>
      <c r="R766" t="inlineStr">
        <is>
          <t>A</t>
        </is>
      </c>
      <c r="S766" t="inlineStr">
        <is>
          <t>有明确交换/供电需求（交换认证 MTCSWE），且有具体人直联</t>
        </is>
      </c>
      <c r="T766" t="inlineStr">
        <is>
          <t>A-105</t>
        </is>
      </c>
      <c r="U766" t="inlineStr"/>
      <c r="V766" t="inlineStr"/>
    </row>
    <row r="767">
      <c r="A767" t="inlineStr">
        <is>
          <t>Landatel</t>
        </is>
      </c>
      <c r="B767" t="inlineStr">
        <is>
          <t>西班牙</t>
        </is>
      </c>
      <c r="C767" t="inlineStr">
        <is>
          <t>Madrid</t>
        </is>
      </c>
      <c r="D767" t="inlineStr"/>
      <c r="E767" t="inlineStr">
        <is>
          <t>分销（Netonix 授权）</t>
        </is>
      </c>
      <c r="F767" t="inlineStr">
        <is>
          <t>Netonix 授权渠道（WISP 接入层交换机）</t>
        </is>
      </c>
      <c r="G767" t="inlineStr">
        <is>
          <t>否</t>
        </is>
      </c>
      <c r="H767" t="inlineStr">
        <is>
          <t>WISP 接入层替换</t>
        </is>
      </c>
      <c r="I767" t="inlineStr">
        <is>
          <t>LT-S8328XGP-4XS24GT-S</t>
        </is>
      </c>
      <c r="J767" t="inlineStr">
        <is>
          <t>+34-911-461-700</t>
        </is>
      </c>
      <c r="K767" t="inlineStr">
        <is>
          <t>★★★</t>
        </is>
      </c>
      <c r="L767" t="inlineStr">
        <is>
          <t>未触达</t>
        </is>
      </c>
      <c r="M767" t="inlineStr">
        <is>
          <t>Netonix 官方分销/代理名录</t>
        </is>
      </c>
      <c r="N767" t="inlineStr"/>
      <c r="O767" t="inlineStr"/>
      <c r="P767" t="inlineStr"/>
      <c r="Q76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西班牙分销。</t>
        </is>
      </c>
      <c r="R767" t="inlineStr">
        <is>
          <t>A</t>
        </is>
      </c>
      <c r="S767" t="inlineStr">
        <is>
          <t>有明确交换/供电需求（交换专长），且有具体人直联</t>
        </is>
      </c>
      <c r="T767" t="inlineStr">
        <is>
          <t>A-106</t>
        </is>
      </c>
      <c r="U767" t="inlineStr"/>
      <c r="V767" t="inlineStr"/>
    </row>
    <row r="768">
      <c r="A768" t="inlineStr">
        <is>
          <t>meconet</t>
        </is>
      </c>
      <c r="B768" t="inlineStr">
        <is>
          <t>德国</t>
        </is>
      </c>
      <c r="C768" t="inlineStr"/>
      <c r="D768" t="inlineStr"/>
      <c r="E768" t="inlineStr">
        <is>
          <t>分销（Netonix 授权）</t>
        </is>
      </c>
      <c r="F768" t="inlineStr">
        <is>
          <t>Netonix 授权渠道（WISP 接入层交换机）</t>
        </is>
      </c>
      <c r="G768" t="inlineStr">
        <is>
          <t>否</t>
        </is>
      </c>
      <c r="H768" t="inlineStr">
        <is>
          <t>WISP 接入层替换</t>
        </is>
      </c>
      <c r="I768" t="inlineStr">
        <is>
          <t>LT-S8328XGP-4XS24GT-S</t>
        </is>
      </c>
      <c r="J768" t="inlineStr">
        <is>
          <t>+49 (0)271 703087 0</t>
        </is>
      </c>
      <c r="K768" t="inlineStr">
        <is>
          <t>★★★</t>
        </is>
      </c>
      <c r="L768" t="inlineStr">
        <is>
          <t>未触达</t>
        </is>
      </c>
      <c r="M768" t="inlineStr">
        <is>
          <t>Netonix 官方分销/代理名录</t>
        </is>
      </c>
      <c r="N768" t="inlineStr"/>
      <c r="O768" t="inlineStr"/>
      <c r="P768" t="inlineStr"/>
      <c r="Q76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68" t="inlineStr">
        <is>
          <t>A</t>
        </is>
      </c>
      <c r="S768" t="inlineStr">
        <is>
          <t>有明确交换/供电需求（交换专长），且有具体人直联</t>
        </is>
      </c>
      <c r="T768" t="inlineStr">
        <is>
          <t>A-107</t>
        </is>
      </c>
      <c r="U768" t="inlineStr"/>
      <c r="V768" t="inlineStr"/>
    </row>
    <row r="769">
      <c r="A769" t="inlineStr">
        <is>
          <t>MHz Shop</t>
        </is>
      </c>
      <c r="B769" t="inlineStr">
        <is>
          <t>法国</t>
        </is>
      </c>
      <c r="C769" t="inlineStr"/>
      <c r="D769" t="inlineStr"/>
      <c r="E769" t="inlineStr">
        <is>
          <t>分销（Netonix 授权）</t>
        </is>
      </c>
      <c r="F769" t="inlineStr">
        <is>
          <t>Netonix 授权渠道（WISP 接入层交换机）</t>
        </is>
      </c>
      <c r="G769" t="inlineStr">
        <is>
          <t>否</t>
        </is>
      </c>
      <c r="H769" t="inlineStr">
        <is>
          <t>WISP 接入层替换</t>
        </is>
      </c>
      <c r="I769" t="inlineStr">
        <is>
          <t>LT-S8328XGP-4XS24GT-S</t>
        </is>
      </c>
      <c r="J769" t="inlineStr">
        <is>
          <t>+33 486 688 330</t>
        </is>
      </c>
      <c r="K769" t="inlineStr">
        <is>
          <t>★★★</t>
        </is>
      </c>
      <c r="L769" t="inlineStr">
        <is>
          <t>未触达</t>
        </is>
      </c>
      <c r="M769" t="inlineStr">
        <is>
          <t>Netonix 官方分销/代理名录</t>
        </is>
      </c>
      <c r="N769" t="inlineStr"/>
      <c r="O769" t="inlineStr"/>
      <c r="P769" t="inlineStr"/>
      <c r="Q76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法国分销。</t>
        </is>
      </c>
      <c r="R769" t="inlineStr">
        <is>
          <t>A</t>
        </is>
      </c>
      <c r="S769" t="inlineStr">
        <is>
          <t>有明确交换/供电需求（交换专长），且有具体人直联</t>
        </is>
      </c>
      <c r="T769" t="inlineStr">
        <is>
          <t>A-108</t>
        </is>
      </c>
      <c r="U769" t="inlineStr"/>
      <c r="V769" t="inlineStr"/>
    </row>
    <row r="770">
      <c r="A770" t="inlineStr">
        <is>
          <t>Varia Group</t>
        </is>
      </c>
      <c r="B770" t="inlineStr">
        <is>
          <t>德国</t>
        </is>
      </c>
      <c r="C770" t="inlineStr">
        <is>
          <t>Chemnitz</t>
        </is>
      </c>
      <c r="D770" t="inlineStr"/>
      <c r="E770" t="inlineStr">
        <is>
          <t>分销（Netonix 授权）</t>
        </is>
      </c>
      <c r="F770" t="inlineStr">
        <is>
          <t>Netonix 授权渠道（WISP 接入层交换机）</t>
        </is>
      </c>
      <c r="G770" t="inlineStr">
        <is>
          <t>否</t>
        </is>
      </c>
      <c r="H770" t="inlineStr">
        <is>
          <t>WISP 接入层替换</t>
        </is>
      </c>
      <c r="I770" t="inlineStr">
        <is>
          <t>LT-S8328XGP-4XS24GT-S</t>
        </is>
      </c>
      <c r="J770" t="inlineStr">
        <is>
          <t>+49-371-400-7682</t>
        </is>
      </c>
      <c r="K770" t="inlineStr">
        <is>
          <t>★★★</t>
        </is>
      </c>
      <c r="L770" t="inlineStr">
        <is>
          <t>未触达</t>
        </is>
      </c>
      <c r="M770" t="inlineStr">
        <is>
          <t>Netonix 官方分销/代理名录</t>
        </is>
      </c>
      <c r="N770" t="inlineStr"/>
      <c r="O770" t="inlineStr"/>
      <c r="P770" t="inlineStr"/>
      <c r="Q77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德国分销。</t>
        </is>
      </c>
      <c r="R770" t="inlineStr">
        <is>
          <t>A</t>
        </is>
      </c>
      <c r="S770" t="inlineStr">
        <is>
          <t>有明确交换/供电需求（交换专长），且有具体人直联</t>
        </is>
      </c>
      <c r="T770" t="inlineStr">
        <is>
          <t>A-109</t>
        </is>
      </c>
      <c r="U770" t="inlineStr"/>
      <c r="V770" t="inlineStr"/>
    </row>
    <row r="771">
      <c r="A771" t="inlineStr">
        <is>
          <t>ELMAT</t>
        </is>
      </c>
      <c r="B771" t="inlineStr">
        <is>
          <t>意大利</t>
        </is>
      </c>
      <c r="C771" t="inlineStr">
        <is>
          <t>Padova / Roma</t>
        </is>
      </c>
      <c r="D771" t="inlineStr"/>
      <c r="E771" t="inlineStr">
        <is>
          <t>分销（Netonix 授权）</t>
        </is>
      </c>
      <c r="F771" t="inlineStr">
        <is>
          <t>Netonix 授权渠道（WISP 接入层交换机）</t>
        </is>
      </c>
      <c r="G771" t="inlineStr">
        <is>
          <t>否</t>
        </is>
      </c>
      <c r="H771" t="inlineStr">
        <is>
          <t>WISP 接入层替换</t>
        </is>
      </c>
      <c r="I771" t="inlineStr">
        <is>
          <t>LT-S8328XGP-4XS24GT-S</t>
        </is>
      </c>
      <c r="J771" t="inlineStr">
        <is>
          <t>049-7623011 / 0774-300502</t>
        </is>
      </c>
      <c r="K771" t="inlineStr">
        <is>
          <t>★★★</t>
        </is>
      </c>
      <c r="L771" t="inlineStr">
        <is>
          <t>未触达</t>
        </is>
      </c>
      <c r="M771" t="inlineStr">
        <is>
          <t>Netonix 官方分销/代理名录</t>
        </is>
      </c>
      <c r="N771" t="inlineStr"/>
      <c r="O771" t="inlineStr"/>
      <c r="P771" t="inlineStr"/>
      <c r="Q771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意大利分销，两地经营。</t>
        </is>
      </c>
      <c r="R771" t="inlineStr">
        <is>
          <t>A</t>
        </is>
      </c>
      <c r="S771" t="inlineStr">
        <is>
          <t>有明确交换/供电需求（交换专长），且有具体人直联</t>
        </is>
      </c>
      <c r="T771" t="inlineStr">
        <is>
          <t>A-110</t>
        </is>
      </c>
      <c r="U771" t="inlineStr"/>
      <c r="V771" t="inlineStr"/>
    </row>
    <row r="772">
      <c r="A772" t="inlineStr">
        <is>
          <t>VELOCIgroup ApS</t>
        </is>
      </c>
      <c r="B772" t="inlineStr">
        <is>
          <t>丹麦</t>
        </is>
      </c>
      <c r="C772" t="inlineStr"/>
      <c r="D772" t="inlineStr"/>
      <c r="E772" t="inlineStr">
        <is>
          <t>WISP 集成商/代理（Netonix）</t>
        </is>
      </c>
      <c r="F772" t="inlineStr">
        <is>
          <t>Netonix 授权渠道（WISP 接入层交换机）</t>
        </is>
      </c>
      <c r="G772" t="inlineStr">
        <is>
          <t>否</t>
        </is>
      </c>
      <c r="H772" t="inlineStr">
        <is>
          <t>WISP 接入层替换</t>
        </is>
      </c>
      <c r="I772" t="inlineStr">
        <is>
          <t>LT-S8328XGP-4XS24GT-S</t>
        </is>
      </c>
      <c r="J772" t="inlineStr">
        <is>
          <t>+45 8891 7070</t>
        </is>
      </c>
      <c r="K772" t="inlineStr">
        <is>
          <t>★★★</t>
        </is>
      </c>
      <c r="L772" t="inlineStr">
        <is>
          <t>未触达</t>
        </is>
      </c>
      <c r="M772" t="inlineStr">
        <is>
          <t>Netonix 官方分销/代理名录</t>
        </is>
      </c>
      <c r="N772" t="inlineStr"/>
      <c r="O772" t="inlineStr"/>
      <c r="P772" t="inlineStr"/>
      <c r="Q772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丹麦代理商。</t>
        </is>
      </c>
      <c r="R772" t="inlineStr">
        <is>
          <t>A</t>
        </is>
      </c>
      <c r="S772" t="inlineStr">
        <is>
          <t>有明确交换/供电需求（交换专长），且有具体人直联</t>
        </is>
      </c>
      <c r="T772" t="inlineStr">
        <is>
          <t>A-111</t>
        </is>
      </c>
      <c r="U772" t="inlineStr"/>
      <c r="V772" t="inlineStr"/>
    </row>
    <row r="773">
      <c r="A773" t="inlineStr">
        <is>
          <t>1TNT.ca</t>
        </is>
      </c>
      <c r="B773" t="inlineStr">
        <is>
          <t>加拿大</t>
        </is>
      </c>
      <c r="C773" t="inlineStr"/>
      <c r="D773" t="inlineStr"/>
      <c r="E773" t="inlineStr">
        <is>
          <t>分销（Netonix 授权）</t>
        </is>
      </c>
      <c r="F773" t="inlineStr">
        <is>
          <t>Netonix 授权渠道（WISP 接入层交换机）</t>
        </is>
      </c>
      <c r="G773" t="inlineStr">
        <is>
          <t>否</t>
        </is>
      </c>
      <c r="H773" t="inlineStr">
        <is>
          <t>WISP 接入层替换</t>
        </is>
      </c>
      <c r="I773" t="inlineStr">
        <is>
          <t>LT-S8328XGP-4XS24GT-S</t>
        </is>
      </c>
      <c r="J773" t="inlineStr">
        <is>
          <t>1-519-935-3362</t>
        </is>
      </c>
      <c r="K773" t="inlineStr">
        <is>
          <t>★★★</t>
        </is>
      </c>
      <c r="L773" t="inlineStr">
        <is>
          <t>未触达</t>
        </is>
      </c>
      <c r="M773" t="inlineStr">
        <is>
          <t>Netonix 官方分销/代理名录</t>
        </is>
      </c>
      <c r="N773" t="inlineStr"/>
      <c r="O773" t="inlineStr"/>
      <c r="P773" t="inlineStr"/>
      <c r="Q773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加拿大分销。</t>
        </is>
      </c>
      <c r="R773" t="inlineStr">
        <is>
          <t>C</t>
        </is>
      </c>
      <c r="S773" t="inlineStr">
        <is>
          <t>备注含「大分销」，决策链长或存在品牌冲突</t>
        </is>
      </c>
      <c r="T773" t="inlineStr">
        <is>
          <t>C-319</t>
        </is>
      </c>
      <c r="U773" t="inlineStr">
        <is>
          <t>太难·规模过大/决策链长</t>
        </is>
      </c>
      <c r="V773" t="inlineStr"/>
    </row>
    <row r="774">
      <c r="A774" t="inlineStr">
        <is>
          <t>Cayman Wireless</t>
        </is>
      </c>
      <c r="B774" t="inlineStr">
        <is>
          <t>美国</t>
        </is>
      </c>
      <c r="C774" t="inlineStr"/>
      <c r="D774" t="inlineStr"/>
      <c r="E774" t="inlineStr">
        <is>
          <t>WISP 集成商/代理（Netonix）</t>
        </is>
      </c>
      <c r="F774" t="inlineStr">
        <is>
          <t>Netonix 授权渠道（WISP 接入层交换机）</t>
        </is>
      </c>
      <c r="G774" t="inlineStr">
        <is>
          <t>否</t>
        </is>
      </c>
      <c r="H774" t="inlineStr">
        <is>
          <t>WISP 接入层替换</t>
        </is>
      </c>
      <c r="I774" t="inlineStr">
        <is>
          <t>LT-S8328XGP-4XS24GT-S</t>
        </is>
      </c>
      <c r="J774" t="inlineStr">
        <is>
          <t>1-956-825-0710</t>
        </is>
      </c>
      <c r="K774" t="inlineStr">
        <is>
          <t>★★★</t>
        </is>
      </c>
      <c r="L774" t="inlineStr">
        <is>
          <t>未触达</t>
        </is>
      </c>
      <c r="M774" t="inlineStr">
        <is>
          <t>Netonix 官方分销/代理名录</t>
        </is>
      </c>
      <c r="N774" t="inlineStr"/>
      <c r="O774" t="inlineStr"/>
      <c r="P774" t="inlineStr"/>
      <c r="Q774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4" t="inlineStr">
        <is>
          <t>A</t>
        </is>
      </c>
      <c r="S774" t="inlineStr">
        <is>
          <t>有明确交换/供电需求（交换专长），且有具体人直联</t>
        </is>
      </c>
      <c r="T774" t="inlineStr">
        <is>
          <t>A-112</t>
        </is>
      </c>
      <c r="U774" t="inlineStr"/>
      <c r="V774" t="inlineStr"/>
    </row>
    <row r="775">
      <c r="A775" t="inlineStr">
        <is>
          <t>wlanparts</t>
        </is>
      </c>
      <c r="B775" t="inlineStr">
        <is>
          <t>美国</t>
        </is>
      </c>
      <c r="C775" t="inlineStr"/>
      <c r="D775" t="inlineStr"/>
      <c r="E775" t="inlineStr">
        <is>
          <t>WISP 集成商/代理（Netonix）</t>
        </is>
      </c>
      <c r="F775" t="inlineStr">
        <is>
          <t>Netonix 授权渠道（WISP 接入层交换机）</t>
        </is>
      </c>
      <c r="G775" t="inlineStr">
        <is>
          <t>否</t>
        </is>
      </c>
      <c r="H775" t="inlineStr">
        <is>
          <t>WISP 接入层替换</t>
        </is>
      </c>
      <c r="I775" t="inlineStr">
        <is>
          <t>LT-S8328XGP-4XS24GT-S</t>
        </is>
      </c>
      <c r="J775" t="inlineStr">
        <is>
          <t>1-866-297-2281</t>
        </is>
      </c>
      <c r="K775" t="inlineStr">
        <is>
          <t>★★★</t>
        </is>
      </c>
      <c r="L775" t="inlineStr">
        <is>
          <t>未触达</t>
        </is>
      </c>
      <c r="M775" t="inlineStr">
        <is>
          <t>Netonix 官方分销/代理名录</t>
        </is>
      </c>
      <c r="N775" t="inlineStr"/>
      <c r="O775" t="inlineStr"/>
      <c r="P775" t="inlineStr"/>
      <c r="Q775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5" t="inlineStr">
        <is>
          <t>A</t>
        </is>
      </c>
      <c r="S775" t="inlineStr">
        <is>
          <t>有明确交换/供电需求（交换专长），且有具体人直联</t>
        </is>
      </c>
      <c r="T775" t="inlineStr">
        <is>
          <t>A-113</t>
        </is>
      </c>
      <c r="U775" t="inlineStr"/>
      <c r="V775" t="inlineStr"/>
    </row>
    <row r="776">
      <c r="A776" t="inlineStr">
        <is>
          <t>Invictus</t>
        </is>
      </c>
      <c r="B776" t="inlineStr">
        <is>
          <t>美国</t>
        </is>
      </c>
      <c r="C776" t="inlineStr">
        <is>
          <t>Tigard, OR</t>
        </is>
      </c>
      <c r="D776" t="inlineStr"/>
      <c r="E776" t="inlineStr">
        <is>
          <t>WISP 集成商/代理（Netonix）</t>
        </is>
      </c>
      <c r="F776" t="inlineStr">
        <is>
          <t>Netonix 授权渠道（WISP 接入层交换机）</t>
        </is>
      </c>
      <c r="G776" t="inlineStr">
        <is>
          <t>否</t>
        </is>
      </c>
      <c r="H776" t="inlineStr">
        <is>
          <t>WISP 接入层替换</t>
        </is>
      </c>
      <c r="I776" t="inlineStr">
        <is>
          <t>LT-S8328XGP-4XS24GT-S</t>
        </is>
      </c>
      <c r="J776" t="inlineStr">
        <is>
          <t>1-503-635-2562</t>
        </is>
      </c>
      <c r="K776" t="inlineStr">
        <is>
          <t>★★★</t>
        </is>
      </c>
      <c r="L776" t="inlineStr">
        <is>
          <t>未触达</t>
        </is>
      </c>
      <c r="M776" t="inlineStr">
        <is>
          <t>Netonix 官方分销/代理名录</t>
        </is>
      </c>
      <c r="N776" t="inlineStr"/>
      <c r="O776" t="inlineStr"/>
      <c r="P776" t="inlineStr"/>
      <c r="Q776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6" t="inlineStr">
        <is>
          <t>A</t>
        </is>
      </c>
      <c r="S776" t="inlineStr">
        <is>
          <t>有明确交换/供电需求（交换专长），且有具体人直联</t>
        </is>
      </c>
      <c r="T776" t="inlineStr">
        <is>
          <t>A-114</t>
        </is>
      </c>
      <c r="U776" t="inlineStr"/>
      <c r="V776" t="inlineStr"/>
    </row>
    <row r="777">
      <c r="A777" t="inlineStr">
        <is>
          <t>Rowe Networks</t>
        </is>
      </c>
      <c r="B777" t="inlineStr">
        <is>
          <t>美国</t>
        </is>
      </c>
      <c r="C777" t="inlineStr">
        <is>
          <t>Ohio</t>
        </is>
      </c>
      <c r="D777" t="inlineStr"/>
      <c r="E777" t="inlineStr">
        <is>
          <t>WISP 集成商/代理（Netonix）</t>
        </is>
      </c>
      <c r="F777" t="inlineStr">
        <is>
          <t>Netonix 授权渠道（WISP 接入层交换机）</t>
        </is>
      </c>
      <c r="G777" t="inlineStr">
        <is>
          <t>否</t>
        </is>
      </c>
      <c r="H777" t="inlineStr">
        <is>
          <t>WISP 接入层替换</t>
        </is>
      </c>
      <c r="I777" t="inlineStr">
        <is>
          <t>LT-S8328XGP-4XS24GT-S</t>
        </is>
      </c>
      <c r="J777" t="inlineStr">
        <is>
          <t>1-614-410-3535</t>
        </is>
      </c>
      <c r="K777" t="inlineStr">
        <is>
          <t>★★★</t>
        </is>
      </c>
      <c r="L777" t="inlineStr">
        <is>
          <t>未触达</t>
        </is>
      </c>
      <c r="M777" t="inlineStr">
        <is>
          <t>Netonix 官方分销/代理名录</t>
        </is>
      </c>
      <c r="N777" t="inlineStr"/>
      <c r="O777" t="inlineStr"/>
      <c r="P777" t="inlineStr"/>
      <c r="Q777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7" t="inlineStr">
        <is>
          <t>A</t>
        </is>
      </c>
      <c r="S777" t="inlineStr">
        <is>
          <t>有明确交换/供电需求（交换专长），且有具体人直联</t>
        </is>
      </c>
      <c r="T777" t="inlineStr">
        <is>
          <t>A-115</t>
        </is>
      </c>
      <c r="U777" t="inlineStr"/>
      <c r="V777" t="inlineStr"/>
    </row>
    <row r="778">
      <c r="A778" t="inlineStr">
        <is>
          <t>Neobits</t>
        </is>
      </c>
      <c r="B778" t="inlineStr">
        <is>
          <t>美国</t>
        </is>
      </c>
      <c r="C778" t="inlineStr">
        <is>
          <t>California</t>
        </is>
      </c>
      <c r="D778" t="inlineStr"/>
      <c r="E778" t="inlineStr">
        <is>
          <t>WISP 集成商/代理（Netonix）</t>
        </is>
      </c>
      <c r="F778" t="inlineStr">
        <is>
          <t>Netonix 授权渠道（WISP 接入层交换机）</t>
        </is>
      </c>
      <c r="G778" t="inlineStr">
        <is>
          <t>否</t>
        </is>
      </c>
      <c r="H778" t="inlineStr">
        <is>
          <t>WISP 接入层替换</t>
        </is>
      </c>
      <c r="I778" t="inlineStr">
        <is>
          <t>LT-S8328XGP-4XS24GT-S</t>
        </is>
      </c>
      <c r="J778" t="inlineStr">
        <is>
          <t>1-866-636-2487</t>
        </is>
      </c>
      <c r="K778" t="inlineStr">
        <is>
          <t>★★★</t>
        </is>
      </c>
      <c r="L778" t="inlineStr">
        <is>
          <t>未触达</t>
        </is>
      </c>
      <c r="M778" t="inlineStr">
        <is>
          <t>Netonix 官方分销/代理名录</t>
        </is>
      </c>
      <c r="N778" t="inlineStr"/>
      <c r="O778" t="inlineStr"/>
      <c r="P778" t="inlineStr"/>
      <c r="Q778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8" t="inlineStr">
        <is>
          <t>A</t>
        </is>
      </c>
      <c r="S778" t="inlineStr">
        <is>
          <t>有明确交换/供电需求（交换专长），且有具体人直联</t>
        </is>
      </c>
      <c r="T778" t="inlineStr">
        <is>
          <t>A-116</t>
        </is>
      </c>
      <c r="U778" t="inlineStr"/>
      <c r="V778" t="inlineStr"/>
    </row>
    <row r="779">
      <c r="A779" t="inlineStr">
        <is>
          <t>UNIFYING SOLUTION</t>
        </is>
      </c>
      <c r="B779" t="inlineStr">
        <is>
          <t>美国</t>
        </is>
      </c>
      <c r="C779" t="inlineStr">
        <is>
          <t>Oklahoma</t>
        </is>
      </c>
      <c r="D779" t="inlineStr"/>
      <c r="E779" t="inlineStr">
        <is>
          <t>WISP 集成商/代理（Netonix）</t>
        </is>
      </c>
      <c r="F779" t="inlineStr">
        <is>
          <t>Netonix 授权渠道（WISP 接入层交换机）</t>
        </is>
      </c>
      <c r="G779" t="inlineStr">
        <is>
          <t>否</t>
        </is>
      </c>
      <c r="H779" t="inlineStr">
        <is>
          <t>WISP 接入层替换</t>
        </is>
      </c>
      <c r="I779" t="inlineStr">
        <is>
          <t>LT-S8328XGP-4XS24GT-S</t>
        </is>
      </c>
      <c r="J779" t="inlineStr">
        <is>
          <t>1-855-388-9218</t>
        </is>
      </c>
      <c r="K779" t="inlineStr">
        <is>
          <t>★★★</t>
        </is>
      </c>
      <c r="L779" t="inlineStr">
        <is>
          <t>未触达</t>
        </is>
      </c>
      <c r="M779" t="inlineStr">
        <is>
          <t>Netonix 官方分销/代理名录</t>
        </is>
      </c>
      <c r="N779" t="inlineStr"/>
      <c r="O779" t="inlineStr"/>
      <c r="P779" t="inlineStr"/>
      <c r="Q779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代理商。</t>
        </is>
      </c>
      <c r="R779" t="inlineStr">
        <is>
          <t>A</t>
        </is>
      </c>
      <c r="S779" t="inlineStr">
        <is>
          <t>有明确交换/供电需求（交换专长），且有具体人直联</t>
        </is>
      </c>
      <c r="T779" t="inlineStr">
        <is>
          <t>A-117</t>
        </is>
      </c>
      <c r="U779" t="inlineStr"/>
      <c r="V779" t="inlineStr"/>
    </row>
    <row r="780">
      <c r="A780" t="inlineStr">
        <is>
          <t>Last Mile Gear</t>
        </is>
      </c>
      <c r="B780" t="inlineStr">
        <is>
          <t>美国</t>
        </is>
      </c>
      <c r="C780" t="inlineStr">
        <is>
          <t>Washington</t>
        </is>
      </c>
      <c r="D780" t="inlineStr"/>
      <c r="E780" t="inlineStr">
        <is>
          <t>WISP 集成商/代理（Netonix）</t>
        </is>
      </c>
      <c r="F780" t="inlineStr">
        <is>
          <t>Netonix 授权渠道（WISP 接入层交换机）</t>
        </is>
      </c>
      <c r="G780" t="inlineStr">
        <is>
          <t>否</t>
        </is>
      </c>
      <c r="H780" t="inlineStr">
        <is>
          <t>WISP 接入层替换</t>
        </is>
      </c>
      <c r="I780" t="inlineStr">
        <is>
          <t>LT-S8328XGP-4XS24GT-S</t>
        </is>
      </c>
      <c r="J780" t="inlineStr">
        <is>
          <t>1-866-230-9174</t>
        </is>
      </c>
      <c r="K780" t="inlineStr">
        <is>
          <t>★★★</t>
        </is>
      </c>
      <c r="L780" t="inlineStr">
        <is>
          <t>未触达</t>
        </is>
      </c>
      <c r="M780" t="inlineStr">
        <is>
          <t>Netonix 官方分销/代理名录</t>
        </is>
      </c>
      <c r="N780" t="inlineStr"/>
      <c r="O780" t="inlineStr"/>
      <c r="P780" t="inlineStr"/>
      <c r="Q780" t="inlineStr">
        <is>
          <t>【2026-09-23 用户裁决·保留】Netonix 交换机采用 **Vitesse** 芯片，并非 Marvell，严格按「Marvell 接入层生态」标准属于圈外；用户 2026-09-23 明确「先这样吧，没必要删」，故本条保留。注意：对其**不能使用「同芯片」话术**（详见 Netonix_WISP替换矩阵_2026-09.md），切入点应放在交期、宽温、上行与价格上。 Netonix 代理商，名字直指「最后一公里」，WISP 属性明确。</t>
        </is>
      </c>
      <c r="R780" t="inlineStr">
        <is>
          <t>A</t>
        </is>
      </c>
      <c r="S780" t="inlineStr">
        <is>
          <t>有明确交换/供电需求（交换专长），且有具体人直联</t>
        </is>
      </c>
      <c r="T780" t="inlineStr">
        <is>
          <t>A-118</t>
        </is>
      </c>
      <c r="U780" t="inlineStr"/>
      <c r="V780" t="inlineStr"/>
    </row>
    <row r="781">
      <c r="A781" t="inlineStr">
        <is>
          <t>Capestone</t>
        </is>
      </c>
      <c r="B781" t="inlineStr">
        <is>
          <t>荷兰</t>
        </is>
      </c>
      <c r="C781" t="inlineStr"/>
      <c r="D781" t="inlineStr">
        <is>
          <t>capestone.com</t>
        </is>
      </c>
      <c r="E781" t="inlineStr">
        <is>
          <t>分销（Teltonika 授权）</t>
        </is>
      </c>
      <c r="F781" t="inlineStr">
        <is>
          <t>Teltonika Networks（含 TSW 系列交换机）</t>
        </is>
      </c>
      <c r="G781" t="inlineStr">
        <is>
          <t>否</t>
        </is>
      </c>
      <c r="H781" t="inlineStr">
        <is>
          <t>Marvell 接入层生态切入</t>
        </is>
      </c>
      <c r="I781" t="inlineStr">
        <is>
          <t>LT-S8328XGP-4XS24GT-S</t>
        </is>
      </c>
      <c r="J781" t="inlineStr">
        <is>
          <t>见 capestone.com</t>
        </is>
      </c>
      <c r="K781" t="inlineStr">
        <is>
          <t>★★★</t>
        </is>
      </c>
      <c r="L781" t="inlineStr">
        <is>
          <t>未触达</t>
        </is>
      </c>
      <c r="M781" t="inlineStr">
        <is>
          <t>厂商官方渠道名录</t>
        </is>
      </c>
      <c r="N781" t="inlineStr"/>
      <c r="O781" t="inlineStr"/>
      <c r="P781" t="inlineStr"/>
      <c r="Q781" t="inlineStr">
        <is>
          <t>Teltonika **Diamond 级伙伴，连续 7 年**、**欧洲最大增值分销**。备货型分销，提供售前咨询/项目支持/配置/培训/云管平台全托管。</t>
        </is>
      </c>
      <c r="R781" t="inlineStr">
        <is>
          <t>C</t>
        </is>
      </c>
      <c r="S781" t="inlineStr">
        <is>
          <t>备注含「最大」，决策链长或存在品牌冲突</t>
        </is>
      </c>
      <c r="T781" t="inlineStr">
        <is>
          <t>C-320</t>
        </is>
      </c>
      <c r="U781" t="inlineStr">
        <is>
          <t>太难·规模过大/决策链长</t>
        </is>
      </c>
      <c r="V781" t="inlineStr"/>
    </row>
    <row r="782">
      <c r="A782" t="inlineStr">
        <is>
          <t>NTS Direct</t>
        </is>
      </c>
      <c r="B782" t="inlineStr">
        <is>
          <t>美国</t>
        </is>
      </c>
      <c r="C782" t="inlineStr">
        <is>
          <t>Bolton, MA</t>
        </is>
      </c>
      <c r="D782" t="inlineStr">
        <is>
          <t>shop.ntsdirect.com</t>
        </is>
      </c>
      <c r="E782" t="inlineStr">
        <is>
          <t>分销（Teltonika 授权）</t>
        </is>
      </c>
      <c r="F782" t="inlineStr">
        <is>
          <t>Teltonika Networks（含 TSW 系列交换机）</t>
        </is>
      </c>
      <c r="G782" t="inlineStr">
        <is>
          <t>否</t>
        </is>
      </c>
      <c r="H782" t="inlineStr">
        <is>
          <t>Marvell 接入层生态切入</t>
        </is>
      </c>
      <c r="I782" t="inlineStr">
        <is>
          <t>LT-S8328XGP-4XS24GT-S</t>
        </is>
      </c>
      <c r="J782" t="inlineStr">
        <is>
          <t>见 shop.ntsdirect.com</t>
        </is>
      </c>
      <c r="K782" t="inlineStr">
        <is>
          <t>★★★</t>
        </is>
      </c>
      <c r="L782" t="inlineStr">
        <is>
          <t>未触达</t>
        </is>
      </c>
      <c r="M782" t="inlineStr">
        <is>
          <t>厂商官方渠道名录</t>
        </is>
      </c>
      <c r="N782" t="inlineStr"/>
      <c r="O782" t="inlineStr"/>
      <c r="P782" t="inlineStr"/>
      <c r="Q782" t="inlineStr">
        <is>
          <t>2025 年与 Teltonika 达成**北美战略分销合作**，备货并提供预配置、技术培训、集成支持。</t>
        </is>
      </c>
      <c r="R782" t="inlineStr">
        <is>
          <t>A</t>
        </is>
      </c>
      <c r="S782" t="inlineStr">
        <is>
          <t>有明确交换/供电需求（交换专长），三星重点</t>
        </is>
      </c>
      <c r="T782" t="inlineStr">
        <is>
          <t>A-119</t>
        </is>
      </c>
      <c r="U782" t="inlineStr"/>
      <c r="V782" t="inlineStr"/>
    </row>
    <row r="783">
      <c r="A783" t="inlineStr">
        <is>
          <t>5Gstore</t>
        </is>
      </c>
      <c r="B783" t="inlineStr">
        <is>
          <t>美国</t>
        </is>
      </c>
      <c r="C783" t="inlineStr"/>
      <c r="D783" t="inlineStr">
        <is>
          <t>5gstore.com</t>
        </is>
      </c>
      <c r="E783" t="inlineStr">
        <is>
          <t>分销（Teltonika 授权）</t>
        </is>
      </c>
      <c r="F783" t="inlineStr">
        <is>
          <t>Teltonika Networks（含 TSW212 工业 PoE+ 交换机）</t>
        </is>
      </c>
      <c r="G783" t="inlineStr">
        <is>
          <t>否</t>
        </is>
      </c>
      <c r="H783" t="inlineStr">
        <is>
          <t>Marvell 接入层生态切入</t>
        </is>
      </c>
      <c r="I783" t="inlineStr">
        <is>
          <t>LT-S8328XGP-4XS24GT-S</t>
        </is>
      </c>
      <c r="J783" t="inlineStr">
        <is>
          <t>见 5gstore.com</t>
        </is>
      </c>
      <c r="K783" t="inlineStr">
        <is>
          <t>★★★</t>
        </is>
      </c>
      <c r="L783" t="inlineStr">
        <is>
          <t>未触达</t>
        </is>
      </c>
      <c r="M783" t="inlineStr">
        <is>
          <t>厂商官方渠道名录</t>
        </is>
      </c>
      <c r="N783" t="inlineStr"/>
      <c r="O783" t="inlineStr"/>
      <c r="P783" t="inlineStr"/>
      <c r="Q783" t="inlineStr">
        <is>
          <t>Teltonika 授权分销，主营工业蜂窝路由与 IoT 网关，**亦供 TSW212 等工业 PoE+ 交换机**。</t>
        </is>
      </c>
      <c r="R783" t="inlineStr">
        <is>
          <t>A</t>
        </is>
      </c>
      <c r="S783" t="inlineStr">
        <is>
          <t>有明确交换/供电需求（交换专长、PoE/监控/门禁、工业/楼宇），三星重点</t>
        </is>
      </c>
      <c r="T783" t="inlineStr">
        <is>
          <t>A-120</t>
        </is>
      </c>
      <c r="U783" t="inlineStr"/>
      <c r="V783" t="inlineStr"/>
    </row>
    <row r="784">
      <c r="A784" t="inlineStr">
        <is>
          <t>A3 Communications</t>
        </is>
      </c>
      <c r="B784" t="inlineStr">
        <is>
          <t>美国</t>
        </is>
      </c>
      <c r="C784" t="inlineStr">
        <is>
          <t>Cumberland Foreside, ME</t>
        </is>
      </c>
      <c r="D784" t="inlineStr"/>
      <c r="E784" t="inlineStr">
        <is>
          <t>集成商/代理（Allied Telesis）</t>
        </is>
      </c>
      <c r="F784" t="inlineStr">
        <is>
          <t>Allied Telesis（Marvell Prestera 接入层）</t>
        </is>
      </c>
      <c r="G784" t="inlineStr">
        <is>
          <t>否</t>
        </is>
      </c>
      <c r="H784" t="inlineStr">
        <is>
          <t>Marvell 接入层生态切入</t>
        </is>
      </c>
      <c r="I784" t="inlineStr">
        <is>
          <t>LT-S8328XGP-4XS24GT-S</t>
        </is>
      </c>
      <c r="J784" t="inlineStr">
        <is>
          <t>见 alliedtelesis.com/us/en/resellers</t>
        </is>
      </c>
      <c r="K784" t="inlineStr">
        <is>
          <t>★★★</t>
        </is>
      </c>
      <c r="L784" t="inlineStr">
        <is>
          <t>未触达</t>
        </is>
      </c>
      <c r="M784" t="inlineStr">
        <is>
          <t>厂商官方渠道名录</t>
        </is>
      </c>
      <c r="N784" t="inlineStr"/>
      <c r="O784" t="inlineStr"/>
      <c r="P784" t="inlineStr"/>
      <c r="Q7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4" t="inlineStr">
        <is>
          <t>A</t>
        </is>
      </c>
      <c r="S784" t="inlineStr">
        <is>
          <t>【人工定级】A —— 自动规则已跳过；信息待人工补齐（见备注）</t>
        </is>
      </c>
      <c r="T784" t="inlineStr">
        <is>
          <t>A-166</t>
        </is>
      </c>
      <c r="U784" t="inlineStr"/>
      <c r="V784" t="inlineStr">
        <is>
          <t>A</t>
        </is>
      </c>
    </row>
    <row r="785">
      <c r="A785" t="inlineStr">
        <is>
          <t>Amplitel Technologies</t>
        </is>
      </c>
      <c r="B785" t="inlineStr">
        <is>
          <t>美国</t>
        </is>
      </c>
      <c r="C785" t="inlineStr">
        <is>
          <t>Kaukauna, WI</t>
        </is>
      </c>
      <c r="D785" t="inlineStr"/>
      <c r="E785" t="inlineStr">
        <is>
          <t>集成商/代理（Allied Telesis）</t>
        </is>
      </c>
      <c r="F785" t="inlineStr">
        <is>
          <t>Allied Telesis（Marvell Prestera 接入层）</t>
        </is>
      </c>
      <c r="G785" t="inlineStr">
        <is>
          <t>否</t>
        </is>
      </c>
      <c r="H785" t="inlineStr">
        <is>
          <t>Marvell 接入层生态切入</t>
        </is>
      </c>
      <c r="I785" t="inlineStr">
        <is>
          <t>LT-S8328XGP-4XS24GT-S</t>
        </is>
      </c>
      <c r="J785" t="inlineStr">
        <is>
          <t>见 alliedtelesis.com 代理商名录</t>
        </is>
      </c>
      <c r="K785" t="inlineStr">
        <is>
          <t>★★★</t>
        </is>
      </c>
      <c r="L785" t="inlineStr">
        <is>
          <t>未触达</t>
        </is>
      </c>
      <c r="M785" t="inlineStr">
        <is>
          <t>厂商官方渠道名录</t>
        </is>
      </c>
      <c r="N785" t="inlineStr"/>
      <c r="O785" t="inlineStr"/>
      <c r="P785" t="inlineStr"/>
      <c r="Q7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5" t="inlineStr">
        <is>
          <t>A</t>
        </is>
      </c>
      <c r="S785" t="inlineStr">
        <is>
          <t>【人工定级】A —— 自动规则已跳过；信息待人工补齐（见备注）</t>
        </is>
      </c>
      <c r="T785" t="inlineStr">
        <is>
          <t>A-167</t>
        </is>
      </c>
      <c r="U785" t="inlineStr"/>
      <c r="V785" t="inlineStr">
        <is>
          <t>A</t>
        </is>
      </c>
    </row>
    <row r="786">
      <c r="A786" t="inlineStr">
        <is>
          <t>BCL Enterprises, Inc.</t>
        </is>
      </c>
      <c r="B786" t="inlineStr">
        <is>
          <t>美国</t>
        </is>
      </c>
      <c r="C786" t="inlineStr">
        <is>
          <t>Middletown</t>
        </is>
      </c>
      <c r="D786" t="inlineStr"/>
      <c r="E786" t="inlineStr">
        <is>
          <t>集成商/代理（Allied Telesis）</t>
        </is>
      </c>
      <c r="F786" t="inlineStr">
        <is>
          <t>Allied Telesis（Marvell Prestera 接入层）</t>
        </is>
      </c>
      <c r="G786" t="inlineStr">
        <is>
          <t>否</t>
        </is>
      </c>
      <c r="H786" t="inlineStr">
        <is>
          <t>Marvell 接入层生态切入</t>
        </is>
      </c>
      <c r="I786" t="inlineStr">
        <is>
          <t>LT-S8328XGP-4XS24GT-S</t>
        </is>
      </c>
      <c r="J786" t="inlineStr">
        <is>
          <t>见 alliedtelesis.com 代理商名录</t>
        </is>
      </c>
      <c r="K786" t="inlineStr">
        <is>
          <t>★★★</t>
        </is>
      </c>
      <c r="L786" t="inlineStr">
        <is>
          <t>未触达</t>
        </is>
      </c>
      <c r="M786" t="inlineStr">
        <is>
          <t>厂商官方渠道名录</t>
        </is>
      </c>
      <c r="N786" t="inlineStr"/>
      <c r="O786" t="inlineStr"/>
      <c r="P786" t="inlineStr"/>
      <c r="Q7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6" t="inlineStr">
        <is>
          <t>A</t>
        </is>
      </c>
      <c r="S786" t="inlineStr">
        <is>
          <t>【人工定级】A —— 自动规则已跳过；信息待人工补齐（见备注）</t>
        </is>
      </c>
      <c r="T786" t="inlineStr">
        <is>
          <t>A-168</t>
        </is>
      </c>
      <c r="U786" t="inlineStr"/>
      <c r="V786" t="inlineStr">
        <is>
          <t>A</t>
        </is>
      </c>
    </row>
    <row r="787">
      <c r="A787" t="inlineStr">
        <is>
          <t>Davis Ulmer Family of Companies</t>
        </is>
      </c>
      <c r="B787" t="inlineStr">
        <is>
          <t>美国</t>
        </is>
      </c>
      <c r="C787" t="inlineStr">
        <is>
          <t>East Syracuse, NY / Fargo, ND</t>
        </is>
      </c>
      <c r="D787" t="inlineStr"/>
      <c r="E787" t="inlineStr">
        <is>
          <t>集成商/代理（Allied Telesis）</t>
        </is>
      </c>
      <c r="F787" t="inlineStr">
        <is>
          <t>Allied Telesis（Marvell Prestera 接入层）</t>
        </is>
      </c>
      <c r="G787" t="inlineStr">
        <is>
          <t>否</t>
        </is>
      </c>
      <c r="H787" t="inlineStr">
        <is>
          <t>Marvell 接入层生态切入</t>
        </is>
      </c>
      <c r="I787" t="inlineStr">
        <is>
          <t>LT-S8328XGP-4XS24GT-S</t>
        </is>
      </c>
      <c r="J787" t="inlineStr">
        <is>
          <t>见 alliedtelesis.com 代理商名录</t>
        </is>
      </c>
      <c r="K787" t="inlineStr">
        <is>
          <t>★★★</t>
        </is>
      </c>
      <c r="L787" t="inlineStr">
        <is>
          <t>未触达</t>
        </is>
      </c>
      <c r="M787" t="inlineStr">
        <is>
          <t>厂商官方渠道名录</t>
        </is>
      </c>
      <c r="N787" t="inlineStr"/>
      <c r="O787" t="inlineStr"/>
      <c r="P787" t="inlineStr"/>
      <c r="Q7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多地经营。</t>
        </is>
      </c>
      <c r="R787" t="inlineStr">
        <is>
          <t>A</t>
        </is>
      </c>
      <c r="S787" t="inlineStr">
        <is>
          <t>【人工定级】A —— 自动规则已跳过；信息待人工补齐（见备注）</t>
        </is>
      </c>
      <c r="T787" t="inlineStr">
        <is>
          <t>A-169</t>
        </is>
      </c>
      <c r="U787" t="inlineStr"/>
      <c r="V787" t="inlineStr">
        <is>
          <t>A</t>
        </is>
      </c>
    </row>
    <row r="788">
      <c r="A788" t="inlineStr">
        <is>
          <t>Gemellaro Systems Integration (GSI)</t>
        </is>
      </c>
      <c r="B788" t="inlineStr">
        <is>
          <t>美国</t>
        </is>
      </c>
      <c r="C788" t="inlineStr">
        <is>
          <t>Troy, MI</t>
        </is>
      </c>
      <c r="D788" t="inlineStr"/>
      <c r="E788" t="inlineStr">
        <is>
          <t>集成商/代理（Allied Telesis）</t>
        </is>
      </c>
      <c r="F788" t="inlineStr">
        <is>
          <t>Allied Telesis（Marvell Prestera 接入层）</t>
        </is>
      </c>
      <c r="G788" t="inlineStr">
        <is>
          <t>否</t>
        </is>
      </c>
      <c r="H788" t="inlineStr">
        <is>
          <t>Marvell 接入层生态切入</t>
        </is>
      </c>
      <c r="I788" t="inlineStr">
        <is>
          <t>LT-S8328XGP-4XS24GT-S</t>
        </is>
      </c>
      <c r="J788" t="inlineStr">
        <is>
          <t>见 alliedtelesis.com 代理商名录</t>
        </is>
      </c>
      <c r="K788" t="inlineStr">
        <is>
          <t>★★★</t>
        </is>
      </c>
      <c r="L788" t="inlineStr">
        <is>
          <t>未触达</t>
        </is>
      </c>
      <c r="M788" t="inlineStr">
        <is>
          <t>厂商官方渠道名录</t>
        </is>
      </c>
      <c r="N788" t="inlineStr"/>
      <c r="O788" t="inlineStr"/>
      <c r="P788" t="inlineStr"/>
      <c r="Q7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系统集成商。</t>
        </is>
      </c>
      <c r="R788" t="inlineStr">
        <is>
          <t>A</t>
        </is>
      </c>
      <c r="S788" t="inlineStr">
        <is>
          <t>【人工定级】A —— 自动规则已跳过；信息待人工补齐（见备注）</t>
        </is>
      </c>
      <c r="T788" t="inlineStr">
        <is>
          <t>A-170</t>
        </is>
      </c>
      <c r="U788" t="inlineStr"/>
      <c r="V788" t="inlineStr">
        <is>
          <t>A</t>
        </is>
      </c>
    </row>
    <row r="789">
      <c r="A789" t="inlineStr">
        <is>
          <t>Griffon Security Technologies, LLC</t>
        </is>
      </c>
      <c r="B789" t="inlineStr">
        <is>
          <t>美国</t>
        </is>
      </c>
      <c r="C789" t="inlineStr">
        <is>
          <t>Kennebunk, ME</t>
        </is>
      </c>
      <c r="D789" t="inlineStr"/>
      <c r="E789" t="inlineStr">
        <is>
          <t>集成商/代理（Allied Telesis）</t>
        </is>
      </c>
      <c r="F789" t="inlineStr">
        <is>
          <t>Allied Telesis（Marvell Prestera 接入层）</t>
        </is>
      </c>
      <c r="G789" t="inlineStr">
        <is>
          <t>否</t>
        </is>
      </c>
      <c r="H789" t="inlineStr">
        <is>
          <t>Marvell 接入层生态切入</t>
        </is>
      </c>
      <c r="I789" t="inlineStr">
        <is>
          <t>LT-S8328XGP-4XS24GT-S</t>
        </is>
      </c>
      <c r="J789" t="inlineStr">
        <is>
          <t>见 alliedtelesis.com 代理商名录</t>
        </is>
      </c>
      <c r="K789" t="inlineStr">
        <is>
          <t>★★★</t>
        </is>
      </c>
      <c r="L789" t="inlineStr">
        <is>
          <t>未触达</t>
        </is>
      </c>
      <c r="M789" t="inlineStr">
        <is>
          <t>厂商官方渠道名录</t>
        </is>
      </c>
      <c r="N789" t="inlineStr"/>
      <c r="O789" t="inlineStr"/>
      <c r="P789" t="inlineStr"/>
      <c r="Q7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89" t="inlineStr">
        <is>
          <t>A</t>
        </is>
      </c>
      <c r="S789" t="inlineStr">
        <is>
          <t>【人工定级】A —— 自动规则已跳过；信息待人工补齐（见备注）</t>
        </is>
      </c>
      <c r="T789" t="inlineStr">
        <is>
          <t>A-171</t>
        </is>
      </c>
      <c r="U789" t="inlineStr"/>
      <c r="V789" t="inlineStr">
        <is>
          <t>A</t>
        </is>
      </c>
    </row>
    <row r="790">
      <c r="A790" t="inlineStr">
        <is>
          <t>Heartland Business Systems</t>
        </is>
      </c>
      <c r="B790" t="inlineStr">
        <is>
          <t>美国</t>
        </is>
      </c>
      <c r="C790" t="inlineStr">
        <is>
          <t>Little Chute, WI</t>
        </is>
      </c>
      <c r="D790" t="inlineStr"/>
      <c r="E790" t="inlineStr">
        <is>
          <t>集成商/代理（Allied Telesis）</t>
        </is>
      </c>
      <c r="F790" t="inlineStr">
        <is>
          <t>Allied Telesis（Marvell Prestera 接入层）</t>
        </is>
      </c>
      <c r="G790" t="inlineStr">
        <is>
          <t>否</t>
        </is>
      </c>
      <c r="H790" t="inlineStr">
        <is>
          <t>Marvell 接入层生态切入</t>
        </is>
      </c>
      <c r="I790" t="inlineStr">
        <is>
          <t>LT-S8328XGP-4XS24GT-S</t>
        </is>
      </c>
      <c r="J790" t="inlineStr">
        <is>
          <t>见 alliedtelesis.com 代理商名录</t>
        </is>
      </c>
      <c r="K790" t="inlineStr">
        <is>
          <t>★★★</t>
        </is>
      </c>
      <c r="L790" t="inlineStr">
        <is>
          <t>未触达</t>
        </is>
      </c>
      <c r="M790" t="inlineStr">
        <is>
          <t>厂商官方渠道名录</t>
        </is>
      </c>
      <c r="N790" t="inlineStr"/>
      <c r="O790" t="inlineStr"/>
      <c r="P790" t="inlineStr"/>
      <c r="Q7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0" t="inlineStr">
        <is>
          <t>A</t>
        </is>
      </c>
      <c r="S790" t="inlineStr">
        <is>
          <t>【人工定级】A —— 自动规则已跳过；信息待人工补齐（见备注）</t>
        </is>
      </c>
      <c r="T790" t="inlineStr">
        <is>
          <t>A-172</t>
        </is>
      </c>
      <c r="U790" t="inlineStr"/>
      <c r="V790" t="inlineStr">
        <is>
          <t>A</t>
        </is>
      </c>
    </row>
    <row r="791">
      <c r="A791" t="inlineStr">
        <is>
          <t>ITC Technologies</t>
        </is>
      </c>
      <c r="B791" t="inlineStr">
        <is>
          <t>美国</t>
        </is>
      </c>
      <c r="C791" t="inlineStr">
        <is>
          <t>Maybrook, NY</t>
        </is>
      </c>
      <c r="D791" t="inlineStr"/>
      <c r="E791" t="inlineStr">
        <is>
          <t>集成商/代理（Allied Telesis）</t>
        </is>
      </c>
      <c r="F791" t="inlineStr">
        <is>
          <t>Allied Telesis（Marvell Prestera 接入层）</t>
        </is>
      </c>
      <c r="G791" t="inlineStr">
        <is>
          <t>否</t>
        </is>
      </c>
      <c r="H791" t="inlineStr">
        <is>
          <t>Marvell 接入层生态切入</t>
        </is>
      </c>
      <c r="I791" t="inlineStr">
        <is>
          <t>LT-S8328XGP-4XS24GT-S</t>
        </is>
      </c>
      <c r="J791" t="inlineStr">
        <is>
          <t>见 alliedtelesis.com 代理商名录</t>
        </is>
      </c>
      <c r="K791" t="inlineStr">
        <is>
          <t>★★★</t>
        </is>
      </c>
      <c r="L791" t="inlineStr">
        <is>
          <t>未触达</t>
        </is>
      </c>
      <c r="M791" t="inlineStr">
        <is>
          <t>厂商官方渠道名录</t>
        </is>
      </c>
      <c r="N791" t="inlineStr"/>
      <c r="O791" t="inlineStr"/>
      <c r="P791" t="inlineStr"/>
      <c r="Q7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1" t="inlineStr">
        <is>
          <t>A</t>
        </is>
      </c>
      <c r="S791" t="inlineStr">
        <is>
          <t>【人工定级】A —— 自动规则已跳过；信息待人工补齐（见备注）</t>
        </is>
      </c>
      <c r="T791" t="inlineStr">
        <is>
          <t>A-173</t>
        </is>
      </c>
      <c r="U791" t="inlineStr"/>
      <c r="V791" t="inlineStr">
        <is>
          <t>A</t>
        </is>
      </c>
    </row>
    <row r="792">
      <c r="A792" t="inlineStr">
        <is>
          <t>Kidwell Inc.</t>
        </is>
      </c>
      <c r="B792" t="inlineStr">
        <is>
          <t>美国</t>
        </is>
      </c>
      <c r="C792" t="inlineStr">
        <is>
          <t>Lincoln, NE</t>
        </is>
      </c>
      <c r="D792" t="inlineStr"/>
      <c r="E792" t="inlineStr">
        <is>
          <t>集成商/代理（Allied Telesis）</t>
        </is>
      </c>
      <c r="F792" t="inlineStr">
        <is>
          <t>Allied Telesis（Marvell Prestera 接入层）</t>
        </is>
      </c>
      <c r="G792" t="inlineStr">
        <is>
          <t>否</t>
        </is>
      </c>
      <c r="H792" t="inlineStr">
        <is>
          <t>Marvell 接入层生态切入</t>
        </is>
      </c>
      <c r="I792" t="inlineStr">
        <is>
          <t>LT-S8328XGP-4XS24GT-S</t>
        </is>
      </c>
      <c r="J792" t="inlineStr">
        <is>
          <t>见 alliedtelesis.com 代理商名录</t>
        </is>
      </c>
      <c r="K792" t="inlineStr">
        <is>
          <t>★★★</t>
        </is>
      </c>
      <c r="L792" t="inlineStr">
        <is>
          <t>未触达</t>
        </is>
      </c>
      <c r="M792" t="inlineStr">
        <is>
          <t>厂商官方渠道名录</t>
        </is>
      </c>
      <c r="N792" t="inlineStr"/>
      <c r="O792" t="inlineStr"/>
      <c r="P792" t="inlineStr"/>
      <c r="Q7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2" t="inlineStr">
        <is>
          <t>A</t>
        </is>
      </c>
      <c r="S792" t="inlineStr">
        <is>
          <t>【人工定级】A —— 自动规则已跳过；信息待人工补齐（见备注）</t>
        </is>
      </c>
      <c r="T792" t="inlineStr">
        <is>
          <t>A-174</t>
        </is>
      </c>
      <c r="U792" t="inlineStr"/>
      <c r="V792" t="inlineStr">
        <is>
          <t>A</t>
        </is>
      </c>
    </row>
    <row r="793">
      <c r="A793" t="inlineStr">
        <is>
          <t>Nexware Technologies</t>
        </is>
      </c>
      <c r="B793" t="inlineStr">
        <is>
          <t>美国</t>
        </is>
      </c>
      <c r="C793" t="inlineStr">
        <is>
          <t>Chandler, AZ</t>
        </is>
      </c>
      <c r="D793" t="inlineStr"/>
      <c r="E793" t="inlineStr">
        <is>
          <t>集成商/代理（Allied Telesis）</t>
        </is>
      </c>
      <c r="F793" t="inlineStr">
        <is>
          <t>Allied Telesis（Marvell Prestera 接入层）</t>
        </is>
      </c>
      <c r="G793" t="inlineStr">
        <is>
          <t>否</t>
        </is>
      </c>
      <c r="H793" t="inlineStr">
        <is>
          <t>Marvell 接入层生态切入</t>
        </is>
      </c>
      <c r="I793" t="inlineStr">
        <is>
          <t>LT-S8328XGP-4XS24GT-S</t>
        </is>
      </c>
      <c r="J793" t="inlineStr">
        <is>
          <t>见 alliedtelesis.com 代理商名录</t>
        </is>
      </c>
      <c r="K793" t="inlineStr">
        <is>
          <t>★★★</t>
        </is>
      </c>
      <c r="L793" t="inlineStr">
        <is>
          <t>未触达</t>
        </is>
      </c>
      <c r="M793" t="inlineStr">
        <is>
          <t>厂商官方渠道名录</t>
        </is>
      </c>
      <c r="N793" t="inlineStr"/>
      <c r="O793" t="inlineStr"/>
      <c r="P793" t="inlineStr"/>
      <c r="Q7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3" t="inlineStr">
        <is>
          <t>A</t>
        </is>
      </c>
      <c r="S793" t="inlineStr">
        <is>
          <t>【人工定级】A —— 自动规则已跳过；信息待人工补齐（见备注）</t>
        </is>
      </c>
      <c r="T793" t="inlineStr">
        <is>
          <t>A-175</t>
        </is>
      </c>
      <c r="U793" t="inlineStr"/>
      <c r="V793" t="inlineStr">
        <is>
          <t>A</t>
        </is>
      </c>
    </row>
    <row r="794">
      <c r="A794" t="inlineStr">
        <is>
          <t>Paramount Security Partners</t>
        </is>
      </c>
      <c r="B794" t="inlineStr">
        <is>
          <t>美国</t>
        </is>
      </c>
      <c r="C794" t="inlineStr"/>
      <c r="D794" t="inlineStr"/>
      <c r="E794" t="inlineStr">
        <is>
          <t>集成商/代理（Allied Telesis）</t>
        </is>
      </c>
      <c r="F794" t="inlineStr">
        <is>
          <t>Allied Telesis（Marvell Prestera 接入层）</t>
        </is>
      </c>
      <c r="G794" t="inlineStr">
        <is>
          <t>否</t>
        </is>
      </c>
      <c r="H794" t="inlineStr">
        <is>
          <t>Marvell 接入层生态切入</t>
        </is>
      </c>
      <c r="I794" t="inlineStr">
        <is>
          <t>LT-S8328XGP-4XS24GT-S</t>
        </is>
      </c>
      <c r="J794" t="inlineStr">
        <is>
          <t>见 alliedtelesis.com 代理商名录</t>
        </is>
      </c>
      <c r="K794" t="inlineStr">
        <is>
          <t>★★★</t>
        </is>
      </c>
      <c r="L794" t="inlineStr">
        <is>
          <t>未触达</t>
        </is>
      </c>
      <c r="M794" t="inlineStr">
        <is>
          <t>厂商官方渠道名录</t>
        </is>
      </c>
      <c r="N794" t="inlineStr"/>
      <c r="O794" t="inlineStr"/>
      <c r="P794" t="inlineStr"/>
      <c r="Q7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4" t="inlineStr">
        <is>
          <t>A</t>
        </is>
      </c>
      <c r="S794" t="inlineStr">
        <is>
          <t>【人工定级】A —— 自动规则已跳过；信息待人工补齐（见备注）</t>
        </is>
      </c>
      <c r="T794" t="inlineStr">
        <is>
          <t>A-176</t>
        </is>
      </c>
      <c r="U794" t="inlineStr"/>
      <c r="V794" t="inlineStr">
        <is>
          <t>A</t>
        </is>
      </c>
    </row>
    <row r="795">
      <c r="A795" t="inlineStr">
        <is>
          <t>Professional Cabling Solutions (PCS), LLC</t>
        </is>
      </c>
      <c r="B795" t="inlineStr">
        <is>
          <t>美国</t>
        </is>
      </c>
      <c r="C795" t="inlineStr">
        <is>
          <t>Cincinnati, OH</t>
        </is>
      </c>
      <c r="D795" t="inlineStr"/>
      <c r="E795" t="inlineStr">
        <is>
          <t>集成商/代理（Allied Telesis）</t>
        </is>
      </c>
      <c r="F795" t="inlineStr">
        <is>
          <t>Allied Telesis（Marvell Prestera 接入层）</t>
        </is>
      </c>
      <c r="G795" t="inlineStr">
        <is>
          <t>否</t>
        </is>
      </c>
      <c r="H795" t="inlineStr">
        <is>
          <t>Marvell 接入层生态切入</t>
        </is>
      </c>
      <c r="I795" t="inlineStr">
        <is>
          <t>LT-S8328XGP-4XS24GT-S</t>
        </is>
      </c>
      <c r="J795" t="inlineStr">
        <is>
          <t>见 alliedtelesis.com 代理商名录</t>
        </is>
      </c>
      <c r="K795" t="inlineStr">
        <is>
          <t>★★★</t>
        </is>
      </c>
      <c r="L795" t="inlineStr">
        <is>
          <t>未触达</t>
        </is>
      </c>
      <c r="M795" t="inlineStr">
        <is>
          <t>厂商官方渠道名录</t>
        </is>
      </c>
      <c r="N795" t="inlineStr"/>
      <c r="O795" t="inlineStr"/>
      <c r="P795" t="inlineStr"/>
      <c r="Q7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综合布线+网络，接入层落地能力强。</t>
        </is>
      </c>
      <c r="R795" t="inlineStr">
        <is>
          <t>A</t>
        </is>
      </c>
      <c r="S795" t="inlineStr">
        <is>
          <t>【人工定级】A —— 自动规则已跳过；信息待人工补齐（见备注）</t>
        </is>
      </c>
      <c r="T795" t="inlineStr">
        <is>
          <t>A-177</t>
        </is>
      </c>
      <c r="U795" t="inlineStr"/>
      <c r="V795" t="inlineStr">
        <is>
          <t>A</t>
        </is>
      </c>
    </row>
    <row r="796">
      <c r="A796" t="inlineStr">
        <is>
          <t>Riverside Technologies Inc</t>
        </is>
      </c>
      <c r="B796" t="inlineStr">
        <is>
          <t>美国</t>
        </is>
      </c>
      <c r="C796" t="inlineStr">
        <is>
          <t>North Sioux City, SD</t>
        </is>
      </c>
      <c r="D796" t="inlineStr"/>
      <c r="E796" t="inlineStr">
        <is>
          <t>集成商/代理（Allied Telesis）</t>
        </is>
      </c>
      <c r="F796" t="inlineStr">
        <is>
          <t>Allied Telesis（Marvell Prestera 接入层）</t>
        </is>
      </c>
      <c r="G796" t="inlineStr">
        <is>
          <t>否</t>
        </is>
      </c>
      <c r="H796" t="inlineStr">
        <is>
          <t>Marvell 接入层生态切入</t>
        </is>
      </c>
      <c r="I796" t="inlineStr">
        <is>
          <t>LT-S8328XGP-4XS24GT-S</t>
        </is>
      </c>
      <c r="J796" t="inlineStr">
        <is>
          <t>见 alliedtelesis.com 代理商名录</t>
        </is>
      </c>
      <c r="K796" t="inlineStr">
        <is>
          <t>★★★</t>
        </is>
      </c>
      <c r="L796" t="inlineStr">
        <is>
          <t>未触达</t>
        </is>
      </c>
      <c r="M796" t="inlineStr">
        <is>
          <t>厂商官方渠道名录</t>
        </is>
      </c>
      <c r="N796" t="inlineStr"/>
      <c r="O796" t="inlineStr"/>
      <c r="P796" t="inlineStr"/>
      <c r="Q7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6" t="inlineStr">
        <is>
          <t>A</t>
        </is>
      </c>
      <c r="S796" t="inlineStr">
        <is>
          <t>【人工定级】A —— 自动规则已跳过；信息待人工补齐（见备注）</t>
        </is>
      </c>
      <c r="T796" t="inlineStr">
        <is>
          <t>A-178</t>
        </is>
      </c>
      <c r="U796" t="inlineStr"/>
      <c r="V796" t="inlineStr">
        <is>
          <t>A</t>
        </is>
      </c>
    </row>
    <row r="797">
      <c r="A797" t="inlineStr">
        <is>
          <t>Security 101 - CT</t>
        </is>
      </c>
      <c r="B797" t="inlineStr">
        <is>
          <t>美国</t>
        </is>
      </c>
      <c r="C797" t="inlineStr">
        <is>
          <t>Southington, CT</t>
        </is>
      </c>
      <c r="D797" t="inlineStr"/>
      <c r="E797" t="inlineStr">
        <is>
          <t>集成商/代理（Allied Telesis）</t>
        </is>
      </c>
      <c r="F797" t="inlineStr">
        <is>
          <t>Allied Telesis（Marvell Prestera 接入层）</t>
        </is>
      </c>
      <c r="G797" t="inlineStr">
        <is>
          <t>否</t>
        </is>
      </c>
      <c r="H797" t="inlineStr">
        <is>
          <t>Marvell 接入层生态切入</t>
        </is>
      </c>
      <c r="I797" t="inlineStr">
        <is>
          <t>LT-S8328XGP-4XS24GT-S</t>
        </is>
      </c>
      <c r="J797" t="inlineStr">
        <is>
          <t>见 alliedtelesis.com 代理商名录</t>
        </is>
      </c>
      <c r="K797" t="inlineStr">
        <is>
          <t>★★★</t>
        </is>
      </c>
      <c r="L797" t="inlineStr">
        <is>
          <t>未触达</t>
        </is>
      </c>
      <c r="M797" t="inlineStr">
        <is>
          <t>厂商官方渠道名录</t>
        </is>
      </c>
      <c r="N797" t="inlineStr"/>
      <c r="O797" t="inlineStr"/>
      <c r="P797" t="inlineStr"/>
      <c r="Q7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7" t="inlineStr">
        <is>
          <t>A</t>
        </is>
      </c>
      <c r="S797" t="inlineStr">
        <is>
          <t>【人工定级】A —— 自动规则已跳过；信息待人工补齐（见备注）</t>
        </is>
      </c>
      <c r="T797" t="inlineStr">
        <is>
          <t>A-179</t>
        </is>
      </c>
      <c r="U797" t="inlineStr"/>
      <c r="V797" t="inlineStr">
        <is>
          <t>A</t>
        </is>
      </c>
    </row>
    <row r="798">
      <c r="A798" t="inlineStr">
        <is>
          <t>Security 101 - Rochester NY</t>
        </is>
      </c>
      <c r="B798" t="inlineStr">
        <is>
          <t>美国</t>
        </is>
      </c>
      <c r="C798" t="inlineStr">
        <is>
          <t>Rochester, NY</t>
        </is>
      </c>
      <c r="D798" t="inlineStr"/>
      <c r="E798" t="inlineStr">
        <is>
          <t>集成商/代理（Allied Telesis）</t>
        </is>
      </c>
      <c r="F798" t="inlineStr">
        <is>
          <t>Allied Telesis（Marvell Prestera 接入层）</t>
        </is>
      </c>
      <c r="G798" t="inlineStr">
        <is>
          <t>否</t>
        </is>
      </c>
      <c r="H798" t="inlineStr">
        <is>
          <t>Marvell 接入层生态切入</t>
        </is>
      </c>
      <c r="I798" t="inlineStr">
        <is>
          <t>LT-S8328XGP-4XS24GT-S</t>
        </is>
      </c>
      <c r="J798" t="inlineStr">
        <is>
          <t>见 alliedtelesis.com 代理商名录</t>
        </is>
      </c>
      <c r="K798" t="inlineStr">
        <is>
          <t>★★★</t>
        </is>
      </c>
      <c r="L798" t="inlineStr">
        <is>
          <t>未触达</t>
        </is>
      </c>
      <c r="M798" t="inlineStr">
        <is>
          <t>厂商官方渠道名录</t>
        </is>
      </c>
      <c r="N798" t="inlineStr"/>
      <c r="O798" t="inlineStr"/>
      <c r="P798" t="inlineStr"/>
      <c r="Q7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与 Security 101 - CT 同品牌不同实体，**注意别重复触达**。</t>
        </is>
      </c>
      <c r="R798" t="inlineStr">
        <is>
          <t>A</t>
        </is>
      </c>
      <c r="S798" t="inlineStr">
        <is>
          <t>【人工定级】A —— 自动规则已跳过；信息待人工补齐（见备注）</t>
        </is>
      </c>
      <c r="T798" t="inlineStr">
        <is>
          <t>A-180</t>
        </is>
      </c>
      <c r="U798" t="inlineStr"/>
      <c r="V798" t="inlineStr">
        <is>
          <t>A</t>
        </is>
      </c>
    </row>
    <row r="799">
      <c r="A799" t="inlineStr">
        <is>
          <t>Shea Electric</t>
        </is>
      </c>
      <c r="B799" t="inlineStr">
        <is>
          <t>美国</t>
        </is>
      </c>
      <c r="C799" t="inlineStr">
        <is>
          <t>Oshkosh, WI</t>
        </is>
      </c>
      <c r="D799" t="inlineStr"/>
      <c r="E799" t="inlineStr">
        <is>
          <t>集成商/代理（Allied Telesis）</t>
        </is>
      </c>
      <c r="F799" t="inlineStr">
        <is>
          <t>Allied Telesis（Marvell Prestera 接入层）</t>
        </is>
      </c>
      <c r="G799" t="inlineStr">
        <is>
          <t>否</t>
        </is>
      </c>
      <c r="H799" t="inlineStr">
        <is>
          <t>Marvell 接入层生态切入</t>
        </is>
      </c>
      <c r="I799" t="inlineStr">
        <is>
          <t>LT-S8328XGP-4XS24GT-S</t>
        </is>
      </c>
      <c r="J799" t="inlineStr">
        <is>
          <t>见 alliedtelesis.com 代理商名录</t>
        </is>
      </c>
      <c r="K799" t="inlineStr">
        <is>
          <t>★★★</t>
        </is>
      </c>
      <c r="L799" t="inlineStr">
        <is>
          <t>未触达</t>
        </is>
      </c>
      <c r="M799" t="inlineStr">
        <is>
          <t>厂商官方渠道名录</t>
        </is>
      </c>
      <c r="N799" t="inlineStr"/>
      <c r="O799" t="inlineStr"/>
      <c r="P799" t="inlineStr"/>
      <c r="Q7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799" t="inlineStr">
        <is>
          <t>A</t>
        </is>
      </c>
      <c r="S799" t="inlineStr">
        <is>
          <t>【人工定级】A —— 自动规则已跳过；信息待人工补齐（见备注）</t>
        </is>
      </c>
      <c r="T799" t="inlineStr">
        <is>
          <t>A-181</t>
        </is>
      </c>
      <c r="U799" t="inlineStr"/>
      <c r="V799" t="inlineStr">
        <is>
          <t>A</t>
        </is>
      </c>
    </row>
    <row r="800">
      <c r="A800" t="inlineStr">
        <is>
          <t>Silco Fire Protection &amp; Security</t>
        </is>
      </c>
      <c r="B800" t="inlineStr">
        <is>
          <t>美国</t>
        </is>
      </c>
      <c r="C800" t="inlineStr"/>
      <c r="D800" t="inlineStr"/>
      <c r="E800" t="inlineStr">
        <is>
          <t>集成商/代理（Allied Telesis）</t>
        </is>
      </c>
      <c r="F800" t="inlineStr">
        <is>
          <t>Allied Telesis（Marvell Prestera 接入层）</t>
        </is>
      </c>
      <c r="G800" t="inlineStr">
        <is>
          <t>否</t>
        </is>
      </c>
      <c r="H800" t="inlineStr">
        <is>
          <t>Marvell 接入层生态切入</t>
        </is>
      </c>
      <c r="I800" t="inlineStr">
        <is>
          <t>LT-S8328XGP-4XS24GT-S</t>
        </is>
      </c>
      <c r="J800" t="inlineStr">
        <is>
          <t>见 alliedtelesis.com 代理商名录</t>
        </is>
      </c>
      <c r="K800" t="inlineStr">
        <is>
          <t>★★★</t>
        </is>
      </c>
      <c r="L800" t="inlineStr">
        <is>
          <t>未触达</t>
        </is>
      </c>
      <c r="M800" t="inlineStr">
        <is>
          <t>厂商官方渠道名录</t>
        </is>
      </c>
      <c r="N800" t="inlineStr"/>
      <c r="O800" t="inlineStr"/>
      <c r="P800" t="inlineStr"/>
      <c r="Q8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0" t="inlineStr">
        <is>
          <t>A</t>
        </is>
      </c>
      <c r="S800" t="inlineStr">
        <is>
          <t>【人工定级】A —— 自动规则已跳过；信息待人工补齐（见备注）</t>
        </is>
      </c>
      <c r="T800" t="inlineStr">
        <is>
          <t>A-182</t>
        </is>
      </c>
      <c r="U800" t="inlineStr"/>
      <c r="V800" t="inlineStr">
        <is>
          <t>A</t>
        </is>
      </c>
    </row>
    <row r="801">
      <c r="A801" t="inlineStr">
        <is>
          <t>UberData Networks</t>
        </is>
      </c>
      <c r="B801" t="inlineStr">
        <is>
          <t>美国</t>
        </is>
      </c>
      <c r="C801" t="inlineStr"/>
      <c r="D801" t="inlineStr"/>
      <c r="E801" t="inlineStr">
        <is>
          <t>集成商/代理（Allied Telesis）</t>
        </is>
      </c>
      <c r="F801" t="inlineStr">
        <is>
          <t>Allied Telesis（Marvell Prestera 接入层）</t>
        </is>
      </c>
      <c r="G801" t="inlineStr">
        <is>
          <t>否</t>
        </is>
      </c>
      <c r="H801" t="inlineStr">
        <is>
          <t>Marvell 接入层生态切入</t>
        </is>
      </c>
      <c r="I801" t="inlineStr">
        <is>
          <t>LT-S8328XGP-4XS24GT-S</t>
        </is>
      </c>
      <c r="J801" t="inlineStr">
        <is>
          <t>见 alliedtelesis.com 代理商名录</t>
        </is>
      </c>
      <c r="K801" t="inlineStr">
        <is>
          <t>★★★</t>
        </is>
      </c>
      <c r="L801" t="inlineStr">
        <is>
          <t>未触达</t>
        </is>
      </c>
      <c r="M801" t="inlineStr">
        <is>
          <t>厂商官方渠道名录</t>
        </is>
      </c>
      <c r="N801" t="inlineStr"/>
      <c r="O801" t="inlineStr"/>
      <c r="P801" t="inlineStr"/>
      <c r="Q8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1" t="inlineStr">
        <is>
          <t>A</t>
        </is>
      </c>
      <c r="S801" t="inlineStr">
        <is>
          <t>【人工定级】A —— 自动规则已跳过；信息待人工补齐（见备注）</t>
        </is>
      </c>
      <c r="T801" t="inlineStr">
        <is>
          <t>A-183</t>
        </is>
      </c>
      <c r="U801" t="inlineStr"/>
      <c r="V801" t="inlineStr">
        <is>
          <t>A</t>
        </is>
      </c>
    </row>
    <row r="802">
      <c r="A802" t="inlineStr">
        <is>
          <t>VARtek Services Inc</t>
        </is>
      </c>
      <c r="B802" t="inlineStr">
        <is>
          <t>美国</t>
        </is>
      </c>
      <c r="C802" t="inlineStr"/>
      <c r="D802" t="inlineStr"/>
      <c r="E802" t="inlineStr">
        <is>
          <t>集成商/代理（Allied Telesis）</t>
        </is>
      </c>
      <c r="F802" t="inlineStr">
        <is>
          <t>Allied Telesis（Marvell Prestera 接入层）</t>
        </is>
      </c>
      <c r="G802" t="inlineStr">
        <is>
          <t>否</t>
        </is>
      </c>
      <c r="H802" t="inlineStr">
        <is>
          <t>Marvell 接入层生态切入</t>
        </is>
      </c>
      <c r="I802" t="inlineStr">
        <is>
          <t>LT-S8328XGP-4XS24GT-S</t>
        </is>
      </c>
      <c r="J802" t="inlineStr">
        <is>
          <t>见 alliedtelesis.com 代理商名录</t>
        </is>
      </c>
      <c r="K802" t="inlineStr">
        <is>
          <t>★★★</t>
        </is>
      </c>
      <c r="L802" t="inlineStr">
        <is>
          <t>未触达</t>
        </is>
      </c>
      <c r="M802" t="inlineStr">
        <is>
          <t>厂商官方渠道名录</t>
        </is>
      </c>
      <c r="N802" t="inlineStr"/>
      <c r="O802" t="inlineStr"/>
      <c r="P802" t="inlineStr"/>
      <c r="Q8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2" t="inlineStr">
        <is>
          <t>A</t>
        </is>
      </c>
      <c r="S802" t="inlineStr">
        <is>
          <t>【人工定级】A —— 自动规则已跳过；信息待人工补齐（见备注）</t>
        </is>
      </c>
      <c r="T802" t="inlineStr">
        <is>
          <t>A-184</t>
        </is>
      </c>
      <c r="U802" t="inlineStr"/>
      <c r="V802" t="inlineStr">
        <is>
          <t>A</t>
        </is>
      </c>
    </row>
    <row r="803">
      <c r="A803" t="inlineStr">
        <is>
          <t>Wire Technologies, Inc.</t>
        </is>
      </c>
      <c r="B803" t="inlineStr">
        <is>
          <t>美国</t>
        </is>
      </c>
      <c r="C803" t="inlineStr"/>
      <c r="D803" t="inlineStr"/>
      <c r="E803" t="inlineStr">
        <is>
          <t>集成商/代理（Allied Telesis）</t>
        </is>
      </c>
      <c r="F803" t="inlineStr">
        <is>
          <t>Allied Telesis（Marvell Prestera 接入层）</t>
        </is>
      </c>
      <c r="G803" t="inlineStr">
        <is>
          <t>否</t>
        </is>
      </c>
      <c r="H803" t="inlineStr">
        <is>
          <t>Marvell 接入层生态切入</t>
        </is>
      </c>
      <c r="I803" t="inlineStr">
        <is>
          <t>LT-S8328XGP-4XS24GT-S</t>
        </is>
      </c>
      <c r="J803" t="inlineStr">
        <is>
          <t>见 alliedtelesis.com 代理商名录</t>
        </is>
      </c>
      <c r="K803" t="inlineStr">
        <is>
          <t>★★★</t>
        </is>
      </c>
      <c r="L803" t="inlineStr">
        <is>
          <t>未触达</t>
        </is>
      </c>
      <c r="M803" t="inlineStr">
        <is>
          <t>厂商官方渠道名录</t>
        </is>
      </c>
      <c r="N803" t="inlineStr"/>
      <c r="O803" t="inlineStr"/>
      <c r="P803" t="inlineStr"/>
      <c r="Q8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03" t="inlineStr">
        <is>
          <t>A</t>
        </is>
      </c>
      <c r="S803" t="inlineStr">
        <is>
          <t>【人工定级】A —— 自动规则已跳过；信息待人工补齐（见备注）</t>
        </is>
      </c>
      <c r="T803" t="inlineStr">
        <is>
          <t>A-185</t>
        </is>
      </c>
      <c r="U803" t="inlineStr"/>
      <c r="V803" t="inlineStr">
        <is>
          <t>A</t>
        </is>
      </c>
    </row>
    <row r="804">
      <c r="A804" t="inlineStr">
        <is>
          <t>BRS Networks AB</t>
        </is>
      </c>
      <c r="B804" t="inlineStr">
        <is>
          <t>瑞典</t>
        </is>
      </c>
      <c r="C804" t="inlineStr"/>
      <c r="D804" t="inlineStr"/>
      <c r="E804" t="inlineStr">
        <is>
          <t>集成商/代理（Allied Telesis）</t>
        </is>
      </c>
      <c r="F804" t="inlineStr">
        <is>
          <t>Allied Telesis（Marvell Prestera 接入层）+ Fortinet</t>
        </is>
      </c>
      <c r="G804" t="inlineStr">
        <is>
          <t>否</t>
        </is>
      </c>
      <c r="H804" t="inlineStr">
        <is>
          <t>Marvell 接入层生态切入</t>
        </is>
      </c>
      <c r="I804" t="inlineStr">
        <is>
          <t>LT-S8328XGP-4XS24GT-S</t>
        </is>
      </c>
      <c r="J804" t="inlineStr">
        <is>
          <t>见 elioplus 渠道库</t>
        </is>
      </c>
      <c r="K804" t="inlineStr">
        <is>
          <t>★★★</t>
        </is>
      </c>
      <c r="L804" t="inlineStr">
        <is>
          <t>未触达</t>
        </is>
      </c>
      <c r="M804" t="inlineStr">
        <is>
          <t>厂商官方渠道名录</t>
        </is>
      </c>
      <c r="N804" t="inlineStr"/>
      <c r="O804" t="inlineStr"/>
      <c r="P804" t="inlineStr"/>
      <c r="Q804" t="inlineStr">
        <is>
          <t>**光纤网络方案商，业务覆盖瑞典、丹麦、德国** —— 北欧+德语区三地经营。</t>
        </is>
      </c>
      <c r="R804" t="inlineStr">
        <is>
          <t>A</t>
        </is>
      </c>
      <c r="S804" t="inlineStr">
        <is>
          <t>有明确交换/供电需求（光纤接入），三星重点</t>
        </is>
      </c>
      <c r="T804" t="inlineStr">
        <is>
          <t>A-121</t>
        </is>
      </c>
      <c r="U804" t="inlineStr"/>
      <c r="V804" t="inlineStr"/>
    </row>
    <row r="805">
      <c r="A805" t="inlineStr">
        <is>
          <t>Berdin Grupo</t>
        </is>
      </c>
      <c r="B805" t="inlineStr">
        <is>
          <t>西班牙</t>
        </is>
      </c>
      <c r="C805" t="inlineStr"/>
      <c r="D805" t="inlineStr"/>
      <c r="E805" t="inlineStr">
        <is>
          <t>集成商/代理（Allied Telesis）</t>
        </is>
      </c>
      <c r="F805" t="inlineStr">
        <is>
          <t>Allied Telesis + Bosch + Comnet + Genetec + Hanwha + Commscope + Fortinet</t>
        </is>
      </c>
      <c r="G805" t="inlineStr">
        <is>
          <t>否</t>
        </is>
      </c>
      <c r="H805" t="inlineStr">
        <is>
          <t>Marvell 接入层生态切入</t>
        </is>
      </c>
      <c r="I805" t="inlineStr">
        <is>
          <t>LT-S8328XGP-4XS24GT-S</t>
        </is>
      </c>
      <c r="J805" t="inlineStr">
        <is>
          <t>见 elioplus 渠道库</t>
        </is>
      </c>
      <c r="K805" t="inlineStr">
        <is>
          <t>★★★</t>
        </is>
      </c>
      <c r="L805" t="inlineStr">
        <is>
          <t>未触达</t>
        </is>
      </c>
      <c r="M805" t="inlineStr">
        <is>
          <t>厂商官方渠道名录</t>
        </is>
      </c>
      <c r="N805" t="inlineStr"/>
      <c r="O805" t="inlineStr"/>
      <c r="P805" t="inlineStr"/>
      <c r="Q805" t="inlineStr">
        <is>
          <t>西班牙，覆盖照明/楼控、电气、安防、工业自动化、通信与能源。</t>
        </is>
      </c>
      <c r="R805" t="inlineStr">
        <is>
          <t>A</t>
        </is>
      </c>
      <c r="S805" t="inlineStr">
        <is>
          <t>有明确交换/供电需求（工业/楼宇），三星重点</t>
        </is>
      </c>
      <c r="T805" t="inlineStr">
        <is>
          <t>A-122</t>
        </is>
      </c>
      <c r="U805" t="inlineStr"/>
      <c r="V805" t="inlineStr"/>
    </row>
    <row r="806">
      <c r="A806" t="inlineStr">
        <is>
          <t>DeInta</t>
        </is>
      </c>
      <c r="B806" t="inlineStr">
        <is>
          <t>西班牙</t>
        </is>
      </c>
      <c r="C806" t="inlineStr">
        <is>
          <t>Zaragoza</t>
        </is>
      </c>
      <c r="D806" t="inlineStr"/>
      <c r="E806" t="inlineStr">
        <is>
          <t>集成商/代理（Allied Telesis）</t>
        </is>
      </c>
      <c r="F806" t="inlineStr">
        <is>
          <t>Allied Telesis + Axis + 3CX + HP</t>
        </is>
      </c>
      <c r="G806" t="inlineStr">
        <is>
          <t>否</t>
        </is>
      </c>
      <c r="H806" t="inlineStr">
        <is>
          <t>Marvell 接入层生态切入</t>
        </is>
      </c>
      <c r="I806" t="inlineStr">
        <is>
          <t>LT-S8328XGP-4XS24GT-S</t>
        </is>
      </c>
      <c r="J806" t="inlineStr">
        <is>
          <t>见 elioplus 渠道库</t>
        </is>
      </c>
      <c r="K806" t="inlineStr">
        <is>
          <t>★★★</t>
        </is>
      </c>
      <c r="L806" t="inlineStr">
        <is>
          <t>未触达</t>
        </is>
      </c>
      <c r="M806" t="inlineStr">
        <is>
          <t>厂商官方渠道名录</t>
        </is>
      </c>
      <c r="N806" t="inlineStr"/>
      <c r="O806" t="inlineStr"/>
      <c r="P806" t="inlineStr"/>
      <c r="Q8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西班牙 Zaragoza，VOIP 与网络。</t>
        </is>
      </c>
      <c r="R806" t="inlineStr">
        <is>
          <t>A</t>
        </is>
      </c>
      <c r="S806" t="inlineStr">
        <is>
          <t>【人工定级】A —— 自动规则已跳过；信息待人工补齐（见备注）</t>
        </is>
      </c>
      <c r="T806" t="inlineStr">
        <is>
          <t>A-186</t>
        </is>
      </c>
      <c r="U806" t="inlineStr"/>
      <c r="V806" t="inlineStr">
        <is>
          <t>A</t>
        </is>
      </c>
    </row>
    <row r="807">
      <c r="A807" t="inlineStr">
        <is>
          <t>Nexus Technology</t>
        </is>
      </c>
      <c r="B807" t="inlineStr">
        <is>
          <t>西班牙</t>
        </is>
      </c>
      <c r="C807" t="inlineStr"/>
      <c r="D807" t="inlineStr"/>
      <c r="E807" t="inlineStr">
        <is>
          <t>集成商/代理（Allied Telesis）</t>
        </is>
      </c>
      <c r="F807" t="inlineStr">
        <is>
          <t>Allied Telesis 等</t>
        </is>
      </c>
      <c r="G807" t="inlineStr">
        <is>
          <t>否</t>
        </is>
      </c>
      <c r="H807" t="inlineStr">
        <is>
          <t>Marvell 接入层生态切入</t>
        </is>
      </c>
      <c r="I807" t="inlineStr">
        <is>
          <t>LT-S8328XGP-4XS24GT-S</t>
        </is>
      </c>
      <c r="J807" t="inlineStr">
        <is>
          <t>见 elioplus 渠道库</t>
        </is>
      </c>
      <c r="K807" t="inlineStr">
        <is>
          <t>★★★</t>
        </is>
      </c>
      <c r="L807" t="inlineStr">
        <is>
          <t>未触达</t>
        </is>
      </c>
      <c r="M807" t="inlineStr">
        <is>
          <t>厂商官方渠道名录</t>
        </is>
      </c>
      <c r="N807" t="inlineStr"/>
      <c r="O807" t="inlineStr"/>
      <c r="P807" t="inlineStr"/>
      <c r="Q8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西语区批发分销，覆盖综合布线、网络、安全、数据中心。</t>
        </is>
      </c>
      <c r="R807" t="inlineStr">
        <is>
          <t>A</t>
        </is>
      </c>
      <c r="S807" t="inlineStr">
        <is>
          <t>【人工定级】A —— 自动规则已跳过；信息待人工补齐（见备注）</t>
        </is>
      </c>
      <c r="T807" t="inlineStr">
        <is>
          <t>A-187</t>
        </is>
      </c>
      <c r="U807" t="inlineStr"/>
      <c r="V807" t="inlineStr">
        <is>
          <t>A</t>
        </is>
      </c>
    </row>
    <row r="808">
      <c r="A808" t="inlineStr">
        <is>
          <t>Atlantik Elektronik</t>
        </is>
      </c>
      <c r="B808" t="inlineStr">
        <is>
          <t>德国</t>
        </is>
      </c>
      <c r="C808" t="inlineStr"/>
      <c r="D808" t="inlineStr">
        <is>
          <t>atlantikelektronik.com</t>
        </is>
      </c>
      <c r="E808" t="inlineStr">
        <is>
          <t>分销（Lantronix 授权）</t>
        </is>
      </c>
      <c r="F808" t="inlineStr">
        <is>
          <t>Lantronix（Marvell 生态，工业 IoT/边缘）</t>
        </is>
      </c>
      <c r="G808" t="inlineStr">
        <is>
          <t>否</t>
        </is>
      </c>
      <c r="H808" t="inlineStr">
        <is>
          <t>Marvell 接入层生态切入</t>
        </is>
      </c>
      <c r="I808" t="inlineStr">
        <is>
          <t>LT-S8328XGP-4XS24GT-S</t>
        </is>
      </c>
      <c r="J808" t="inlineStr">
        <is>
          <t>见 atlantikelektronik.com/en/manufacturer/lantronix-distributor</t>
        </is>
      </c>
      <c r="K808" t="inlineStr">
        <is>
          <t>★★★</t>
        </is>
      </c>
      <c r="L808" t="inlineStr">
        <is>
          <t>未触达</t>
        </is>
      </c>
      <c r="M808" t="inlineStr">
        <is>
          <t>厂商官网分销页（当前）</t>
        </is>
      </c>
      <c r="N808" t="inlineStr"/>
      <c r="O808" t="inlineStr"/>
      <c r="P808" t="inlineStr"/>
      <c r="Q808" t="inlineStr">
        <is>
          <t>Lantronix 授权分销，官网自述提供**全线产品 + design-in 支持**，可协助把嵌入式模块与网络产品整合进标准或定制项目。亦经营 atestore.de 电商。</t>
        </is>
      </c>
      <c r="R808" t="inlineStr">
        <is>
          <t>A</t>
        </is>
      </c>
      <c r="S808" t="inlineStr">
        <is>
          <t>有明确交换/供电需求（工业/楼宇），三星重点</t>
        </is>
      </c>
      <c r="T808" t="inlineStr">
        <is>
          <t>A-123</t>
        </is>
      </c>
      <c r="U808" t="inlineStr"/>
      <c r="V808" t="inlineStr"/>
    </row>
    <row r="809">
      <c r="A809" t="inlineStr">
        <is>
          <t>Astradis Elecktronik GmbH</t>
        </is>
      </c>
      <c r="B809" t="inlineStr">
        <is>
          <t>德国</t>
        </is>
      </c>
      <c r="C809" t="inlineStr"/>
      <c r="D809" t="inlineStr"/>
      <c r="E809" t="inlineStr">
        <is>
          <t>分销（Lantronix 授权）</t>
        </is>
      </c>
      <c r="F809" t="inlineStr">
        <is>
          <t>Lantronix（Marvell 生态）</t>
        </is>
      </c>
      <c r="G809" t="inlineStr">
        <is>
          <t>否</t>
        </is>
      </c>
      <c r="H809" t="inlineStr">
        <is>
          <t>Marvell 接入层生态切入</t>
        </is>
      </c>
      <c r="I809" t="inlineStr">
        <is>
          <t>LT-S8328XGP-4XS24GT-S</t>
        </is>
      </c>
      <c r="J809" t="inlineStr"/>
      <c r="K809" t="inlineStr">
        <is>
          <t>★★★</t>
        </is>
      </c>
      <c r="L809" t="inlineStr">
        <is>
          <t>未触达</t>
        </is>
      </c>
      <c r="M809" t="inlineStr">
        <is>
          <t>Lantronix SEC 年报 EMEA 分销名单（2007）</t>
        </is>
      </c>
      <c r="N809" t="inlineStr"/>
      <c r="O809" t="inlineStr"/>
      <c r="P809" t="inlineStr"/>
      <c r="Q809" t="inlineStr">
        <is>
          <t>⚠️ 来源为厂商 SEC 年报（2007 年），年代较久，**代理关系需先核实再触达**。 德国分销商，年报列为 Lantronix EMEA 主要分销之一。</t>
        </is>
      </c>
      <c r="R809" t="inlineStr">
        <is>
          <t>C</t>
        </is>
      </c>
      <c r="S809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09" t="inlineStr">
        <is>
          <t>C-343</t>
        </is>
      </c>
      <c r="U809" t="inlineStr">
        <is>
          <t>B下放·无邮箱（群发触达不到）</t>
        </is>
      </c>
      <c r="V809" t="inlineStr"/>
    </row>
    <row r="810">
      <c r="A810" t="inlineStr">
        <is>
          <t>KMJ Communications</t>
        </is>
      </c>
      <c r="B810" t="inlineStr">
        <is>
          <t>美国</t>
        </is>
      </c>
      <c r="C810" t="inlineStr"/>
      <c r="D810" t="inlineStr"/>
      <c r="E810" t="inlineStr">
        <is>
          <t>分销（Lantronix 授权）</t>
        </is>
      </c>
      <c r="F810" t="inlineStr">
        <is>
          <t>Lantronix（Marvell 生态）</t>
        </is>
      </c>
      <c r="G810" t="inlineStr">
        <is>
          <t>否</t>
        </is>
      </c>
      <c r="H810" t="inlineStr">
        <is>
          <t>Marvell 接入层生态切入</t>
        </is>
      </c>
      <c r="I810" t="inlineStr">
        <is>
          <t>LT-S8328XGP-4XS24GT-S</t>
        </is>
      </c>
      <c r="J810" t="inlineStr"/>
      <c r="K810" t="inlineStr">
        <is>
          <t>★★★</t>
        </is>
      </c>
      <c r="L810" t="inlineStr">
        <is>
          <t>未触达</t>
        </is>
      </c>
      <c r="M810" t="inlineStr">
        <is>
          <t>Lantronix SEC 年报 美洲分销名单（2007）</t>
        </is>
      </c>
      <c r="N810" t="inlineStr"/>
      <c r="O810" t="inlineStr"/>
      <c r="P810" t="inlineStr"/>
      <c r="Q810" t="inlineStr">
        <is>
          <t>⚠️ 来源为厂商 SEC 年报（2007 年），年代较久，**代理关系需先核实再触达**。 年报列为 Lantronix 美洲主要分销之一。</t>
        </is>
      </c>
      <c r="R810" t="inlineStr">
        <is>
          <t>C</t>
        </is>
      </c>
      <c r="S810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0" t="inlineStr">
        <is>
          <t>C-344</t>
        </is>
      </c>
      <c r="U810" t="inlineStr">
        <is>
          <t>B下放·无邮箱（群发触达不到）</t>
        </is>
      </c>
      <c r="V810" t="inlineStr"/>
    </row>
    <row r="811">
      <c r="A811" t="inlineStr">
        <is>
          <t>Symmetry Electronics</t>
        </is>
      </c>
      <c r="B811" t="inlineStr">
        <is>
          <t>美国</t>
        </is>
      </c>
      <c r="C811" t="inlineStr"/>
      <c r="D811" t="inlineStr"/>
      <c r="E811" t="inlineStr">
        <is>
          <t>分销（Lantronix 授权）</t>
        </is>
      </c>
      <c r="F811" t="inlineStr">
        <is>
          <t>Lantronix（Marvell 生态）</t>
        </is>
      </c>
      <c r="G811" t="inlineStr">
        <is>
          <t>否</t>
        </is>
      </c>
      <c r="H811" t="inlineStr">
        <is>
          <t>Marvell 接入层生态切入</t>
        </is>
      </c>
      <c r="I811" t="inlineStr">
        <is>
          <t>LT-S8328XGP-4XS24GT-S</t>
        </is>
      </c>
      <c r="J811" t="inlineStr"/>
      <c r="K811" t="inlineStr">
        <is>
          <t>★★★</t>
        </is>
      </c>
      <c r="L811" t="inlineStr">
        <is>
          <t>未触达</t>
        </is>
      </c>
      <c r="M811" t="inlineStr">
        <is>
          <t>Lantronix SEC 年报 美洲分销名单（2007）</t>
        </is>
      </c>
      <c r="N811" t="inlineStr"/>
      <c r="O811" t="inlineStr"/>
      <c r="P811" t="inlineStr"/>
      <c r="Q811" t="inlineStr">
        <is>
          <t>⚠️ 来源为厂商 SEC 年报（2007 年），年代较久，**代理关系需先核实再触达**。 年报列为 Lantronix 美洲主要分销之一。</t>
        </is>
      </c>
      <c r="R811" t="inlineStr">
        <is>
          <t>C</t>
        </is>
      </c>
      <c r="S811" t="inlineStr">
        <is>
          <t>【2026-09-23 复核下放】无邮箱（群发触达不到），按「B 只做群发」原则沉 C 待命；全量信息保留，出现以下任一情形可重评：①补到邮箱 ②对方主动询价 ③出现 EOL 替换需求 ④冒出内部联系人。原判：通用分销商信号，无差异化切入点，慢慢跟</t>
        </is>
      </c>
      <c r="T811" t="inlineStr">
        <is>
          <t>C-345</t>
        </is>
      </c>
      <c r="U811" t="inlineStr">
        <is>
          <t>B下放·无邮箱（群发触达不到）</t>
        </is>
      </c>
      <c r="V811" t="inlineStr"/>
    </row>
    <row r="812">
      <c r="A812" t="inlineStr">
        <is>
          <t>Express Systems &amp; Peripherals (DigiStore)</t>
        </is>
      </c>
      <c r="B812" t="inlineStr">
        <is>
          <t>美国</t>
        </is>
      </c>
      <c r="C812" t="inlineStr"/>
      <c r="D812" t="inlineStr">
        <is>
          <t>digistore.express-inc.com</t>
        </is>
      </c>
      <c r="E812" t="inlineStr">
        <is>
          <t>分销（Digi 授权）</t>
        </is>
      </c>
      <c r="F812" t="inlineStr">
        <is>
          <t>Digi International（Marvell 生态，工业联网）</t>
        </is>
      </c>
      <c r="G812" t="inlineStr">
        <is>
          <t>否</t>
        </is>
      </c>
      <c r="H812" t="inlineStr">
        <is>
          <t>Marvell 接入层生态切入</t>
        </is>
      </c>
      <c r="I812" t="inlineStr">
        <is>
          <t>LT-S8328XGP-4XS24GT-S</t>
        </is>
      </c>
      <c r="J812" t="inlineStr">
        <is>
          <t>见 digistore.express-inc.com</t>
        </is>
      </c>
      <c r="K812" t="inlineStr">
        <is>
          <t>★★★</t>
        </is>
      </c>
      <c r="L812" t="inlineStr">
        <is>
          <t>未触达</t>
        </is>
      </c>
      <c r="M812" t="inlineStr">
        <is>
          <t>厂商授权分销页（当前）</t>
        </is>
      </c>
      <c r="N812" t="inlineStr"/>
      <c r="O812" t="inlineStr"/>
      <c r="P812" t="inlineStr"/>
      <c r="Q812" t="inlineStr">
        <is>
          <t>Digi 授权分销，自述为 **Digi 最大备货分销之一**并接受过厂方培训。站内同时销售 **Comtrol RocketLinx 工业以太网交换机**，并设有面向集成商/VAR 的合作报价计划。</t>
        </is>
      </c>
      <c r="R812" t="inlineStr">
        <is>
          <t>C</t>
        </is>
      </c>
      <c r="S812" t="inlineStr">
        <is>
          <t>备注含「最大」，决策链长或存在品牌冲突</t>
        </is>
      </c>
      <c r="T812" t="inlineStr">
        <is>
          <t>C-346</t>
        </is>
      </c>
      <c r="U812" t="inlineStr">
        <is>
          <t>太难·规模过大/决策链长</t>
        </is>
      </c>
      <c r="V812" t="inlineStr"/>
    </row>
    <row r="813">
      <c r="A813" t="inlineStr">
        <is>
          <t>Grandmetric</t>
        </is>
      </c>
      <c r="B813" t="inlineStr">
        <is>
          <t>波兰</t>
        </is>
      </c>
      <c r="C813" t="inlineStr"/>
      <c r="D813" t="inlineStr">
        <is>
          <t>grandmetric.com</t>
        </is>
      </c>
      <c r="E813" t="inlineStr">
        <is>
          <t>集成商/代理（Extreme Networks）</t>
        </is>
      </c>
      <c r="F813" t="inlineStr">
        <is>
          <t>Extreme Networks（Marvell 生态，接入层）</t>
        </is>
      </c>
      <c r="G813" t="inlineStr">
        <is>
          <t>否</t>
        </is>
      </c>
      <c r="H813" t="inlineStr">
        <is>
          <t>Marvell 接入层生态切入</t>
        </is>
      </c>
      <c r="I813" t="inlineStr">
        <is>
          <t>LT-S8328XGP-4XS24GT-S</t>
        </is>
      </c>
      <c r="J813" t="inlineStr">
        <is>
          <t>见 grandmetric.com/services/extreme-networks-authorized-partner/</t>
        </is>
      </c>
      <c r="K813" t="inlineStr">
        <is>
          <t>★★★</t>
        </is>
      </c>
      <c r="L813" t="inlineStr">
        <is>
          <t>未触达</t>
        </is>
      </c>
      <c r="M813" t="inlineStr">
        <is>
          <t>厂商授权伙伴页（当前）</t>
        </is>
      </c>
      <c r="N813" t="inlineStr"/>
      <c r="O813" t="inlineStr"/>
      <c r="P813" t="inlineStr"/>
      <c r="Q813" t="inlineStr">
        <is>
          <t>Extreme Networks **授权伙伴**（波兰）。自述 Extreme 在波兰有自有代表处，且明确其方案**亦覆盖中小企业**，不限于 Fortune 500 场景。</t>
        </is>
      </c>
      <c r="R813" t="inlineStr">
        <is>
          <t>C</t>
        </is>
      </c>
      <c r="S813" t="inlineStr">
        <is>
          <t>备注含「Fortune」，决策链长或存在品牌冲突</t>
        </is>
      </c>
      <c r="T813" t="inlineStr">
        <is>
          <t>C-347</t>
        </is>
      </c>
      <c r="U813" t="inlineStr">
        <is>
          <t>其他</t>
        </is>
      </c>
      <c r="V813" t="inlineStr"/>
    </row>
    <row r="814">
      <c r="A814" t="inlineStr">
        <is>
          <t>Benjamin Wragg</t>
        </is>
      </c>
      <c r="B814" t="inlineStr">
        <is>
          <t>英国</t>
        </is>
      </c>
      <c r="C814" t="inlineStr">
        <is>
          <t>Barton upon Humber</t>
        </is>
      </c>
      <c r="D814" t="inlineStr"/>
      <c r="E814" t="inlineStr">
        <is>
          <t>集成商/顾问（MikroTik 认证）</t>
        </is>
      </c>
      <c r="F814" t="inlineStr">
        <is>
          <t>MikroTik 认证顾问，持 MTCRE MTCTCE MTCINE MTCSE</t>
        </is>
      </c>
      <c r="G814" t="inlineStr">
        <is>
          <t>否</t>
        </is>
      </c>
      <c r="H814" t="inlineStr">
        <is>
          <t>MikroTik 生态切入</t>
        </is>
      </c>
      <c r="I814" t="inlineStr">
        <is>
          <t>LT-S8328XGP-4XS24GT-S</t>
        </is>
      </c>
      <c r="J814" t="inlineStr">
        <is>
          <t>+44 3331 020000</t>
        </is>
      </c>
      <c r="K814" t="inlineStr">
        <is>
          <t>★★★</t>
        </is>
      </c>
      <c r="L814" t="inlineStr">
        <is>
          <t>未触达</t>
        </is>
      </c>
      <c r="M814" t="inlineStr">
        <is>
          <t>MikroTik 官方认证顾问名录</t>
        </is>
      </c>
      <c r="N814" t="inlineStr"/>
      <c r="O814" t="inlineStr"/>
      <c r="P814" t="inlineStr"/>
      <c r="Q8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Internetty。自述做电信领域网络设计/规划/管理与咨询，端到端路由、无线、流量控制。</t>
        </is>
      </c>
      <c r="R814" t="inlineStr">
        <is>
          <t>A</t>
        </is>
      </c>
      <c r="S814" t="inlineStr">
        <is>
          <t>【人工定级】A —— 自动规则已跳过；信息待人工补齐（见备注）</t>
        </is>
      </c>
      <c r="T814" t="inlineStr">
        <is>
          <t>A-188</t>
        </is>
      </c>
      <c r="U814" t="inlineStr"/>
      <c r="V814" t="inlineStr">
        <is>
          <t>A</t>
        </is>
      </c>
    </row>
    <row r="815">
      <c r="A815" t="inlineStr">
        <is>
          <t>Matthew Phillip Main</t>
        </is>
      </c>
      <c r="B815" t="inlineStr">
        <is>
          <t>英国</t>
        </is>
      </c>
      <c r="C815" t="inlineStr">
        <is>
          <t>Portsmouth</t>
        </is>
      </c>
      <c r="D815" t="inlineStr"/>
      <c r="E815" t="inlineStr">
        <is>
          <t>集成商/顾问（MikroTik 认证）</t>
        </is>
      </c>
      <c r="F815" t="inlineStr">
        <is>
          <t>MikroTik 认证顾问，持 MTCRE</t>
        </is>
      </c>
      <c r="G815" t="inlineStr">
        <is>
          <t>否</t>
        </is>
      </c>
      <c r="H815" t="inlineStr">
        <is>
          <t>MikroTik 生态切入</t>
        </is>
      </c>
      <c r="I815" t="inlineStr">
        <is>
          <t>LT-S8328XGP-4XS24GT-S</t>
        </is>
      </c>
      <c r="J815" t="inlineStr">
        <is>
          <t>+44 7802 373517</t>
        </is>
      </c>
      <c r="K815" t="inlineStr">
        <is>
          <t>★★★</t>
        </is>
      </c>
      <c r="L815" t="inlineStr">
        <is>
          <t>未触达</t>
        </is>
      </c>
      <c r="M815" t="inlineStr">
        <is>
          <t>MikroTik 官方认证顾问名录</t>
        </is>
      </c>
      <c r="N815" t="inlineStr"/>
      <c r="O815" t="inlineStr"/>
      <c r="P815" t="inlineStr"/>
      <c r="Q8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VoIP 专家，7 年以上电信、**ISP 与 WISP** 经验。</t>
        </is>
      </c>
      <c r="R815" t="inlineStr">
        <is>
          <t>A</t>
        </is>
      </c>
      <c r="S815" t="inlineStr">
        <is>
          <t>【人工定级】A —— 自动规则已跳过；信息待人工补齐（见备注）</t>
        </is>
      </c>
      <c r="T815" t="inlineStr">
        <is>
          <t>A-189</t>
        </is>
      </c>
      <c r="U815" t="inlineStr"/>
      <c r="V815" t="inlineStr">
        <is>
          <t>A</t>
        </is>
      </c>
    </row>
    <row r="816">
      <c r="A816" t="inlineStr">
        <is>
          <t>Jake Louis Petre Woodhouse</t>
        </is>
      </c>
      <c r="B816" t="inlineStr">
        <is>
          <t>英国</t>
        </is>
      </c>
      <c r="C816" t="inlineStr">
        <is>
          <t>Driffield</t>
        </is>
      </c>
      <c r="D816" t="inlineStr"/>
      <c r="E816" t="inlineStr">
        <is>
          <t>集成商/顾问（MikroTik 认证）</t>
        </is>
      </c>
      <c r="F816" t="inlineStr">
        <is>
          <t>MikroTik 认证顾问，持 MTCRE MTCINE</t>
        </is>
      </c>
      <c r="G816" t="inlineStr">
        <is>
          <t>否</t>
        </is>
      </c>
      <c r="H816" t="inlineStr">
        <is>
          <t>MikroTik 生态切入</t>
        </is>
      </c>
      <c r="I816" t="inlineStr">
        <is>
          <t>LT-S8328XGP-4XS24GT-S</t>
        </is>
      </c>
      <c r="J816" t="inlineStr">
        <is>
          <t>07514 949540</t>
        </is>
      </c>
      <c r="K816" t="inlineStr">
        <is>
          <t>★★★</t>
        </is>
      </c>
      <c r="L816" t="inlineStr">
        <is>
          <t>未触达</t>
        </is>
      </c>
      <c r="M816" t="inlineStr">
        <is>
          <t>MikroTik 官方认证顾问名录</t>
        </is>
      </c>
      <c r="N816" t="inlineStr"/>
      <c r="O816" t="inlineStr"/>
      <c r="P816" t="inlineStr"/>
      <c r="Q816" t="inlineStr">
        <is>
          <t>自述做有线无线网络设计施工、防火墙、路由、**交换**、VLAN、服务器运维，兼做 ISP 服务与专线。</t>
        </is>
      </c>
      <c r="R816" t="inlineStr">
        <is>
          <t>A</t>
        </is>
      </c>
      <c r="S816" t="inlineStr">
        <is>
          <t>有明确交换/供电需求（交换专长），且有具体人直联</t>
        </is>
      </c>
      <c r="T816" t="inlineStr">
        <is>
          <t>A-124</t>
        </is>
      </c>
      <c r="U816" t="inlineStr"/>
      <c r="V816" t="inlineStr"/>
    </row>
    <row r="817">
      <c r="A817" t="inlineStr">
        <is>
          <t>Kevin Riding</t>
        </is>
      </c>
      <c r="B817" t="inlineStr">
        <is>
          <t>英国</t>
        </is>
      </c>
      <c r="C817" t="inlineStr">
        <is>
          <t>Barton-upon-Humber</t>
        </is>
      </c>
      <c r="D817" t="inlineStr"/>
      <c r="E817" t="inlineStr">
        <is>
          <t>集成商/顾问（MikroTik 认证）</t>
        </is>
      </c>
      <c r="F817" t="inlineStr">
        <is>
          <t>MikroTik 认证顾问，持 MTCRE</t>
        </is>
      </c>
      <c r="G817" t="inlineStr">
        <is>
          <t>否</t>
        </is>
      </c>
      <c r="H817" t="inlineStr">
        <is>
          <t>MikroTik 生态切入</t>
        </is>
      </c>
      <c r="I817" t="inlineStr">
        <is>
          <t>LT-S8328XGP-4XS24GT-S</t>
        </is>
      </c>
      <c r="J817" t="inlineStr">
        <is>
          <t>07904 080953</t>
        </is>
      </c>
      <c r="K817" t="inlineStr">
        <is>
          <t>★★★</t>
        </is>
      </c>
      <c r="L817" t="inlineStr">
        <is>
          <t>未触达</t>
        </is>
      </c>
      <c r="M817" t="inlineStr">
        <is>
          <t>MikroTik 官方认证顾问名录</t>
        </is>
      </c>
      <c r="N817" t="inlineStr"/>
      <c r="O817" t="inlineStr"/>
      <c r="P817" t="inlineStr"/>
      <c r="Q817" t="inlineStr">
        <is>
          <t>自述大量安装、配置与维护 MikroTik **路由器与交换机**的经验。</t>
        </is>
      </c>
      <c r="R817" t="inlineStr">
        <is>
          <t>A</t>
        </is>
      </c>
      <c r="S817" t="inlineStr">
        <is>
          <t>有明确交换/供电需求（交换专长），且有具体人直联</t>
        </is>
      </c>
      <c r="T817" t="inlineStr">
        <is>
          <t>A-125</t>
        </is>
      </c>
      <c r="U817" t="inlineStr"/>
      <c r="V817" t="inlineStr"/>
    </row>
    <row r="818">
      <c r="A818" t="inlineStr">
        <is>
          <t>Andisa IT</t>
        </is>
      </c>
      <c r="B818" t="inlineStr">
        <is>
          <t>英国</t>
        </is>
      </c>
      <c r="C818" t="inlineStr">
        <is>
          <t>Harrogate</t>
        </is>
      </c>
      <c r="D818" t="inlineStr">
        <is>
          <t>andisa.net</t>
        </is>
      </c>
      <c r="E818" t="inlineStr">
        <is>
          <t>集成商/顾问（MikroTik 认证）</t>
        </is>
      </c>
      <c r="F818" t="inlineStr">
        <is>
          <t>MikroTik 认证顾问，持 MTCNA MTCRE MTCWE</t>
        </is>
      </c>
      <c r="G818" t="inlineStr">
        <is>
          <t>否</t>
        </is>
      </c>
      <c r="H818" t="inlineStr">
        <is>
          <t>MikroTik 生态切入</t>
        </is>
      </c>
      <c r="I818" t="inlineStr">
        <is>
          <t>LT-S8328XGP-4XS24GT-S</t>
        </is>
      </c>
      <c r="J818" t="inlineStr">
        <is>
          <t>01423 290029</t>
        </is>
      </c>
      <c r="K818" t="inlineStr">
        <is>
          <t>★★★</t>
        </is>
      </c>
      <c r="L818" t="inlineStr">
        <is>
          <t>未触达</t>
        </is>
      </c>
      <c r="M818" t="inlineStr">
        <is>
          <t>MikroTik 官方认证顾问名录</t>
        </is>
      </c>
      <c r="N818" t="inlineStr"/>
      <c r="O818" t="inlineStr"/>
      <c r="P818" t="inlineStr"/>
      <c r="Q8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英国本地 MikroTik 咨询商，可全英现场或远程。做完整网络设计、站点勘测、实施协助。</t>
        </is>
      </c>
      <c r="R818" t="inlineStr">
        <is>
          <t>A</t>
        </is>
      </c>
      <c r="S818" t="inlineStr">
        <is>
          <t>【人工定级】A —— 自动规则已跳过；信息待人工补齐（见备注）</t>
        </is>
      </c>
      <c r="T818" t="inlineStr">
        <is>
          <t>A-190</t>
        </is>
      </c>
      <c r="U818" t="inlineStr"/>
      <c r="V818" t="inlineStr">
        <is>
          <t>A</t>
        </is>
      </c>
    </row>
    <row r="819">
      <c r="A819" t="inlineStr">
        <is>
          <t>Nathael Leblanc</t>
        </is>
      </c>
      <c r="B819" t="inlineStr">
        <is>
          <t>加拿大</t>
        </is>
      </c>
      <c r="C819" t="inlineStr">
        <is>
          <t>Montreal</t>
        </is>
      </c>
      <c r="D819" t="inlineStr">
        <is>
          <t>joustsec.com</t>
        </is>
      </c>
      <c r="E819" t="inlineStr">
        <is>
          <t>集成商/顾问（MikroTik 认证）</t>
        </is>
      </c>
      <c r="F819" t="inlineStr">
        <is>
          <t>MikroTik 认证顾问，持 MTCRE</t>
        </is>
      </c>
      <c r="G819" t="inlineStr">
        <is>
          <t>否</t>
        </is>
      </c>
      <c r="H819" t="inlineStr">
        <is>
          <t>MikroTik 生态切入</t>
        </is>
      </c>
      <c r="I819" t="inlineStr">
        <is>
          <t>LT-S8328XGP-4XS24GT-S</t>
        </is>
      </c>
      <c r="J819" t="inlineStr">
        <is>
          <t>+1-438-700-8664</t>
        </is>
      </c>
      <c r="K819" t="inlineStr">
        <is>
          <t>★★★</t>
        </is>
      </c>
      <c r="L819" t="inlineStr">
        <is>
          <t>未触达</t>
        </is>
      </c>
      <c r="M819" t="inlineStr">
        <is>
          <t>MikroTik 官方认证顾问名录</t>
        </is>
      </c>
      <c r="N819" t="inlineStr"/>
      <c r="O819" t="inlineStr"/>
      <c r="P819" t="inlineStr"/>
      <c r="Q8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英法双语。</t>
        </is>
      </c>
      <c r="R819" t="inlineStr">
        <is>
          <t>A</t>
        </is>
      </c>
      <c r="S819" t="inlineStr">
        <is>
          <t>【人工定级】A —— 自动规则已跳过；信息待人工补齐（见备注）</t>
        </is>
      </c>
      <c r="T819" t="inlineStr">
        <is>
          <t>A-191</t>
        </is>
      </c>
      <c r="U819" t="inlineStr"/>
      <c r="V819" t="inlineStr">
        <is>
          <t>A</t>
        </is>
      </c>
    </row>
    <row r="820">
      <c r="A820" t="inlineStr">
        <is>
          <t>Frederic Gauthier</t>
        </is>
      </c>
      <c r="B820" t="inlineStr">
        <is>
          <t>加拿大</t>
        </is>
      </c>
      <c r="C820" t="inlineStr">
        <is>
          <t>Quebec</t>
        </is>
      </c>
      <c r="D820" t="inlineStr"/>
      <c r="E820" t="inlineStr">
        <is>
          <t>集成商/顾问（MikroTik 认证）</t>
        </is>
      </c>
      <c r="F820" t="inlineStr">
        <is>
          <t>MikroTik 认证顾问，持 MTCSE MTCEWE</t>
        </is>
      </c>
      <c r="G820" t="inlineStr">
        <is>
          <t>否</t>
        </is>
      </c>
      <c r="H820" t="inlineStr">
        <is>
          <t>MikroTik 生态切入</t>
        </is>
      </c>
      <c r="I820" t="inlineStr">
        <is>
          <t>LT-S8328XGP-4XS24GT-S</t>
        </is>
      </c>
      <c r="J820" t="inlineStr">
        <is>
          <t>418-933-1285</t>
        </is>
      </c>
      <c r="K820" t="inlineStr">
        <is>
          <t>★★★</t>
        </is>
      </c>
      <c r="L820" t="inlineStr">
        <is>
          <t>未触达</t>
        </is>
      </c>
      <c r="M820" t="inlineStr">
        <is>
          <t>MikroTik 官方认证顾问名录</t>
        </is>
      </c>
      <c r="N820" t="inlineStr"/>
      <c r="O820" t="inlineStr"/>
      <c r="P820" t="inlineStr"/>
      <c r="Q8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0" t="inlineStr">
        <is>
          <t>A</t>
        </is>
      </c>
      <c r="S820" t="inlineStr">
        <is>
          <t>【人工定级】A —— 自动规则已跳过；信息待人工补齐（见备注）</t>
        </is>
      </c>
      <c r="T820" t="inlineStr">
        <is>
          <t>A-192</t>
        </is>
      </c>
      <c r="U820" t="inlineStr"/>
      <c r="V820" t="inlineStr">
        <is>
          <t>A</t>
        </is>
      </c>
    </row>
    <row r="821">
      <c r="A821" t="inlineStr">
        <is>
          <t>Philippe Lachapelle</t>
        </is>
      </c>
      <c r="B821" t="inlineStr">
        <is>
          <t>加拿大</t>
        </is>
      </c>
      <c r="C821" t="inlineStr">
        <is>
          <t>Montreal</t>
        </is>
      </c>
      <c r="D821" t="inlineStr">
        <is>
          <t>canservers.com</t>
        </is>
      </c>
      <c r="E821" t="inlineStr">
        <is>
          <t>集成商/顾问（MikroTik 认证）</t>
        </is>
      </c>
      <c r="F821" t="inlineStr">
        <is>
          <t>MikroTik 认证顾问，持 MTCRE</t>
        </is>
      </c>
      <c r="G821" t="inlineStr">
        <is>
          <t>否</t>
        </is>
      </c>
      <c r="H821" t="inlineStr">
        <is>
          <t>MikroTik 生态切入</t>
        </is>
      </c>
      <c r="I821" t="inlineStr">
        <is>
          <t>LT-S8328XGP-4XS24GT-S</t>
        </is>
      </c>
      <c r="J821" t="inlineStr">
        <is>
          <t>1-866-696-3912</t>
        </is>
      </c>
      <c r="K821" t="inlineStr">
        <is>
          <t>★★★</t>
        </is>
      </c>
      <c r="L821" t="inlineStr">
        <is>
          <t>未触达</t>
        </is>
      </c>
      <c r="M821" t="inlineStr">
        <is>
          <t>MikroTik 官方认证顾问名录</t>
        </is>
      </c>
      <c r="N821" t="inlineStr"/>
      <c r="O821" t="inlineStr"/>
      <c r="P821" t="inlineStr"/>
      <c r="Q8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1" t="inlineStr">
        <is>
          <t>A</t>
        </is>
      </c>
      <c r="S821" t="inlineStr">
        <is>
          <t>【人工定级】A —— 自动规则已跳过；信息待人工补齐（见备注）</t>
        </is>
      </c>
      <c r="T821" t="inlineStr">
        <is>
          <t>A-193</t>
        </is>
      </c>
      <c r="U821" t="inlineStr"/>
      <c r="V821" t="inlineStr">
        <is>
          <t>A</t>
        </is>
      </c>
    </row>
    <row r="822">
      <c r="A822" t="inlineStr">
        <is>
          <t>Johannes Edgren</t>
        </is>
      </c>
      <c r="B822" t="inlineStr">
        <is>
          <t>芬兰</t>
        </is>
      </c>
      <c r="C822" t="inlineStr">
        <is>
          <t>Porvoo</t>
        </is>
      </c>
      <c r="D822" t="inlineStr"/>
      <c r="E822" t="inlineStr">
        <is>
          <t>集成商/顾问（MikroTik 认证）</t>
        </is>
      </c>
      <c r="F822" t="inlineStr">
        <is>
          <t>MikroTik 培训伙伴，持 MTCRE</t>
        </is>
      </c>
      <c r="G822" t="inlineStr">
        <is>
          <t>否</t>
        </is>
      </c>
      <c r="H822" t="inlineStr">
        <is>
          <t>MikroTik 生态切入</t>
        </is>
      </c>
      <c r="I822" t="inlineStr">
        <is>
          <t>LT-S8328XGP-4XS24GT-S</t>
        </is>
      </c>
      <c r="J822" t="inlineStr">
        <is>
          <t>+358 45 2309587</t>
        </is>
      </c>
      <c r="K822" t="inlineStr">
        <is>
          <t>★★★</t>
        </is>
      </c>
      <c r="L822" t="inlineStr">
        <is>
          <t>未触达</t>
        </is>
      </c>
      <c r="M822" t="inlineStr">
        <is>
          <t>MikroTik 官方培训伙伴/顾问名录</t>
        </is>
      </c>
      <c r="N822" t="inlineStr"/>
      <c r="O822" t="inlineStr"/>
      <c r="P822" t="inlineStr"/>
      <c r="Q8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英/瑞典/芬兰三语。</t>
        </is>
      </c>
      <c r="R822" t="inlineStr">
        <is>
          <t>A</t>
        </is>
      </c>
      <c r="S822" t="inlineStr">
        <is>
          <t>【人工定级】A —— 自动规则已跳过；信息待人工补齐（见备注）</t>
        </is>
      </c>
      <c r="T822" t="inlineStr">
        <is>
          <t>A-194</t>
        </is>
      </c>
      <c r="U822" t="inlineStr"/>
      <c r="V822" t="inlineStr">
        <is>
          <t>A</t>
        </is>
      </c>
    </row>
    <row r="823">
      <c r="A823" t="inlineStr">
        <is>
          <t>Leo De Geer</t>
        </is>
      </c>
      <c r="B823" t="inlineStr">
        <is>
          <t>瑞典</t>
        </is>
      </c>
      <c r="C823" t="inlineStr">
        <is>
          <t>Kristianstad</t>
        </is>
      </c>
      <c r="D823" t="inlineStr">
        <is>
          <t>satelithuset.se</t>
        </is>
      </c>
      <c r="E823" t="inlineStr">
        <is>
          <t>集成商/顾问（MikroTik 认证）</t>
        </is>
      </c>
      <c r="F823" t="inlineStr">
        <is>
          <t>MikroTik 培训伙伴，持 MTCNA MTCRE MTCTCE MTCUME MTCSWE</t>
        </is>
      </c>
      <c r="G823" t="inlineStr">
        <is>
          <t>否</t>
        </is>
      </c>
      <c r="H823" t="inlineStr">
        <is>
          <t>MikroTik 生态切入</t>
        </is>
      </c>
      <c r="I823" t="inlineStr">
        <is>
          <t>LT-S8328XGP-4XS24GT-S</t>
        </is>
      </c>
      <c r="J823" t="inlineStr">
        <is>
          <t>+46 325 660650</t>
        </is>
      </c>
      <c r="K823" t="inlineStr">
        <is>
          <t>★★★</t>
        </is>
      </c>
      <c r="L823" t="inlineStr">
        <is>
          <t>未触达</t>
        </is>
      </c>
      <c r="M823" t="inlineStr">
        <is>
          <t>MikroTik 官方培训伙伴/顾问名录</t>
        </is>
      </c>
      <c r="N823" t="inlineStr"/>
      <c r="O823" t="inlineStr"/>
      <c r="P823" t="inlineStr"/>
      <c r="Q823" t="inlineStr">
        <is>
          <t>Satelithuset。持 **MTCSWE**。</t>
        </is>
      </c>
      <c r="R823" t="inlineStr">
        <is>
          <t>A</t>
        </is>
      </c>
      <c r="S823" t="inlineStr">
        <is>
          <t>有明确交换/供电需求（交换认证 MTCSWE），且有具体人直联</t>
        </is>
      </c>
      <c r="T823" t="inlineStr">
        <is>
          <t>A-126</t>
        </is>
      </c>
      <c r="U823" t="inlineStr"/>
      <c r="V823" t="inlineStr"/>
    </row>
    <row r="824">
      <c r="A824" t="inlineStr">
        <is>
          <t>Fredrik Hellgren</t>
        </is>
      </c>
      <c r="B824" t="inlineStr">
        <is>
          <t>瑞典</t>
        </is>
      </c>
      <c r="C824" t="inlineStr">
        <is>
          <t>Älvsjö</t>
        </is>
      </c>
      <c r="D824" t="inlineStr">
        <is>
          <t>axbyte.se</t>
        </is>
      </c>
      <c r="E824" t="inlineStr">
        <is>
          <t>集成商/顾问（MikroTik 认证）</t>
        </is>
      </c>
      <c r="F824" t="inlineStr">
        <is>
          <t>MikroTik 培训伙伴，持 MTCSWE</t>
        </is>
      </c>
      <c r="G824" t="inlineStr">
        <is>
          <t>否</t>
        </is>
      </c>
      <c r="H824" t="inlineStr">
        <is>
          <t>MikroTik 生态切入</t>
        </is>
      </c>
      <c r="I824" t="inlineStr">
        <is>
          <t>LT-S8328XGP-4XS24GT-S</t>
        </is>
      </c>
      <c r="J824" t="inlineStr">
        <is>
          <t>+46 8 586 195 00</t>
        </is>
      </c>
      <c r="K824" t="inlineStr">
        <is>
          <t>★★★</t>
        </is>
      </c>
      <c r="L824" t="inlineStr">
        <is>
          <t>未触达</t>
        </is>
      </c>
      <c r="M824" t="inlineStr">
        <is>
          <t>MikroTik 官方培训伙伴/顾问名录</t>
        </is>
      </c>
      <c r="N824" t="inlineStr"/>
      <c r="O824" t="inlineStr"/>
      <c r="P824" t="inlineStr"/>
      <c r="Q824" t="inlineStr">
        <is>
          <t>持 **MTCSWE**。</t>
        </is>
      </c>
      <c r="R824" t="inlineStr">
        <is>
          <t>A</t>
        </is>
      </c>
      <c r="S824" t="inlineStr">
        <is>
          <t>有明确交换/供电需求（交换认证 MTCSWE），且有具体人直联</t>
        </is>
      </c>
      <c r="T824" t="inlineStr">
        <is>
          <t>A-127</t>
        </is>
      </c>
      <c r="U824" t="inlineStr"/>
      <c r="V824" t="inlineStr"/>
    </row>
    <row r="825">
      <c r="A825" t="inlineStr">
        <is>
          <t>Philippe ROBERT</t>
        </is>
      </c>
      <c r="B825" t="inlineStr">
        <is>
          <t>瑞士</t>
        </is>
      </c>
      <c r="C825" t="inlineStr">
        <is>
          <t>Geneve</t>
        </is>
      </c>
      <c r="D825" t="inlineStr">
        <is>
          <t>engitech.ch</t>
        </is>
      </c>
      <c r="E825" t="inlineStr">
        <is>
          <t>集成商/顾问（MikroTik 认证）</t>
        </is>
      </c>
      <c r="F825" t="inlineStr">
        <is>
          <t>MikroTik 培训伙伴，持 MTCNA MTCRE MTCTCE MTCUME MTCSWE</t>
        </is>
      </c>
      <c r="G825" t="inlineStr">
        <is>
          <t>否</t>
        </is>
      </c>
      <c r="H825" t="inlineStr">
        <is>
          <t>MikroTik 生态切入</t>
        </is>
      </c>
      <c r="I825" t="inlineStr">
        <is>
          <t>LT-S8328XGP-4XS24GT-S</t>
        </is>
      </c>
      <c r="J825" t="inlineStr">
        <is>
          <t>+41 76 32 64 000</t>
        </is>
      </c>
      <c r="K825" t="inlineStr">
        <is>
          <t>★★★</t>
        </is>
      </c>
      <c r="L825" t="inlineStr">
        <is>
          <t>未触达</t>
        </is>
      </c>
      <c r="M825" t="inlineStr">
        <is>
          <t>MikroTik 官方培训伙伴/顾问名录</t>
        </is>
      </c>
      <c r="N825" t="inlineStr"/>
      <c r="O825" t="inlineStr"/>
      <c r="P825" t="inlineStr"/>
      <c r="Q825" t="inlineStr">
        <is>
          <t>Engitech S.A.。持 **MTCSWE**，瑞士首位进库。</t>
        </is>
      </c>
      <c r="R825" t="inlineStr">
        <is>
          <t>A</t>
        </is>
      </c>
      <c r="S825" t="inlineStr">
        <is>
          <t>有明确交换/供电需求（交换认证 MTCSWE），且有具体人直联</t>
        </is>
      </c>
      <c r="T825" t="inlineStr">
        <is>
          <t>A-128</t>
        </is>
      </c>
      <c r="U825" t="inlineStr"/>
      <c r="V825" t="inlineStr"/>
    </row>
    <row r="826">
      <c r="A826" t="inlineStr">
        <is>
          <t>Rein Põdra</t>
        </is>
      </c>
      <c r="B826" t="inlineStr">
        <is>
          <t>爱沙尼亚</t>
        </is>
      </c>
      <c r="C826" t="inlineStr">
        <is>
          <t>Tallinn</t>
        </is>
      </c>
      <c r="D826" t="inlineStr"/>
      <c r="E826" t="inlineStr">
        <is>
          <t>集成商/顾问（MikroTik 认证）</t>
        </is>
      </c>
      <c r="F826" t="inlineStr">
        <is>
          <t>MikroTik 培训伙伴，持 MTCNA MTCWE MTCUME MTCIPv6E MTCSE MTCSWE MTCEWE</t>
        </is>
      </c>
      <c r="G826" t="inlineStr">
        <is>
          <t>否</t>
        </is>
      </c>
      <c r="H826" t="inlineStr">
        <is>
          <t>MikroTik 生态切入</t>
        </is>
      </c>
      <c r="I826" t="inlineStr">
        <is>
          <t>LT-S8328XGP-4XS24GT-S</t>
        </is>
      </c>
      <c r="J826" t="inlineStr">
        <is>
          <t>+372 5082381</t>
        </is>
      </c>
      <c r="K826" t="inlineStr">
        <is>
          <t>★★★</t>
        </is>
      </c>
      <c r="L826" t="inlineStr">
        <is>
          <t>未触达</t>
        </is>
      </c>
      <c r="M826" t="inlineStr">
        <is>
          <t>MikroTik 官方培训伙伴/顾问名录</t>
        </is>
      </c>
      <c r="N826" t="inlineStr"/>
      <c r="O826" t="inlineStr"/>
      <c r="P826" t="inlineStr"/>
      <c r="Q826" t="inlineStr">
        <is>
          <t>CCISRD。持 **MTCSWE**。</t>
        </is>
      </c>
      <c r="R826" t="inlineStr">
        <is>
          <t>A</t>
        </is>
      </c>
      <c r="S826" t="inlineStr">
        <is>
          <t>有明确交换/供电需求（交换认证 MTCSWE），且有具体人直联</t>
        </is>
      </c>
      <c r="T826" t="inlineStr">
        <is>
          <t>A-129</t>
        </is>
      </c>
      <c r="U826" t="inlineStr"/>
      <c r="V826" t="inlineStr"/>
    </row>
    <row r="827">
      <c r="A827" t="inlineStr">
        <is>
          <t>Marco Boschini</t>
        </is>
      </c>
      <c r="B827" t="inlineStr">
        <is>
          <t>意大利</t>
        </is>
      </c>
      <c r="C827" t="inlineStr">
        <is>
          <t>Lonato (BS)</t>
        </is>
      </c>
      <c r="D827" t="inlineStr"/>
      <c r="E827" t="inlineStr">
        <is>
          <t>集成商/顾问（MikroTik 认证）</t>
        </is>
      </c>
      <c r="F827" t="inlineStr">
        <is>
          <t>MikroTik 培训伙伴，持 MTCNA MTCRE MTCWE MTCTCE MTCUME MTCINE MTCIPv6E MTCSE MTCSWE MTCEWE</t>
        </is>
      </c>
      <c r="G827" t="inlineStr">
        <is>
          <t>否</t>
        </is>
      </c>
      <c r="H827" t="inlineStr">
        <is>
          <t>MikroTik 生态切入</t>
        </is>
      </c>
      <c r="I827" t="inlineStr">
        <is>
          <t>LT-S8328XGP-4XS24GT-S</t>
        </is>
      </c>
      <c r="J827" t="inlineStr">
        <is>
          <t>+39 333 8178968</t>
        </is>
      </c>
      <c r="K827" t="inlineStr">
        <is>
          <t>★★★</t>
        </is>
      </c>
      <c r="L827" t="inlineStr">
        <is>
          <t>未触达</t>
        </is>
      </c>
      <c r="M827" t="inlineStr">
        <is>
          <t>MikroTik 官方培训伙伴/顾问名录</t>
        </is>
      </c>
      <c r="N827" t="inlineStr"/>
      <c r="O827" t="inlineStr"/>
      <c r="P827" t="inlineStr"/>
      <c r="Q827" t="inlineStr">
        <is>
          <t>Corsi MikroTik。持全部十证含 **MTCSWE**，意大利讲师。</t>
        </is>
      </c>
      <c r="R827" t="inlineStr">
        <is>
          <t>A</t>
        </is>
      </c>
      <c r="S827" t="inlineStr">
        <is>
          <t>有明确交换/供电需求（交换认证 MTCSWE），且有具体人直联</t>
        </is>
      </c>
      <c r="T827" t="inlineStr">
        <is>
          <t>A-130</t>
        </is>
      </c>
      <c r="U827" t="inlineStr"/>
      <c r="V827" t="inlineStr"/>
    </row>
    <row r="828">
      <c r="A828" t="inlineStr">
        <is>
          <t>Luca Martinelli</t>
        </is>
      </c>
      <c r="B828" t="inlineStr">
        <is>
          <t>意大利</t>
        </is>
      </c>
      <c r="C828" t="inlineStr">
        <is>
          <t>Modena</t>
        </is>
      </c>
      <c r="D828" t="inlineStr"/>
      <c r="E828" t="inlineStr">
        <is>
          <t>集成商/顾问（MikroTik 认证）</t>
        </is>
      </c>
      <c r="F828" t="inlineStr">
        <is>
          <t>MikroTik 培训伙伴，持 MTCNA MTCRE</t>
        </is>
      </c>
      <c r="G828" t="inlineStr">
        <is>
          <t>否</t>
        </is>
      </c>
      <c r="H828" t="inlineStr">
        <is>
          <t>MikroTik 生态切入</t>
        </is>
      </c>
      <c r="I828" t="inlineStr">
        <is>
          <t>LT-S8328XGP-4XS24GT-S</t>
        </is>
      </c>
      <c r="J828" t="inlineStr">
        <is>
          <t>+39 333 3820018</t>
        </is>
      </c>
      <c r="K828" t="inlineStr">
        <is>
          <t>★★★</t>
        </is>
      </c>
      <c r="L828" t="inlineStr">
        <is>
          <t>未触达</t>
        </is>
      </c>
      <c r="M828" t="inlineStr">
        <is>
          <t>MikroTik 官方培训伙伴/顾问名录</t>
        </is>
      </c>
      <c r="N828" t="inlineStr"/>
      <c r="O828" t="inlineStr"/>
      <c r="P828" t="inlineStr"/>
      <c r="Q8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28" t="inlineStr">
        <is>
          <t>A</t>
        </is>
      </c>
      <c r="S828" t="inlineStr">
        <is>
          <t>【人工定级】A —— 自动规则已跳过；信息待人工补齐（见备注）</t>
        </is>
      </c>
      <c r="T828" t="inlineStr">
        <is>
          <t>A-195</t>
        </is>
      </c>
      <c r="U828" t="inlineStr"/>
      <c r="V828" t="inlineStr">
        <is>
          <t>A</t>
        </is>
      </c>
    </row>
    <row r="829">
      <c r="A829" t="inlineStr">
        <is>
          <t>Victor Bolaños Guerra</t>
        </is>
      </c>
      <c r="B829" t="inlineStr">
        <is>
          <t>西班牙</t>
        </is>
      </c>
      <c r="C829" t="inlineStr">
        <is>
          <t>Las Palmas de Gran Canaria</t>
        </is>
      </c>
      <c r="D829" t="inlineStr"/>
      <c r="E829" t="inlineStr">
        <is>
          <t>集成商/顾问（MikroTik 认证）</t>
        </is>
      </c>
      <c r="F829" t="inlineStr">
        <is>
          <t>MikroTik 培训伙伴，持 MTCNA MTCRE MTCWE MTCTCE MTCUME MTCINE MTCIPv6E MTCSWE MTCEWE</t>
        </is>
      </c>
      <c r="G829" t="inlineStr">
        <is>
          <t>否</t>
        </is>
      </c>
      <c r="H829" t="inlineStr">
        <is>
          <t>MikroTik 生态切入</t>
        </is>
      </c>
      <c r="I829" t="inlineStr">
        <is>
          <t>LT-S8328XGP-4XS24GT-S</t>
        </is>
      </c>
      <c r="J829" t="inlineStr">
        <is>
          <t>+34 911 88 03 66 / +34 605 75 90 75</t>
        </is>
      </c>
      <c r="K829" t="inlineStr">
        <is>
          <t>★★★</t>
        </is>
      </c>
      <c r="L829" t="inlineStr">
        <is>
          <t>未触达</t>
        </is>
      </c>
      <c r="M829" t="inlineStr">
        <is>
          <t>MikroTik 官方培训伙伴/顾问名录</t>
        </is>
      </c>
      <c r="N829" t="inlineStr"/>
      <c r="O829" t="inlineStr"/>
      <c r="P829" t="inlineStr"/>
      <c r="Q829" t="inlineStr">
        <is>
          <t>Loopback0。持 **MTCSWE**。</t>
        </is>
      </c>
      <c r="R829" t="inlineStr">
        <is>
          <t>A</t>
        </is>
      </c>
      <c r="S829" t="inlineStr">
        <is>
          <t>有明确交换/供电需求（交换认证 MTCSWE），且有具体人直联</t>
        </is>
      </c>
      <c r="T829" t="inlineStr">
        <is>
          <t>A-131</t>
        </is>
      </c>
      <c r="U829" t="inlineStr"/>
      <c r="V829" t="inlineStr"/>
    </row>
    <row r="830">
      <c r="A830" t="inlineStr">
        <is>
          <t>Flavio Gomes Figueira Camacho</t>
        </is>
      </c>
      <c r="B830" t="inlineStr">
        <is>
          <t>葡萄牙</t>
        </is>
      </c>
      <c r="C830" t="inlineStr">
        <is>
          <t>Aveiro</t>
        </is>
      </c>
      <c r="D830" t="inlineStr"/>
      <c r="E830" t="inlineStr">
        <is>
          <t>集成商/顾问（MikroTik 认证）</t>
        </is>
      </c>
      <c r="F830" t="inlineStr">
        <is>
          <t>MikroTik 培训伙伴，持 MTCNA MTCRE MTCWE MTCTCE MTCUME MTCINE MTCIPv6E MTCSE MTCSWE MTCEWE</t>
        </is>
      </c>
      <c r="G830" t="inlineStr">
        <is>
          <t>否</t>
        </is>
      </c>
      <c r="H830" t="inlineStr">
        <is>
          <t>MikroTik 生态切入</t>
        </is>
      </c>
      <c r="I830" t="inlineStr">
        <is>
          <t>LT-S8328XGP-4XS24GT-S</t>
        </is>
      </c>
      <c r="J830" t="inlineStr">
        <is>
          <t>+351 965 869 277</t>
        </is>
      </c>
      <c r="K830" t="inlineStr">
        <is>
          <t>★★★</t>
        </is>
      </c>
      <c r="L830" t="inlineStr">
        <is>
          <t>未触达</t>
        </is>
      </c>
      <c r="M830" t="inlineStr">
        <is>
          <t>MikroTik 官方培训伙伴/顾问名录</t>
        </is>
      </c>
      <c r="N830" t="inlineStr"/>
      <c r="O830" t="inlineStr"/>
      <c r="P830" t="inlineStr"/>
      <c r="Q830" t="inlineStr">
        <is>
          <t>持全部十证含 **MTCSWE**，葡萄牙首位进库。</t>
        </is>
      </c>
      <c r="R830" t="inlineStr">
        <is>
          <t>A</t>
        </is>
      </c>
      <c r="S830" t="inlineStr">
        <is>
          <t>有明确交换/供电需求（交换认证 MTCSWE），且有具体人直联</t>
        </is>
      </c>
      <c r="T830" t="inlineStr">
        <is>
          <t>A-132</t>
        </is>
      </c>
      <c r="U830" t="inlineStr"/>
      <c r="V830" t="inlineStr"/>
    </row>
    <row r="831">
      <c r="A831" t="inlineStr">
        <is>
          <t>NetHighTech</t>
        </is>
      </c>
      <c r="B831" t="inlineStr">
        <is>
          <t>葡萄牙</t>
        </is>
      </c>
      <c r="C831" t="inlineStr">
        <is>
          <t>Lisboa</t>
        </is>
      </c>
      <c r="D831" t="inlineStr"/>
      <c r="E831" t="inlineStr">
        <is>
          <t>集成商/顾问（MikroTik 认证）</t>
        </is>
      </c>
      <c r="F831" t="inlineStr">
        <is>
          <t>MikroTik 培训伙伴，持 MikroTik 培训伙伴（开 MTCSWE 等课程）</t>
        </is>
      </c>
      <c r="G831" t="inlineStr">
        <is>
          <t>否</t>
        </is>
      </c>
      <c r="H831" t="inlineStr">
        <is>
          <t>MikroTik 生态切入</t>
        </is>
      </c>
      <c r="I831" t="inlineStr">
        <is>
          <t>LT-S8328XGP-4XS24GT-S</t>
        </is>
      </c>
      <c r="J831" t="inlineStr">
        <is>
          <t>见 mikrotik.com/training</t>
        </is>
      </c>
      <c r="K831" t="inlineStr">
        <is>
          <t>★★★</t>
        </is>
      </c>
      <c r="L831" t="inlineStr">
        <is>
          <t>未触达</t>
        </is>
      </c>
      <c r="M831" t="inlineStr">
        <is>
          <t>MikroTik 官方培训伙伴/顾问名录</t>
        </is>
      </c>
      <c r="N831" t="inlineStr"/>
      <c r="O831" t="inlineStr"/>
      <c r="P831" t="inlineStr"/>
      <c r="Q831" t="inlineStr">
        <is>
          <t>里斯本培训伙伴，官方课程表在列。</t>
        </is>
      </c>
      <c r="R831" t="inlineStr">
        <is>
          <t>A</t>
        </is>
      </c>
      <c r="S831" t="inlineStr">
        <is>
          <t>有明确交换/供电需求（交换认证 MTCSWE），三星重点</t>
        </is>
      </c>
      <c r="T831" t="inlineStr">
        <is>
          <t>A-133</t>
        </is>
      </c>
      <c r="U831" t="inlineStr"/>
      <c r="V831" t="inlineStr"/>
    </row>
    <row r="832">
      <c r="A832" t="inlineStr">
        <is>
          <t>Pournaras Athanasios</t>
        </is>
      </c>
      <c r="B832" t="inlineStr">
        <is>
          <t>希腊</t>
        </is>
      </c>
      <c r="C832" t="inlineStr">
        <is>
          <t>Athens</t>
        </is>
      </c>
      <c r="D832" t="inlineStr"/>
      <c r="E832" t="inlineStr">
        <is>
          <t>集成商/顾问（MikroTik 认证）</t>
        </is>
      </c>
      <c r="F832" t="inlineStr">
        <is>
          <t>MikroTik 培训伙伴，持 MTCNA MTCRE MTCWE MTCTCE MTCUME MTCINE MTCIPv6E MTCSE MTCSWE MTCEWE</t>
        </is>
      </c>
      <c r="G832" t="inlineStr">
        <is>
          <t>否</t>
        </is>
      </c>
      <c r="H832" t="inlineStr">
        <is>
          <t>MikroTik 生态切入</t>
        </is>
      </c>
      <c r="I832" t="inlineStr">
        <is>
          <t>LT-S8328XGP-4XS24GT-S</t>
        </is>
      </c>
      <c r="J832" t="inlineStr">
        <is>
          <t>+30 211 8000313 / +30 693 7019004</t>
        </is>
      </c>
      <c r="K832" t="inlineStr">
        <is>
          <t>★★★</t>
        </is>
      </c>
      <c r="L832" t="inlineStr">
        <is>
          <t>未触达</t>
        </is>
      </c>
      <c r="M832" t="inlineStr">
        <is>
          <t>MikroTik 官方培训伙伴/顾问名录</t>
        </is>
      </c>
      <c r="N832" t="inlineStr"/>
      <c r="O832" t="inlineStr"/>
      <c r="P832" t="inlineStr"/>
      <c r="Q832" t="inlineStr">
        <is>
          <t>XPATIT S.A.。持全部十证含 **MTCSWE**。</t>
        </is>
      </c>
      <c r="R832" t="inlineStr">
        <is>
          <t>A</t>
        </is>
      </c>
      <c r="S832" t="inlineStr">
        <is>
          <t>有明确交换/供电需求（交换认证 MTCSWE），且有具体人直联</t>
        </is>
      </c>
      <c r="T832" t="inlineStr">
        <is>
          <t>A-134</t>
        </is>
      </c>
      <c r="U832" t="inlineStr"/>
      <c r="V832" t="inlineStr"/>
    </row>
    <row r="833">
      <c r="A833" t="inlineStr">
        <is>
          <t>László Kalapos</t>
        </is>
      </c>
      <c r="B833" t="inlineStr">
        <is>
          <t>匈牙利</t>
        </is>
      </c>
      <c r="C833" t="inlineStr">
        <is>
          <t>Miskolc</t>
        </is>
      </c>
      <c r="D833" t="inlineStr">
        <is>
          <t>mindenamimikrotik.hu</t>
        </is>
      </c>
      <c r="E833" t="inlineStr">
        <is>
          <t>集成商/顾问（MikroTik 认证）</t>
        </is>
      </c>
      <c r="F833" t="inlineStr">
        <is>
          <t>MikroTik 认证，持 MTCNA MTCRE MTCWE MTCTCE MTCUME MTCINE MTCSWE MTCEWE</t>
        </is>
      </c>
      <c r="G833" t="inlineStr">
        <is>
          <t>否</t>
        </is>
      </c>
      <c r="H833" t="inlineStr">
        <is>
          <t>MikroTik 生态切入</t>
        </is>
      </c>
      <c r="I833" t="inlineStr">
        <is>
          <t>LT-S8328XGP-4XS24GT-S</t>
        </is>
      </c>
      <c r="J833" t="inlineStr">
        <is>
          <t>+36 20 2956414</t>
        </is>
      </c>
      <c r="K833" t="inlineStr">
        <is>
          <t>★★★</t>
        </is>
      </c>
      <c r="L833" t="inlineStr">
        <is>
          <t>未触达</t>
        </is>
      </c>
      <c r="M833" t="inlineStr">
        <is>
          <t>MikroTik 官方培训伙伴/顾问名录</t>
        </is>
      </c>
      <c r="N833" t="inlineStr"/>
      <c r="O833" t="inlineStr"/>
      <c r="P833" t="inlineStr"/>
      <c r="Q833" t="inlineStr">
        <is>
          <t>MindenAmiMikroTik（Infofutár-Mikrotech Kft）。持 **MTCSWE**，匈牙利官方培训伙伴。自述专长无线与有线网络设计施工、VPN、PPPoE、带宽管理、Hotspot、The Dude。</t>
        </is>
      </c>
      <c r="R833" t="inlineStr">
        <is>
          <t>A</t>
        </is>
      </c>
      <c r="S833" t="inlineStr">
        <is>
          <t>有明确交换/供电需求（交换认证 MTCSWE、PoE/监控/门禁），且有具体人直联</t>
        </is>
      </c>
      <c r="T833" t="inlineStr">
        <is>
          <t>A-135</t>
        </is>
      </c>
      <c r="U833" t="inlineStr"/>
      <c r="V833" t="inlineStr"/>
    </row>
    <row r="834">
      <c r="A834" t="inlineStr">
        <is>
          <t>Péter Major</t>
        </is>
      </c>
      <c r="B834" t="inlineStr">
        <is>
          <t>匈牙利</t>
        </is>
      </c>
      <c r="C834" t="inlineStr">
        <is>
          <t>Budapest</t>
        </is>
      </c>
      <c r="D834" t="inlineStr"/>
      <c r="E834" t="inlineStr">
        <is>
          <t>集成商/顾问（MikroTik 认证）</t>
        </is>
      </c>
      <c r="F834" t="inlineStr">
        <is>
          <t>MikroTik 认证，持 MTCNA MTCRE MTCWE MTCTCE MTCUME MTCIPv6E MTCSE MTCSWE MTCEWE</t>
        </is>
      </c>
      <c r="G834" t="inlineStr">
        <is>
          <t>否</t>
        </is>
      </c>
      <c r="H834" t="inlineStr">
        <is>
          <t>MikroTik 生态切入</t>
        </is>
      </c>
      <c r="I834" t="inlineStr">
        <is>
          <t>LT-S8328XGP-4XS24GT-S</t>
        </is>
      </c>
      <c r="J834" t="inlineStr">
        <is>
          <t>+36 30 4963340</t>
        </is>
      </c>
      <c r="K834" t="inlineStr">
        <is>
          <t>★★★</t>
        </is>
      </c>
      <c r="L834" t="inlineStr">
        <is>
          <t>未触达</t>
        </is>
      </c>
      <c r="M834" t="inlineStr">
        <is>
          <t>MikroTik 官方培训伙伴/顾问名录</t>
        </is>
      </c>
      <c r="N834" t="inlineStr"/>
      <c r="O834" t="inlineStr"/>
      <c r="P834" t="inlineStr"/>
      <c r="Q834" t="inlineStr">
        <is>
          <t>MacSoft。持 **MTCSWE**。</t>
        </is>
      </c>
      <c r="R834" t="inlineStr">
        <is>
          <t>A</t>
        </is>
      </c>
      <c r="S834" t="inlineStr">
        <is>
          <t>有明确交换/供电需求（交换认证 MTCSWE），且有具体人直联</t>
        </is>
      </c>
      <c r="T834" t="inlineStr">
        <is>
          <t>A-136</t>
        </is>
      </c>
      <c r="U834" t="inlineStr"/>
      <c r="V834" t="inlineStr"/>
    </row>
    <row r="835">
      <c r="A835" t="inlineStr">
        <is>
          <t>Laszlo Gyenese</t>
        </is>
      </c>
      <c r="B835" t="inlineStr">
        <is>
          <t>匈牙利</t>
        </is>
      </c>
      <c r="C835" t="inlineStr">
        <is>
          <t>Győr</t>
        </is>
      </c>
      <c r="D835" t="inlineStr">
        <is>
          <t>mikrotikgyor.hu</t>
        </is>
      </c>
      <c r="E835" t="inlineStr">
        <is>
          <t>集成商/顾问（MikroTik 认证）</t>
        </is>
      </c>
      <c r="F835" t="inlineStr">
        <is>
          <t>MikroTik 认证，持 MikroTik 认证（开课）</t>
        </is>
      </c>
      <c r="G835" t="inlineStr">
        <is>
          <t>否</t>
        </is>
      </c>
      <c r="H835" t="inlineStr">
        <is>
          <t>MikroTik 生态切入</t>
        </is>
      </c>
      <c r="I835" t="inlineStr">
        <is>
          <t>LT-S8328XGP-4XS24GT-S</t>
        </is>
      </c>
      <c r="J835" t="inlineStr">
        <is>
          <t>+36 20 9937980</t>
        </is>
      </c>
      <c r="K835" t="inlineStr">
        <is>
          <t>★★★</t>
        </is>
      </c>
      <c r="L835" t="inlineStr">
        <is>
          <t>未触达</t>
        </is>
      </c>
      <c r="M835" t="inlineStr">
        <is>
          <t>MikroTik 官方培训伙伴/顾问名录</t>
        </is>
      </c>
      <c r="N835" t="inlineStr"/>
      <c r="O835" t="inlineStr"/>
      <c r="P835" t="inlineStr"/>
      <c r="Q8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自述做有线无线网络、3G/4G、防火墙、队列、VPN、API、远程管理、HotSpot，并**开设 MikroTik 认证课程**。</t>
        </is>
      </c>
      <c r="R835" t="inlineStr">
        <is>
          <t>A</t>
        </is>
      </c>
      <c r="S835" t="inlineStr">
        <is>
          <t>【人工定级】A —— 自动规则已跳过；信息待人工补齐（见备注）</t>
        </is>
      </c>
      <c r="T835" t="inlineStr">
        <is>
          <t>A-196</t>
        </is>
      </c>
      <c r="U835" t="inlineStr"/>
      <c r="V835" t="inlineStr">
        <is>
          <t>A</t>
        </is>
      </c>
    </row>
    <row r="836">
      <c r="A836" t="inlineStr">
        <is>
          <t>Antal Bacskai</t>
        </is>
      </c>
      <c r="B836" t="inlineStr">
        <is>
          <t>匈牙利</t>
        </is>
      </c>
      <c r="C836" t="inlineStr">
        <is>
          <t>Budapest</t>
        </is>
      </c>
      <c r="D836" t="inlineStr"/>
      <c r="E836" t="inlineStr">
        <is>
          <t>集成商/顾问（MikroTik 认证）</t>
        </is>
      </c>
      <c r="F836" t="inlineStr">
        <is>
          <t>MikroTik 认证，持 MTCWE MTCTCE</t>
        </is>
      </c>
      <c r="G836" t="inlineStr">
        <is>
          <t>否</t>
        </is>
      </c>
      <c r="H836" t="inlineStr">
        <is>
          <t>MikroTik 生态切入</t>
        </is>
      </c>
      <c r="I836" t="inlineStr">
        <is>
          <t>LT-S8328XGP-4XS24GT-S</t>
        </is>
      </c>
      <c r="J836" t="inlineStr">
        <is>
          <t>+36 30 4719438</t>
        </is>
      </c>
      <c r="K836" t="inlineStr">
        <is>
          <t>★★★</t>
        </is>
      </c>
      <c r="L836" t="inlineStr">
        <is>
          <t>未触达</t>
        </is>
      </c>
      <c r="M836" t="inlineStr">
        <is>
          <t>MikroTik 官方培训伙伴/顾问名录</t>
        </is>
      </c>
      <c r="N836" t="inlineStr"/>
      <c r="O836" t="inlineStr"/>
      <c r="P836" t="inlineStr"/>
      <c r="Q8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36" t="inlineStr">
        <is>
          <t>A</t>
        </is>
      </c>
      <c r="S836" t="inlineStr">
        <is>
          <t>【人工定级】A —— 自动规则已跳过；信息待人工补齐（见备注）</t>
        </is>
      </c>
      <c r="T836" t="inlineStr">
        <is>
          <t>A-197</t>
        </is>
      </c>
      <c r="U836" t="inlineStr"/>
      <c r="V836" t="inlineStr">
        <is>
          <t>A</t>
        </is>
      </c>
    </row>
    <row r="837">
      <c r="A837" t="inlineStr">
        <is>
          <t>Dávid Csongrádi</t>
        </is>
      </c>
      <c r="B837" t="inlineStr">
        <is>
          <t>匈牙利</t>
        </is>
      </c>
      <c r="C837" t="inlineStr">
        <is>
          <t>Budapest</t>
        </is>
      </c>
      <c r="D837" t="inlineStr"/>
      <c r="E837" t="inlineStr">
        <is>
          <t>集成商/顾问（MikroTik 认证）</t>
        </is>
      </c>
      <c r="F837" t="inlineStr">
        <is>
          <t>MikroTik 认证，持 MTCNA MTCRE MTCWE MTCTCE MTCUME MTCINE MTCIPv6E MTCSE</t>
        </is>
      </c>
      <c r="G837" t="inlineStr">
        <is>
          <t>否</t>
        </is>
      </c>
      <c r="H837" t="inlineStr">
        <is>
          <t>MikroTik 生态切入</t>
        </is>
      </c>
      <c r="I837" t="inlineStr">
        <is>
          <t>LT-S8328XGP-4XS24GT-S</t>
        </is>
      </c>
      <c r="J837" t="inlineStr">
        <is>
          <t>+36 30 6169819</t>
        </is>
      </c>
      <c r="K837" t="inlineStr">
        <is>
          <t>★★★</t>
        </is>
      </c>
      <c r="L837" t="inlineStr">
        <is>
          <t>未触达</t>
        </is>
      </c>
      <c r="M837" t="inlineStr">
        <is>
          <t>MikroTik 官方培训伙伴/顾问名录</t>
        </is>
      </c>
      <c r="N837" t="inlineStr"/>
      <c r="O837" t="inlineStr"/>
      <c r="P837" t="inlineStr"/>
      <c r="Q837" t="inlineStr">
        <is>
          <t>证书面广但缺 MTCSWE。</t>
        </is>
      </c>
      <c r="R837" t="inlineStr">
        <is>
          <t>A</t>
        </is>
      </c>
      <c r="S837" t="inlineStr">
        <is>
          <t>有明确交换/供电需求（交换认证 MTCSWE），且有具体人直联</t>
        </is>
      </c>
      <c r="T837" t="inlineStr">
        <is>
          <t>A-137</t>
        </is>
      </c>
      <c r="U837" t="inlineStr"/>
      <c r="V837" t="inlineStr"/>
    </row>
    <row r="838">
      <c r="A838" t="inlineStr">
        <is>
          <t>Veaceslav Samburski</t>
        </is>
      </c>
      <c r="B838" t="inlineStr">
        <is>
          <t>罗马尼亚</t>
        </is>
      </c>
      <c r="C838" t="inlineStr">
        <is>
          <t>Brasov</t>
        </is>
      </c>
      <c r="D838" t="inlineStr">
        <is>
          <t>academia-mikrotik.ro</t>
        </is>
      </c>
      <c r="E838" t="inlineStr">
        <is>
          <t>集成商/顾问（MikroTik 认证）</t>
        </is>
      </c>
      <c r="F838" t="inlineStr">
        <is>
          <t>MikroTik 认证，持 MTCNA MTCRE MTCWE MTCUME MTCINE MTCEWE</t>
        </is>
      </c>
      <c r="G838" t="inlineStr">
        <is>
          <t>否</t>
        </is>
      </c>
      <c r="H838" t="inlineStr">
        <is>
          <t>MikroTik 生态切入</t>
        </is>
      </c>
      <c r="I838" t="inlineStr">
        <is>
          <t>LT-S8328XGP-4XS24GT-S</t>
        </is>
      </c>
      <c r="J838" t="inlineStr">
        <is>
          <t>+40 364 086 906 / +40 748 511 932</t>
        </is>
      </c>
      <c r="K838" t="inlineStr">
        <is>
          <t>★★★</t>
        </is>
      </c>
      <c r="L838" t="inlineStr">
        <is>
          <t>未触达</t>
        </is>
      </c>
      <c r="M838" t="inlineStr">
        <is>
          <t>MikroTik 官方培训伙伴/顾问名录</t>
        </is>
      </c>
      <c r="N838" t="inlineStr"/>
      <c r="O838" t="inlineStr"/>
      <c r="P838" t="inlineStr"/>
      <c r="Q838" t="inlineStr">
        <is>
          <t>**Academia Mikrotik Romania** —— 罗马尼亚本地 MikroTik 培训机构，带渠道影响力。缺 MTCSWE。</t>
        </is>
      </c>
      <c r="R838" t="inlineStr">
        <is>
          <t>A</t>
        </is>
      </c>
      <c r="S838" t="inlineStr">
        <is>
          <t>有明确交换/供电需求（交换认证 MTCSWE），且有具体人直联</t>
        </is>
      </c>
      <c r="T838" t="inlineStr">
        <is>
          <t>A-138</t>
        </is>
      </c>
      <c r="U838" t="inlineStr"/>
      <c r="V838" t="inlineStr"/>
    </row>
    <row r="839">
      <c r="A839" t="inlineStr">
        <is>
          <t>Kajetan Tadra</t>
        </is>
      </c>
      <c r="B839" t="inlineStr">
        <is>
          <t>波兰</t>
        </is>
      </c>
      <c r="C839" t="inlineStr">
        <is>
          <t>Rzeszów</t>
        </is>
      </c>
      <c r="D839" t="inlineStr"/>
      <c r="E839" t="inlineStr">
        <is>
          <t>集成商/顾问（MikroTik 认证）</t>
        </is>
      </c>
      <c r="F839" t="inlineStr">
        <is>
          <t>MikroTik 认证，持 MTCNA MTCRE MTCWE MTCTCE MTCUME MTCINE MTCIPv6E MTCSE MTCSWE MTCEWE</t>
        </is>
      </c>
      <c r="G839" t="inlineStr">
        <is>
          <t>否</t>
        </is>
      </c>
      <c r="H839" t="inlineStr">
        <is>
          <t>MikroTik 生态切入</t>
        </is>
      </c>
      <c r="I839" t="inlineStr">
        <is>
          <t>LT-S8328XGP-4XS24GT-S</t>
        </is>
      </c>
      <c r="J839" t="inlineStr">
        <is>
          <t>+48 724 173 364</t>
        </is>
      </c>
      <c r="K839" t="inlineStr">
        <is>
          <t>★★★</t>
        </is>
      </c>
      <c r="L839" t="inlineStr">
        <is>
          <t>未触达</t>
        </is>
      </c>
      <c r="M839" t="inlineStr">
        <is>
          <t>MikroTik 官方培训伙伴/顾问名录</t>
        </is>
      </c>
      <c r="N839" t="inlineStr"/>
      <c r="O839" t="inlineStr"/>
      <c r="P839" t="inlineStr"/>
      <c r="Q839" t="inlineStr">
        <is>
          <t>CS EDU IDET。持全部十证含 **MTCSWE**。</t>
        </is>
      </c>
      <c r="R839" t="inlineStr">
        <is>
          <t>A</t>
        </is>
      </c>
      <c r="S839" t="inlineStr">
        <is>
          <t>有明确交换/供电需求（交换认证 MTCSWE），且有具体人直联</t>
        </is>
      </c>
      <c r="T839" t="inlineStr">
        <is>
          <t>A-139</t>
        </is>
      </c>
      <c r="U839" t="inlineStr"/>
      <c r="V839" t="inlineStr"/>
    </row>
    <row r="840">
      <c r="A840" t="inlineStr">
        <is>
          <t>Daniel Świtalski</t>
        </is>
      </c>
      <c r="B840" t="inlineStr">
        <is>
          <t>波兰</t>
        </is>
      </c>
      <c r="C840" t="inlineStr">
        <is>
          <t>Poznan</t>
        </is>
      </c>
      <c r="D840" t="inlineStr"/>
      <c r="E840" t="inlineStr">
        <is>
          <t>集成商/顾问（MikroTik 认证）</t>
        </is>
      </c>
      <c r="F840" t="inlineStr">
        <is>
          <t>MikroTik 认证，持 MTCIPv6E MTCSWE</t>
        </is>
      </c>
      <c r="G840" t="inlineStr">
        <is>
          <t>否</t>
        </is>
      </c>
      <c r="H840" t="inlineStr">
        <is>
          <t>MikroTik 生态切入</t>
        </is>
      </c>
      <c r="I840" t="inlineStr">
        <is>
          <t>LT-S8328XGP-4XS24GT-S</t>
        </is>
      </c>
      <c r="J840" t="inlineStr">
        <is>
          <t>+48 609 880343</t>
        </is>
      </c>
      <c r="K840" t="inlineStr">
        <is>
          <t>★★★</t>
        </is>
      </c>
      <c r="L840" t="inlineStr">
        <is>
          <t>未触达</t>
        </is>
      </c>
      <c r="M840" t="inlineStr">
        <is>
          <t>MikroTik 官方培训伙伴/顾问名录</t>
        </is>
      </c>
      <c r="N840" t="inlineStr"/>
      <c r="O840" t="inlineStr"/>
      <c r="P840" t="inlineStr"/>
      <c r="Q840" t="inlineStr">
        <is>
          <t>持 **MTCSWE**。</t>
        </is>
      </c>
      <c r="R840" t="inlineStr">
        <is>
          <t>A</t>
        </is>
      </c>
      <c r="S840" t="inlineStr">
        <is>
          <t>有明确交换/供电需求（交换认证 MTCSWE），且有具体人直联</t>
        </is>
      </c>
      <c r="T840" t="inlineStr">
        <is>
          <t>A-140</t>
        </is>
      </c>
      <c r="U840" t="inlineStr"/>
      <c r="V840" t="inlineStr"/>
    </row>
    <row r="841">
      <c r="A841" t="inlineStr">
        <is>
          <t>SDC B.V.</t>
        </is>
      </c>
      <c r="B841" t="inlineStr">
        <is>
          <t>荷兰</t>
        </is>
      </c>
      <c r="C841" t="inlineStr">
        <is>
          <t>Doetinchem</t>
        </is>
      </c>
      <c r="D841" t="inlineStr"/>
      <c r="E841" t="inlineStr">
        <is>
          <t>集成商/顾问（MikroTik 认证）</t>
        </is>
      </c>
      <c r="F841" t="inlineStr">
        <is>
          <t>MikroTik 认证，持 MikroTik 培训伙伴（官方课程表在列）</t>
        </is>
      </c>
      <c r="G841" t="inlineStr">
        <is>
          <t>否</t>
        </is>
      </c>
      <c r="H841" t="inlineStr">
        <is>
          <t>MikroTik 生态切入</t>
        </is>
      </c>
      <c r="I841" t="inlineStr">
        <is>
          <t>LT-S8328XGP-4XS24GT-S</t>
        </is>
      </c>
      <c r="J841" t="inlineStr">
        <is>
          <t>见 mikrotik.com/training</t>
        </is>
      </c>
      <c r="K841" t="inlineStr">
        <is>
          <t>★★★</t>
        </is>
      </c>
      <c r="L841" t="inlineStr">
        <is>
          <t>未触达</t>
        </is>
      </c>
      <c r="M841" t="inlineStr">
        <is>
          <t>MikroTik 官方培训伙伴/顾问名录</t>
        </is>
      </c>
      <c r="N841" t="inlineStr"/>
      <c r="O841" t="inlineStr"/>
      <c r="P841" t="inlineStr"/>
      <c r="Q8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荷兰培训伙伴，官方课程表在列。</t>
        </is>
      </c>
      <c r="R841" t="inlineStr">
        <is>
          <t>A</t>
        </is>
      </c>
      <c r="S841" t="inlineStr">
        <is>
          <t>【人工定级】A —— 自动规则已跳过；信息待人工补齐（见备注）</t>
        </is>
      </c>
      <c r="T841" t="inlineStr">
        <is>
          <t>A-198</t>
        </is>
      </c>
      <c r="U841" t="inlineStr"/>
      <c r="V841" t="inlineStr">
        <is>
          <t>A</t>
        </is>
      </c>
    </row>
    <row r="842">
      <c r="A842" t="inlineStr">
        <is>
          <t>Carlos Cárdenas Cebrián</t>
        </is>
      </c>
      <c r="B842" t="inlineStr">
        <is>
          <t>西班牙</t>
        </is>
      </c>
      <c r="C842" t="inlineStr">
        <is>
          <t>Murcia</t>
        </is>
      </c>
      <c r="D842" t="inlineStr"/>
      <c r="E842" t="inlineStr">
        <is>
          <t>集成商/顾问（MikroTik 认证）</t>
        </is>
      </c>
      <c r="F842" t="inlineStr">
        <is>
          <t>MikroTik 认证，持 MTCNA MTCRE MTCWE MTCTCE MTCUME MTCINE MTCIPv6E MTCSE MTCSWE MTCEWE</t>
        </is>
      </c>
      <c r="G842" t="inlineStr">
        <is>
          <t>否</t>
        </is>
      </c>
      <c r="H842" t="inlineStr">
        <is>
          <t>MikroTik 生态切入</t>
        </is>
      </c>
      <c r="I842" t="inlineStr">
        <is>
          <t>LT-S8328XGP-4XS24GT-S</t>
        </is>
      </c>
      <c r="J842" t="inlineStr">
        <is>
          <t>+34 622 330440</t>
        </is>
      </c>
      <c r="K842" t="inlineStr">
        <is>
          <t>★★★</t>
        </is>
      </c>
      <c r="L842" t="inlineStr">
        <is>
          <t>未触达</t>
        </is>
      </c>
      <c r="M842" t="inlineStr">
        <is>
          <t>MikroTik 官方培训伙伴/顾问名录</t>
        </is>
      </c>
      <c r="N842" t="inlineStr"/>
      <c r="O842" t="inlineStr"/>
      <c r="P842" t="inlineStr"/>
      <c r="Q842" t="inlineStr">
        <is>
          <t>持全部十证含 **MTCSWE**。</t>
        </is>
      </c>
      <c r="R842" t="inlineStr">
        <is>
          <t>A</t>
        </is>
      </c>
      <c r="S842" t="inlineStr">
        <is>
          <t>有明确交换/供电需求（交换认证 MTCSWE），且有具体人直联</t>
        </is>
      </c>
      <c r="T842" t="inlineStr">
        <is>
          <t>A-141</t>
        </is>
      </c>
      <c r="U842" t="inlineStr"/>
      <c r="V842" t="inlineStr"/>
    </row>
    <row r="843">
      <c r="A843" t="inlineStr">
        <is>
          <t>Jānis Jaunošāns</t>
        </is>
      </c>
      <c r="B843" t="inlineStr">
        <is>
          <t>拉脱维亚</t>
        </is>
      </c>
      <c r="C843" t="inlineStr">
        <is>
          <t>Riga</t>
        </is>
      </c>
      <c r="D843" t="inlineStr"/>
      <c r="E843" t="inlineStr">
        <is>
          <t>集成商/顾问（MikroTik 认证）</t>
        </is>
      </c>
      <c r="F843" t="inlineStr">
        <is>
          <t>MikroTik 认证，持 MTCNA MTCRE MTCWE MTCTCE MTCINE MTCIPv6E MTCSE MTCSWE</t>
        </is>
      </c>
      <c r="G843" t="inlineStr">
        <is>
          <t>否</t>
        </is>
      </c>
      <c r="H843" t="inlineStr">
        <is>
          <t>MikroTik 生态切入</t>
        </is>
      </c>
      <c r="I843" t="inlineStr">
        <is>
          <t>LT-S8328XGP-4XS24GT-S</t>
        </is>
      </c>
      <c r="J843" t="inlineStr">
        <is>
          <t>+371 28389974</t>
        </is>
      </c>
      <c r="K843" t="inlineStr">
        <is>
          <t>★★★</t>
        </is>
      </c>
      <c r="L843" t="inlineStr">
        <is>
          <t>未触达</t>
        </is>
      </c>
      <c r="M843" t="inlineStr">
        <is>
          <t>MikroTik 官方培训伙伴/顾问名录</t>
        </is>
      </c>
      <c r="N843" t="inlineStr"/>
      <c r="O843" t="inlineStr"/>
      <c r="P843" t="inlineStr"/>
      <c r="Q843" t="inlineStr">
        <is>
          <t>持 **MTCSWE**。</t>
        </is>
      </c>
      <c r="R843" t="inlineStr">
        <is>
          <t>A</t>
        </is>
      </c>
      <c r="S843" t="inlineStr">
        <is>
          <t>有明确交换/供电需求（交换认证 MTCSWE），且有具体人直联</t>
        </is>
      </c>
      <c r="T843" t="inlineStr">
        <is>
          <t>A-142</t>
        </is>
      </c>
      <c r="U843" t="inlineStr"/>
      <c r="V843" t="inlineStr"/>
    </row>
    <row r="844">
      <c r="A844" t="inlineStr">
        <is>
          <t>Michal Dobšovič</t>
        </is>
      </c>
      <c r="B844" t="inlineStr">
        <is>
          <t>斯洛伐克</t>
        </is>
      </c>
      <c r="C844" t="inlineStr">
        <is>
          <t>Bratislava</t>
        </is>
      </c>
      <c r="D844" t="inlineStr"/>
      <c r="E844" t="inlineStr">
        <is>
          <t>集成商/顾问（MikroTik 认证）</t>
        </is>
      </c>
      <c r="F844" t="inlineStr">
        <is>
          <t>MikroTik 认证，持 MTCNA MTCRE MTCTCE MTCIPv6E MTCSE MTCSWE MTCEWE</t>
        </is>
      </c>
      <c r="G844" t="inlineStr">
        <is>
          <t>否</t>
        </is>
      </c>
      <c r="H844" t="inlineStr">
        <is>
          <t>MikroTik 生态切入</t>
        </is>
      </c>
      <c r="I844" t="inlineStr">
        <is>
          <t>LT-S8328XGP-4XS24GT-S</t>
        </is>
      </c>
      <c r="J844" t="inlineStr">
        <is>
          <t>+421 2 4920 3080</t>
        </is>
      </c>
      <c r="K844" t="inlineStr">
        <is>
          <t>★★★</t>
        </is>
      </c>
      <c r="L844" t="inlineStr">
        <is>
          <t>未触达</t>
        </is>
      </c>
      <c r="M844" t="inlineStr">
        <is>
          <t>MikroTik 官方培训伙伴/顾问名录</t>
        </is>
      </c>
      <c r="N844" t="inlineStr"/>
      <c r="O844" t="inlineStr"/>
      <c r="P844" t="inlineStr"/>
      <c r="Q844" t="inlineStr">
        <is>
          <t>IT LEARNING SLOVAKIA s.r.o.。持 **MTCSWE**。</t>
        </is>
      </c>
      <c r="R844" t="inlineStr">
        <is>
          <t>A</t>
        </is>
      </c>
      <c r="S844" t="inlineStr">
        <is>
          <t>有明确交换/供电需求（交换认证 MTCSWE），且有具体人直联</t>
        </is>
      </c>
      <c r="T844" t="inlineStr">
        <is>
          <t>A-143</t>
        </is>
      </c>
      <c r="U844" t="inlineStr"/>
      <c r="V844" t="inlineStr"/>
    </row>
    <row r="845">
      <c r="A845" t="inlineStr">
        <is>
          <t>Ivan Dolnak</t>
        </is>
      </c>
      <c r="B845" t="inlineStr">
        <is>
          <t>斯洛伐克</t>
        </is>
      </c>
      <c r="C845" t="inlineStr">
        <is>
          <t>Zilina</t>
        </is>
      </c>
      <c r="D845" t="inlineStr"/>
      <c r="E845" t="inlineStr">
        <is>
          <t>集成商/顾问（MikroTik 认证）</t>
        </is>
      </c>
      <c r="F845" t="inlineStr">
        <is>
          <t>MikroTik 认证，持 MTCNA MTCRE MTCWE MTCTCE MTCIPv6E MTCEWE</t>
        </is>
      </c>
      <c r="G845" t="inlineStr">
        <is>
          <t>否</t>
        </is>
      </c>
      <c r="H845" t="inlineStr">
        <is>
          <t>MikroTik 生态切入</t>
        </is>
      </c>
      <c r="I845" t="inlineStr">
        <is>
          <t>LT-S8328XGP-4XS24GT-S</t>
        </is>
      </c>
      <c r="J845" t="inlineStr">
        <is>
          <t>+421 948 672 185</t>
        </is>
      </c>
      <c r="K845" t="inlineStr">
        <is>
          <t>★★★</t>
        </is>
      </c>
      <c r="L845" t="inlineStr">
        <is>
          <t>未触达</t>
        </is>
      </c>
      <c r="M845" t="inlineStr">
        <is>
          <t>MikroTik 官方培训伙伴/顾问名录</t>
        </is>
      </c>
      <c r="N845" t="inlineStr"/>
      <c r="O845" t="inlineStr"/>
      <c r="P845" t="inlineStr"/>
      <c r="Q845" t="inlineStr">
        <is>
          <t>ConNet Group s.r.o.。自述高级网络设计与安全、路由、**交换（RSTP/VLAN/Inter-VLAN）**、VPN、IPv6、CAPsMAN。学生平均成绩 83%。</t>
        </is>
      </c>
      <c r="R845" t="inlineStr">
        <is>
          <t>A</t>
        </is>
      </c>
      <c r="S845" t="inlineStr">
        <is>
          <t>有明确交换/供电需求（交换专长），且有具体人直联</t>
        </is>
      </c>
      <c r="T845" t="inlineStr">
        <is>
          <t>A-144</t>
        </is>
      </c>
      <c r="U845" t="inlineStr"/>
      <c r="V845" t="inlineStr"/>
    </row>
    <row r="846">
      <c r="A846" t="inlineStr">
        <is>
          <t>Jernej Suhadolc</t>
        </is>
      </c>
      <c r="B846" t="inlineStr">
        <is>
          <t>斯洛文尼亚</t>
        </is>
      </c>
      <c r="C846" t="inlineStr">
        <is>
          <t>Ljubljana</t>
        </is>
      </c>
      <c r="D846" t="inlineStr"/>
      <c r="E846" t="inlineStr">
        <is>
          <t>集成商/顾问（MikroTik 认证）</t>
        </is>
      </c>
      <c r="F846" t="inlineStr">
        <is>
          <t>MikroTik 认证，持 MTCNA</t>
        </is>
      </c>
      <c r="G846" t="inlineStr">
        <is>
          <t>否</t>
        </is>
      </c>
      <c r="H846" t="inlineStr">
        <is>
          <t>MikroTik 生态切入</t>
        </is>
      </c>
      <c r="I846" t="inlineStr">
        <is>
          <t>LT-S8328XGP-4XS24GT-S</t>
        </is>
      </c>
      <c r="J846" t="inlineStr">
        <is>
          <t>+386 590 91780</t>
        </is>
      </c>
      <c r="K846" t="inlineStr">
        <is>
          <t>★★★</t>
        </is>
      </c>
      <c r="L846" t="inlineStr">
        <is>
          <t>未触达</t>
        </is>
      </c>
      <c r="M846" t="inlineStr">
        <is>
          <t>MikroTik 官方培训伙伴/顾问名录</t>
        </is>
      </c>
      <c r="N846" t="inlineStr"/>
      <c r="O846" t="inlineStr"/>
      <c r="P846" t="inlineStr"/>
      <c r="Q8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Virtua d.o.o.。**斯洛文尼亚首位进库**。</t>
        </is>
      </c>
      <c r="R846" t="inlineStr">
        <is>
          <t>A</t>
        </is>
      </c>
      <c r="S846" t="inlineStr">
        <is>
          <t>【人工定级】A —— 自动规则已跳过；信息待人工补齐（见备注）</t>
        </is>
      </c>
      <c r="T846" t="inlineStr">
        <is>
          <t>A-199</t>
        </is>
      </c>
      <c r="U846" t="inlineStr"/>
      <c r="V846" t="inlineStr">
        <is>
          <t>A</t>
        </is>
      </c>
    </row>
    <row r="847">
      <c r="A847" t="inlineStr">
        <is>
          <t>Ivan Jezerinac</t>
        </is>
      </c>
      <c r="B847" t="inlineStr">
        <is>
          <t>克罗地亚</t>
        </is>
      </c>
      <c r="C847" t="inlineStr">
        <is>
          <t>Cakovec</t>
        </is>
      </c>
      <c r="D847" t="inlineStr"/>
      <c r="E847" t="inlineStr">
        <is>
          <t>集成商/顾问（MikroTik 认证）</t>
        </is>
      </c>
      <c r="F847" t="inlineStr">
        <is>
          <t>MikroTik 认证，持 MTCNA MTCTCE MTCSE MTCEWE</t>
        </is>
      </c>
      <c r="G847" t="inlineStr">
        <is>
          <t>否</t>
        </is>
      </c>
      <c r="H847" t="inlineStr">
        <is>
          <t>MikroTik 生态切入</t>
        </is>
      </c>
      <c r="I847" t="inlineStr">
        <is>
          <t>LT-S8328XGP-4XS24GT-S</t>
        </is>
      </c>
      <c r="J847" t="inlineStr">
        <is>
          <t>+385 91 6545467</t>
        </is>
      </c>
      <c r="K847" t="inlineStr">
        <is>
          <t>★★★</t>
        </is>
      </c>
      <c r="L847" t="inlineStr">
        <is>
          <t>未触达</t>
        </is>
      </c>
      <c r="M847" t="inlineStr">
        <is>
          <t>MikroTik 官方培训伙伴/顾问名录</t>
        </is>
      </c>
      <c r="N847" t="inlineStr"/>
      <c r="O847" t="inlineStr"/>
      <c r="P847" t="inlineStr"/>
      <c r="Q8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Infiniti。</t>
        </is>
      </c>
      <c r="R847" t="inlineStr">
        <is>
          <t>A</t>
        </is>
      </c>
      <c r="S847" t="inlineStr">
        <is>
          <t>【人工定级】A —— 自动规则已跳过；信息待人工补齐（见备注）</t>
        </is>
      </c>
      <c r="T847" t="inlineStr">
        <is>
          <t>A-200</t>
        </is>
      </c>
      <c r="U847" t="inlineStr"/>
      <c r="V847" t="inlineStr">
        <is>
          <t>A</t>
        </is>
      </c>
    </row>
    <row r="848">
      <c r="A848" t="inlineStr">
        <is>
          <t>Domagoj Bikic</t>
        </is>
      </c>
      <c r="B848" t="inlineStr">
        <is>
          <t>克罗地亚</t>
        </is>
      </c>
      <c r="C848" t="inlineStr">
        <is>
          <t>Split</t>
        </is>
      </c>
      <c r="D848" t="inlineStr"/>
      <c r="E848" t="inlineStr">
        <is>
          <t>集成商/顾问（MikroTik 认证）</t>
        </is>
      </c>
      <c r="F848" t="inlineStr">
        <is>
          <t>MikroTik 认证，持 MTCNA</t>
        </is>
      </c>
      <c r="G848" t="inlineStr">
        <is>
          <t>否</t>
        </is>
      </c>
      <c r="H848" t="inlineStr">
        <is>
          <t>MikroTik 生态切入</t>
        </is>
      </c>
      <c r="I848" t="inlineStr">
        <is>
          <t>LT-S8328XGP-4XS24GT-S</t>
        </is>
      </c>
      <c r="J848" t="inlineStr">
        <is>
          <t>+385 98 315319</t>
        </is>
      </c>
      <c r="K848" t="inlineStr">
        <is>
          <t>★★★</t>
        </is>
      </c>
      <c r="L848" t="inlineStr">
        <is>
          <t>未触达</t>
        </is>
      </c>
      <c r="M848" t="inlineStr">
        <is>
          <t>MikroTik 官方培训伙伴/顾问名录</t>
        </is>
      </c>
      <c r="N848" t="inlineStr"/>
      <c r="O848" t="inlineStr"/>
      <c r="P848" t="inlineStr"/>
      <c r="Q8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Pondi d.o.o.。</t>
        </is>
      </c>
      <c r="R848" t="inlineStr">
        <is>
          <t>A</t>
        </is>
      </c>
      <c r="S848" t="inlineStr">
        <is>
          <t>【人工定级】A —— 自动规则已跳过；信息待人工补齐（见备注）</t>
        </is>
      </c>
      <c r="T848" t="inlineStr">
        <is>
          <t>A-201</t>
        </is>
      </c>
      <c r="U848" t="inlineStr"/>
      <c r="V848" t="inlineStr">
        <is>
          <t>A</t>
        </is>
      </c>
    </row>
    <row r="849">
      <c r="A849" t="inlineStr">
        <is>
          <t>David Blažević</t>
        </is>
      </c>
      <c r="B849" t="inlineStr">
        <is>
          <t>克罗地亚</t>
        </is>
      </c>
      <c r="C849" t="inlineStr">
        <is>
          <t>Osijek</t>
        </is>
      </c>
      <c r="D849" t="inlineStr"/>
      <c r="E849" t="inlineStr">
        <is>
          <t>集成商/顾问（MikroTik 认证）</t>
        </is>
      </c>
      <c r="F849" t="inlineStr">
        <is>
          <t>MikroTik 认证，持 MTCRE</t>
        </is>
      </c>
      <c r="G849" t="inlineStr">
        <is>
          <t>否</t>
        </is>
      </c>
      <c r="H849" t="inlineStr">
        <is>
          <t>MikroTik 生态切入</t>
        </is>
      </c>
      <c r="I849" t="inlineStr">
        <is>
          <t>LT-S8328XGP-4XS24GT-S</t>
        </is>
      </c>
      <c r="J849" t="inlineStr">
        <is>
          <t>+385 95 3610037</t>
        </is>
      </c>
      <c r="K849" t="inlineStr">
        <is>
          <t>★★★</t>
        </is>
      </c>
      <c r="L849" t="inlineStr">
        <is>
          <t>未触达</t>
        </is>
      </c>
      <c r="M849" t="inlineStr">
        <is>
          <t>MikroTik 官方培训伙伴/顾问名录</t>
        </is>
      </c>
      <c r="N849" t="inlineStr"/>
      <c r="O849" t="inlineStr"/>
      <c r="P849" t="inlineStr"/>
      <c r="Q8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49" t="inlineStr">
        <is>
          <t>A</t>
        </is>
      </c>
      <c r="S849" t="inlineStr">
        <is>
          <t>【人工定级】A —— 自动规则已跳过；信息待人工补齐（见备注）</t>
        </is>
      </c>
      <c r="T849" t="inlineStr">
        <is>
          <t>A-202</t>
        </is>
      </c>
      <c r="U849" t="inlineStr"/>
      <c r="V849" t="inlineStr">
        <is>
          <t>A</t>
        </is>
      </c>
    </row>
    <row r="850">
      <c r="A850" t="inlineStr">
        <is>
          <t>MikroTik Trening Srbija</t>
        </is>
      </c>
      <c r="B850" t="inlineStr">
        <is>
          <t>塞尔维亚</t>
        </is>
      </c>
      <c r="C850" t="inlineStr">
        <is>
          <t>Belgrade</t>
        </is>
      </c>
      <c r="D850" t="inlineStr">
        <is>
          <t>mikrotiktrening.rs</t>
        </is>
      </c>
      <c r="E850" t="inlineStr">
        <is>
          <t>集成商/顾问（MikroTik 认证）</t>
        </is>
      </c>
      <c r="F850" t="inlineStr">
        <is>
          <t>MikroTik 认证，持 MikroTik 培训伙伴（开 MTCNA/MTCRE 等）</t>
        </is>
      </c>
      <c r="G850" t="inlineStr">
        <is>
          <t>否</t>
        </is>
      </c>
      <c r="H850" t="inlineStr">
        <is>
          <t>MikroTik 生态切入</t>
        </is>
      </c>
      <c r="I850" t="inlineStr">
        <is>
          <t>LT-S8328XGP-4XS24GT-S</t>
        </is>
      </c>
      <c r="J850" t="inlineStr">
        <is>
          <t>office@mikrotiktrening.rs；+381 63 546126</t>
        </is>
      </c>
      <c r="K850" t="inlineStr">
        <is>
          <t>★★★</t>
        </is>
      </c>
      <c r="L850" t="inlineStr">
        <is>
          <t>未触达</t>
        </is>
      </c>
      <c r="M850" t="inlineStr">
        <is>
          <t>MikroTik 官方培训伙伴/顾问名录</t>
        </is>
      </c>
      <c r="N850" t="inlineStr"/>
      <c r="O850" t="inlineStr"/>
      <c r="P850" t="inlineStr"/>
      <c r="Q850" t="inlineStr">
        <is>
          <t>塞尔维亚本地 MikroTik 培训机构（贝尔格莱德），开 MTCNA/MTCRE/MTCSE/MTCWE/MTCTCE。**有可直接用的邮箱**。</t>
        </is>
      </c>
      <c r="R850" t="inlineStr">
        <is>
          <t>B</t>
        </is>
      </c>
      <c r="S850" t="inlineStr">
        <is>
          <t>有信号（影响力/渠道）但需先验证需求或联系人不具体</t>
        </is>
      </c>
      <c r="T850" t="inlineStr">
        <is>
          <t>B-511</t>
        </is>
      </c>
      <c r="U850" t="inlineStr"/>
      <c r="V850" t="inlineStr"/>
    </row>
    <row r="851">
      <c r="A851" t="inlineStr">
        <is>
          <t>Brian Vargyas</t>
        </is>
      </c>
      <c r="B851" t="inlineStr">
        <is>
          <t>美国</t>
        </is>
      </c>
      <c r="C851" t="inlineStr">
        <is>
          <t>Naperville / Chicago, IL</t>
        </is>
      </c>
      <c r="D851" t="inlineStr"/>
      <c r="E851" t="inlineStr">
        <is>
          <t>集成商/顾问（MikroTik 认证）</t>
        </is>
      </c>
      <c r="F851" t="inlineStr">
        <is>
          <t>MikroTik 认证，持 MTCNA</t>
        </is>
      </c>
      <c r="G851" t="inlineStr">
        <is>
          <t>否</t>
        </is>
      </c>
      <c r="H851" t="inlineStr">
        <is>
          <t>MikroTik 生态切入</t>
        </is>
      </c>
      <c r="I851" t="inlineStr">
        <is>
          <t>LT-S8328XGP-4XS24GT-S</t>
        </is>
      </c>
      <c r="J851" t="inlineStr">
        <is>
          <t>630-929-3610 / 888-929-3610</t>
        </is>
      </c>
      <c r="K851" t="inlineStr">
        <is>
          <t>★★★</t>
        </is>
      </c>
      <c r="L851" t="inlineStr">
        <is>
          <t>未触达</t>
        </is>
      </c>
      <c r="M851" t="inlineStr">
        <is>
          <t>MikroTik 官方培训伙伴/顾问名录</t>
        </is>
      </c>
      <c r="N851" t="inlineStr"/>
      <c r="O851" t="inlineStr"/>
      <c r="P851" t="inlineStr"/>
      <c r="Q8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电话与 Baltic Networks 同一号段，疑为 Baltic Networks 团队，**触达前先确认关系**。</t>
        </is>
      </c>
      <c r="R851" t="inlineStr">
        <is>
          <t>A</t>
        </is>
      </c>
      <c r="S851" t="inlineStr">
        <is>
          <t>【人工定级】A —— 自动规则已跳过；信息待人工补齐（见备注）</t>
        </is>
      </c>
      <c r="T851" t="inlineStr">
        <is>
          <t>A-203</t>
        </is>
      </c>
      <c r="U851" t="inlineStr"/>
      <c r="V851" t="inlineStr">
        <is>
          <t>A</t>
        </is>
      </c>
    </row>
    <row r="852">
      <c r="A852" t="inlineStr">
        <is>
          <t>Evelem</t>
        </is>
      </c>
      <c r="B852" t="inlineStr">
        <is>
          <t>法国</t>
        </is>
      </c>
      <c r="C852" t="inlineStr"/>
      <c r="D852" t="inlineStr"/>
      <c r="E852" t="inlineStr">
        <is>
          <t>集成商/代理（Allied Telesis）</t>
        </is>
      </c>
      <c r="F852" t="inlineStr">
        <is>
          <t>Allied Telesis（Marvell Prestera 接入层）</t>
        </is>
      </c>
      <c r="G852" t="inlineStr">
        <is>
          <t>否</t>
        </is>
      </c>
      <c r="H852" t="inlineStr">
        <is>
          <t>Marvell Prestera 接入层切入</t>
        </is>
      </c>
      <c r="I852" t="inlineStr">
        <is>
          <t>LT-S8328XGP-4XS24GT-S</t>
        </is>
      </c>
      <c r="J852" t="inlineStr">
        <is>
          <t>见 elioplus 渠道库</t>
        </is>
      </c>
      <c r="K852" t="inlineStr">
        <is>
          <t>★★★</t>
        </is>
      </c>
      <c r="L852" t="inlineStr">
        <is>
          <t>未触达</t>
        </is>
      </c>
      <c r="M852" t="inlineStr">
        <is>
          <t>Allied Telesis 伙伴库</t>
        </is>
      </c>
      <c r="N852" t="inlineStr"/>
      <c r="O852" t="inlineStr"/>
      <c r="P852" t="inlineStr"/>
      <c r="Q8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法国 **MSP（托管服务商）**，Allied Telesis 伙伴。法国此前仅 1 个 A，MSP 型集成商值得优先。</t>
        </is>
      </c>
      <c r="R852" t="inlineStr">
        <is>
          <t>A</t>
        </is>
      </c>
      <c r="S852" t="inlineStr">
        <is>
          <t>【人工定级】A —— 自动规则已跳过；信息待人工补齐（见备注）</t>
        </is>
      </c>
      <c r="T852" t="inlineStr">
        <is>
          <t>A-204</t>
        </is>
      </c>
      <c r="U852" t="inlineStr"/>
      <c r="V852" t="inlineStr">
        <is>
          <t>A</t>
        </is>
      </c>
    </row>
    <row r="853">
      <c r="A853" t="inlineStr">
        <is>
          <t>Nabacom</t>
        </is>
      </c>
      <c r="B853" t="inlineStr">
        <is>
          <t>意大利</t>
        </is>
      </c>
      <c r="C853" t="inlineStr"/>
      <c r="D853" t="inlineStr"/>
      <c r="E853" t="inlineStr">
        <is>
          <t>集成商/代理（Allied Telesis）</t>
        </is>
      </c>
      <c r="F853" t="inlineStr">
        <is>
          <t>Allied Telesis（Marvell Prestera 接入层）</t>
        </is>
      </c>
      <c r="G853" t="inlineStr">
        <is>
          <t>否</t>
        </is>
      </c>
      <c r="H853" t="inlineStr">
        <is>
          <t>Marvell Prestera 接入层切入</t>
        </is>
      </c>
      <c r="I853" t="inlineStr">
        <is>
          <t>LT-S8328XGP-4XS24GT-S</t>
        </is>
      </c>
      <c r="J853" t="inlineStr">
        <is>
          <t>见 elioplus 渠道库</t>
        </is>
      </c>
      <c r="K853" t="inlineStr">
        <is>
          <t>★★★</t>
        </is>
      </c>
      <c r="L853" t="inlineStr">
        <is>
          <t>未触达</t>
        </is>
      </c>
      <c r="M853" t="inlineStr">
        <is>
          <t>Allied Telesis 伙伴库</t>
        </is>
      </c>
      <c r="N853" t="inlineStr"/>
      <c r="O853" t="inlineStr"/>
      <c r="P853" t="inlineStr"/>
      <c r="Q8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意大利 MSP，Allied Telesis 伙伴。</t>
        </is>
      </c>
      <c r="R853" t="inlineStr">
        <is>
          <t>A</t>
        </is>
      </c>
      <c r="S853" t="inlineStr">
        <is>
          <t>【人工定级】A —— 自动规则已跳过；信息待人工补齐（见备注）</t>
        </is>
      </c>
      <c r="T853" t="inlineStr">
        <is>
          <t>A-205</t>
        </is>
      </c>
      <c r="U853" t="inlineStr"/>
      <c r="V853" t="inlineStr">
        <is>
          <t>A</t>
        </is>
      </c>
    </row>
    <row r="854">
      <c r="A854" t="inlineStr">
        <is>
          <t>EDV-Partner</t>
        </is>
      </c>
      <c r="B854" t="inlineStr">
        <is>
          <t>德国</t>
        </is>
      </c>
      <c r="C854" t="inlineStr"/>
      <c r="D854" t="inlineStr"/>
      <c r="E854" t="inlineStr">
        <is>
          <t>集成商/代理（Allied Telesis）</t>
        </is>
      </c>
      <c r="F854" t="inlineStr">
        <is>
          <t>Allied Telesis（Marvell Prestera 接入层）</t>
        </is>
      </c>
      <c r="G854" t="inlineStr">
        <is>
          <t>否</t>
        </is>
      </c>
      <c r="H854" t="inlineStr">
        <is>
          <t>Marvell Prestera 接入层切入</t>
        </is>
      </c>
      <c r="I854" t="inlineStr">
        <is>
          <t>LT-S8328XGP-4XS24GT-S</t>
        </is>
      </c>
      <c r="J854" t="inlineStr">
        <is>
          <t>见 elioplus 渠道库</t>
        </is>
      </c>
      <c r="K854" t="inlineStr">
        <is>
          <t>★★★</t>
        </is>
      </c>
      <c r="L854" t="inlineStr">
        <is>
          <t>未触达</t>
        </is>
      </c>
      <c r="M854" t="inlineStr">
        <is>
          <t>Allied Telesis 伙伴库</t>
        </is>
      </c>
      <c r="N854" t="inlineStr"/>
      <c r="O854" t="inlineStr"/>
      <c r="P854" t="inlineStr"/>
      <c r="Q8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德国 MSP，Allied Telesis 伙伴。</t>
        </is>
      </c>
      <c r="R854" t="inlineStr">
        <is>
          <t>A</t>
        </is>
      </c>
      <c r="S854" t="inlineStr">
        <is>
          <t>【人工定级】A —— 自动规则已跳过；信息待人工补齐（见备注）</t>
        </is>
      </c>
      <c r="T854" t="inlineStr">
        <is>
          <t>A-206</t>
        </is>
      </c>
      <c r="U854" t="inlineStr"/>
      <c r="V854" t="inlineStr">
        <is>
          <t>A</t>
        </is>
      </c>
    </row>
    <row r="855">
      <c r="A855" t="inlineStr">
        <is>
          <t>MTK Technologies</t>
        </is>
      </c>
      <c r="B855" t="inlineStr">
        <is>
          <t>美国</t>
        </is>
      </c>
      <c r="C855" t="inlineStr">
        <is>
          <t>Savoy, IL</t>
        </is>
      </c>
      <c r="D855" t="inlineStr">
        <is>
          <t>mtk-tech.com</t>
        </is>
      </c>
      <c r="E855" t="inlineStr">
        <is>
          <t>MikroTik 生态集成商</t>
        </is>
      </c>
      <c r="F855" t="inlineStr">
        <is>
          <t>MikroTik + Ubiquiti（另用 Cisco/Fortinet/Ruckus 等）</t>
        </is>
      </c>
      <c r="G855" t="inlineStr">
        <is>
          <t>否</t>
        </is>
      </c>
      <c r="H855" t="inlineStr">
        <is>
          <t>Marvell Prestera 接入层切入</t>
        </is>
      </c>
      <c r="I855" t="inlineStr">
        <is>
          <t>LT-S8328XGP-4XS24GT-S</t>
        </is>
      </c>
      <c r="J855" t="inlineStr">
        <is>
          <t>info@mtk-tech.com；(217) 402-9070</t>
        </is>
      </c>
      <c r="K855" t="inlineStr">
        <is>
          <t>★★★</t>
        </is>
      </c>
      <c r="L855" t="inlineStr">
        <is>
          <t>未触达</t>
        </is>
      </c>
      <c r="M855" t="inlineStr">
        <is>
          <t>厂商官网品牌页（当前）</t>
        </is>
      </c>
      <c r="N855" t="inlineStr"/>
      <c r="O855" t="inlineStr"/>
      <c r="P855" t="inlineStr"/>
      <c r="Q855" t="inlineStr">
        <is>
          <t>伊利诺伊本地托管 IT 服务商，1996 年至今，**235+ 活跃客户**（含德州、佛州、亚利桑那、密歇根）。官网**明确列出 MikroTik 与 Ubiquiti** 为其信任品牌。**有可直接用的邮箱**。</t>
        </is>
      </c>
      <c r="R855" t="inlineStr">
        <is>
          <t>B</t>
        </is>
      </c>
      <c r="S855" t="inlineStr">
        <is>
          <t>通用分销商信号，无差异化切入点，慢慢跟</t>
        </is>
      </c>
      <c r="T855" t="inlineStr">
        <is>
          <t>B-512</t>
        </is>
      </c>
      <c r="U855" t="inlineStr"/>
      <c r="V855" t="inlineStr"/>
    </row>
    <row r="856">
      <c r="A856" t="inlineStr">
        <is>
          <t>Micro Technology Consultants</t>
        </is>
      </c>
      <c r="B856" t="inlineStr">
        <is>
          <t>美国</t>
        </is>
      </c>
      <c r="C856" t="inlineStr">
        <is>
          <t>Warner Robins, GA</t>
        </is>
      </c>
      <c r="D856" t="inlineStr">
        <is>
          <t>microtechnology.net</t>
        </is>
      </c>
      <c r="E856" t="inlineStr">
        <is>
          <t>MikroTik 生态集成商</t>
        </is>
      </c>
      <c r="F856" t="inlineStr">
        <is>
          <t>Ruckus（无线与交换）+ Avigilon</t>
        </is>
      </c>
      <c r="G856" t="inlineStr">
        <is>
          <t>否</t>
        </is>
      </c>
      <c r="H856" t="inlineStr">
        <is>
          <t>Marvell Prestera 接入层切入</t>
        </is>
      </c>
      <c r="I856" t="inlineStr">
        <is>
          <t>LT-S8328XGP-4XS24GT-S</t>
        </is>
      </c>
      <c r="J856" t="inlineStr">
        <is>
          <t>(478) 953-1921</t>
        </is>
      </c>
      <c r="K856" t="inlineStr">
        <is>
          <t>★★★</t>
        </is>
      </c>
      <c r="L856" t="inlineStr">
        <is>
          <t>未触达</t>
        </is>
      </c>
      <c r="M856" t="inlineStr">
        <is>
          <t>厂商官网品牌页（当前）</t>
        </is>
      </c>
      <c r="N856" t="inlineStr"/>
      <c r="O856" t="inlineStr"/>
      <c r="P856" t="inlineStr"/>
      <c r="Q856" t="inlineStr">
        <is>
          <t>佐治亚州 K12 与中小企业 IT 服务商，业务含网络、服务器、安防系统、**网络交换**、铜缆与光缆布线。用 Ruckus 交换与无线 —— **属可替换的接入层现有供应商**。</t>
        </is>
      </c>
      <c r="R856" t="inlineStr">
        <is>
          <t>A</t>
        </is>
      </c>
      <c r="S856" t="inlineStr">
        <is>
          <t>有明确交换/供电需求（交换专长），且有具体人直联</t>
        </is>
      </c>
      <c r="T856" t="inlineStr">
        <is>
          <t>A-145</t>
        </is>
      </c>
      <c r="U856" t="inlineStr"/>
      <c r="V856" t="inlineStr"/>
    </row>
    <row r="857">
      <c r="A857" t="inlineStr">
        <is>
          <t>Data Connect</t>
        </is>
      </c>
      <c r="B857" t="inlineStr">
        <is>
          <t>美国</t>
        </is>
      </c>
      <c r="C857" t="inlineStr"/>
      <c r="D857" t="inlineStr">
        <is>
          <t>data-connect.com</t>
        </is>
      </c>
      <c r="E857" t="inlineStr">
        <is>
          <t>集成商/主备货分销（Belden 工业）</t>
        </is>
      </c>
      <c r="F857" t="inlineStr">
        <is>
          <t>Hirschmann + GarrettCom（Belden 工业接入层）</t>
        </is>
      </c>
      <c r="G857" t="inlineStr">
        <is>
          <t>否</t>
        </is>
      </c>
      <c r="H857" t="inlineStr">
        <is>
          <t>Marvell Prestera 接入层切入</t>
        </is>
      </c>
      <c r="I857" t="inlineStr">
        <is>
          <t>LT-S8328XGP-4XS24GT-S</t>
        </is>
      </c>
      <c r="J857" t="inlineStr">
        <is>
          <t>见 data-connect.com</t>
        </is>
      </c>
      <c r="K857" t="inlineStr">
        <is>
          <t>★★★</t>
        </is>
      </c>
      <c r="L857" t="inlineStr">
        <is>
          <t>未触达</t>
        </is>
      </c>
      <c r="M857" t="inlineStr">
        <is>
          <t>厂商渠道页（当前）</t>
        </is>
      </c>
      <c r="N857" t="inlineStr"/>
      <c r="O857" t="inlineStr"/>
      <c r="P857" t="inlineStr"/>
      <c r="Q857" t="inlineStr">
        <is>
          <t>**Belden/Hirschmann 与 GarrettCom 的 MASTER STOCKING DISTRIBUTOR + TAC 中心** —— 不是纯搬箱子的：提供售前方案、配置、安装与技术支持，并**明确给分销商/VAR/集成商特殊折扣**。带 TAC 中心=技术能力强，属优质集成商。</t>
        </is>
      </c>
      <c r="R857" t="inlineStr">
        <is>
          <t>A</t>
        </is>
      </c>
      <c r="S857" t="inlineStr">
        <is>
          <t>有明确交换/供电需求（工业/楼宇），三星重点</t>
        </is>
      </c>
      <c r="T857" t="inlineStr">
        <is>
          <t>A-146</t>
        </is>
      </c>
      <c r="U857" t="inlineStr"/>
      <c r="V857" t="inlineStr"/>
    </row>
    <row r="858">
      <c r="A858" t="inlineStr">
        <is>
          <t>Powertech Controls</t>
        </is>
      </c>
      <c r="B858" t="inlineStr">
        <is>
          <t>美国</t>
        </is>
      </c>
      <c r="C858" t="inlineStr"/>
      <c r="D858" t="inlineStr">
        <is>
          <t>powertechcontrols.com</t>
        </is>
      </c>
      <c r="E858" t="inlineStr">
        <is>
          <t>分销（Hirschmann 授权）</t>
        </is>
      </c>
      <c r="F858" t="inlineStr">
        <is>
          <t>Hirschmann（Belden 工业接入层）</t>
        </is>
      </c>
      <c r="G858" t="inlineStr">
        <is>
          <t>否</t>
        </is>
      </c>
      <c r="H858" t="inlineStr">
        <is>
          <t>Marvell Prestera 接入层切入</t>
        </is>
      </c>
      <c r="I858" t="inlineStr">
        <is>
          <t>LT-S8328XGP-4XS24GT-S</t>
        </is>
      </c>
      <c r="J858" t="inlineStr">
        <is>
          <t>见 powertechcontrols.com</t>
        </is>
      </c>
      <c r="K858" t="inlineStr">
        <is>
          <t>★★★</t>
        </is>
      </c>
      <c r="L858" t="inlineStr">
        <is>
          <t>未触达</t>
        </is>
      </c>
      <c r="M858" t="inlineStr">
        <is>
          <t>厂商渠道页（当前）</t>
        </is>
      </c>
      <c r="N858" t="inlineStr"/>
      <c r="O858" t="inlineStr"/>
      <c r="P858" t="inlineStr"/>
      <c r="Q858" t="inlineStr">
        <is>
          <t>Hirschmann 授权分销商，同时做自动化与网络技术服务。</t>
        </is>
      </c>
      <c r="R858" t="inlineStr">
        <is>
          <t>A</t>
        </is>
      </c>
      <c r="S858" t="inlineStr">
        <is>
          <t>有明确交换/供电需求（工业/楼宇），三星重点</t>
        </is>
      </c>
      <c r="T858" t="inlineStr">
        <is>
          <t>A-147</t>
        </is>
      </c>
      <c r="U858" t="inlineStr"/>
      <c r="V858" t="inlineStr"/>
    </row>
    <row r="859">
      <c r="A859" t="inlineStr">
        <is>
          <t>Target Distributing</t>
        </is>
      </c>
      <c r="B859" t="inlineStr">
        <is>
          <t>美国</t>
        </is>
      </c>
      <c r="C859" t="inlineStr">
        <is>
          <t>Germantown, MD</t>
        </is>
      </c>
      <c r="D859" t="inlineStr">
        <is>
          <t>targetd.com</t>
        </is>
      </c>
      <c r="E859" t="inlineStr">
        <is>
          <t>分销（Zyxel 授权）</t>
        </is>
      </c>
      <c r="F859" t="inlineStr">
        <is>
          <t>Zyxel（另代理 Netgear/TP-Link/Adtran/EnGenius 等）</t>
        </is>
      </c>
      <c r="G859" t="inlineStr">
        <is>
          <t>否</t>
        </is>
      </c>
      <c r="H859" t="inlineStr">
        <is>
          <t>Marvell Prestera 接入层切入</t>
        </is>
      </c>
      <c r="I859" t="inlineStr">
        <is>
          <t>LT-S8328XGP-4XS24GT-S</t>
        </is>
      </c>
      <c r="J859" t="inlineStr">
        <is>
          <t>301-296-9400</t>
        </is>
      </c>
      <c r="K859" t="inlineStr">
        <is>
          <t>★★★</t>
        </is>
      </c>
      <c r="L859" t="inlineStr">
        <is>
          <t>未触达</t>
        </is>
      </c>
      <c r="M859" t="inlineStr">
        <is>
          <t>厂商渠道页（当前）</t>
        </is>
      </c>
      <c r="N859" t="inlineStr"/>
      <c r="O859" t="inlineStr"/>
      <c r="P859" t="inlineStr"/>
      <c r="Q859" t="inlineStr">
        <is>
          <t>Zyxel 授权分销（Target 为北美老牌分销）。**同时代理 Netgear / TP-Link / Adtran / EnGenius** —— 产品线宽，适合做接入层替换的渠道对照。</t>
        </is>
      </c>
      <c r="R859" t="inlineStr">
        <is>
          <t>C</t>
        </is>
      </c>
      <c r="S859" t="inlineStr">
        <is>
          <t>备注含「老牌」，决策链长或存在品牌冲突</t>
        </is>
      </c>
      <c r="T859" t="inlineStr">
        <is>
          <t>C-367</t>
        </is>
      </c>
      <c r="U859" t="inlineStr">
        <is>
          <t>其他</t>
        </is>
      </c>
      <c r="V859" t="inlineStr"/>
    </row>
    <row r="860">
      <c r="A860" t="inlineStr">
        <is>
          <t>Switchshop Ltd</t>
        </is>
      </c>
      <c r="B860" t="inlineStr">
        <is>
          <t>英国</t>
        </is>
      </c>
      <c r="C860" t="inlineStr">
        <is>
          <t>Hitchin</t>
        </is>
      </c>
      <c r="D860" t="inlineStr"/>
      <c r="E860" t="inlineStr">
        <is>
          <t>集成商/代理（Allied Telesis）</t>
        </is>
      </c>
      <c r="F860" t="inlineStr">
        <is>
          <t>Allied Telesis（Marvell Prestera 接入层）</t>
        </is>
      </c>
      <c r="G860" t="inlineStr">
        <is>
          <t>否</t>
        </is>
      </c>
      <c r="H860" t="inlineStr">
        <is>
          <t>Marvell Prestera 接入层切入</t>
        </is>
      </c>
      <c r="I860" t="inlineStr">
        <is>
          <t>LT-S8328XGP-4XS24GT-S</t>
        </is>
      </c>
      <c r="J860" t="inlineStr">
        <is>
          <t>+44 1438 831870</t>
        </is>
      </c>
      <c r="K860" t="inlineStr">
        <is>
          <t>★★★</t>
        </is>
      </c>
      <c r="L860" t="inlineStr">
        <is>
          <t>未触达</t>
        </is>
      </c>
      <c r="M860" t="inlineStr">
        <is>
          <t>Allied Telesis 英国代理名录</t>
        </is>
      </c>
      <c r="N860" t="inlineStr"/>
      <c r="O860" t="inlineStr"/>
      <c r="P860" t="inlineStr"/>
      <c r="Q860" t="inlineStr">
        <is>
          <t>**Premier Partner**。自述英国首屈一指的 Allied Telesis 伙伴，持认证工程师，熟 AMF 与 SDN，覆盖企业、**工业**、网络管理。另设独立工业以太网线（制造/交通/安防/油气/国防）。**本批最强一家**。</t>
        </is>
      </c>
      <c r="R860" t="inlineStr">
        <is>
          <t>A</t>
        </is>
      </c>
      <c r="S860" t="inlineStr">
        <is>
          <t>有明确交换/供电需求（工业/楼宇），且有具体人直联</t>
        </is>
      </c>
      <c r="T860" t="inlineStr">
        <is>
          <t>A-148</t>
        </is>
      </c>
      <c r="U860" t="inlineStr"/>
      <c r="V860" t="inlineStr"/>
    </row>
    <row r="861">
      <c r="A861" t="inlineStr">
        <is>
          <t>Holker IT</t>
        </is>
      </c>
      <c r="B861" t="inlineStr">
        <is>
          <t>英国</t>
        </is>
      </c>
      <c r="C861" t="inlineStr">
        <is>
          <t>Burnley</t>
        </is>
      </c>
      <c r="D861" t="inlineStr"/>
      <c r="E861" t="inlineStr">
        <is>
          <t>集成商/代理（Allied Telesis）</t>
        </is>
      </c>
      <c r="F861" t="inlineStr">
        <is>
          <t>Allied Telesis（Marvell Prestera 接入层）</t>
        </is>
      </c>
      <c r="G861" t="inlineStr">
        <is>
          <t>否</t>
        </is>
      </c>
      <c r="H861" t="inlineStr">
        <is>
          <t>Marvell Prestera 接入层切入</t>
        </is>
      </c>
      <c r="I861" t="inlineStr">
        <is>
          <t>LT-S8328XGP-4XS24GT-S</t>
        </is>
      </c>
      <c r="J861" t="inlineStr">
        <is>
          <t>见名录</t>
        </is>
      </c>
      <c r="K861" t="inlineStr">
        <is>
          <t>★★★</t>
        </is>
      </c>
      <c r="L861" t="inlineStr">
        <is>
          <t>未触达</t>
        </is>
      </c>
      <c r="M861" t="inlineStr">
        <is>
          <t>Allied Telesis 英国代理名录</t>
        </is>
      </c>
      <c r="N861" t="inlineStr"/>
      <c r="O861" t="inlineStr"/>
      <c r="P861" t="inlineStr"/>
      <c r="Q8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1" t="inlineStr">
        <is>
          <t>A</t>
        </is>
      </c>
      <c r="S861" t="inlineStr">
        <is>
          <t>【人工定级】A —— 自动规则已跳过；信息待人工补齐（见备注）</t>
        </is>
      </c>
      <c r="T861" t="inlineStr">
        <is>
          <t>A-207</t>
        </is>
      </c>
      <c r="U861" t="inlineStr"/>
      <c r="V861" t="inlineStr">
        <is>
          <t>A</t>
        </is>
      </c>
    </row>
    <row r="862">
      <c r="A862" t="inlineStr">
        <is>
          <t>MSI Works Ltd</t>
        </is>
      </c>
      <c r="B862" t="inlineStr">
        <is>
          <t>英国</t>
        </is>
      </c>
      <c r="C862" t="inlineStr">
        <is>
          <t>London</t>
        </is>
      </c>
      <c r="D862" t="inlineStr"/>
      <c r="E862" t="inlineStr">
        <is>
          <t>集成商/代理（Allied Telesis）</t>
        </is>
      </c>
      <c r="F862" t="inlineStr">
        <is>
          <t>Allied Telesis（Marvell Prestera 接入层）</t>
        </is>
      </c>
      <c r="G862" t="inlineStr">
        <is>
          <t>否</t>
        </is>
      </c>
      <c r="H862" t="inlineStr">
        <is>
          <t>Marvell Prestera 接入层切入</t>
        </is>
      </c>
      <c r="I862" t="inlineStr">
        <is>
          <t>LT-S8328XGP-4XS24GT-S</t>
        </is>
      </c>
      <c r="J862" t="inlineStr">
        <is>
          <t>+44 7584 631601</t>
        </is>
      </c>
      <c r="K862" t="inlineStr">
        <is>
          <t>★★★</t>
        </is>
      </c>
      <c r="L862" t="inlineStr">
        <is>
          <t>未触达</t>
        </is>
      </c>
      <c r="M862" t="inlineStr">
        <is>
          <t>Allied Telesis 英国代理名录</t>
        </is>
      </c>
      <c r="N862" t="inlineStr"/>
      <c r="O862" t="inlineStr"/>
      <c r="P862" t="inlineStr"/>
      <c r="Q8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2" t="inlineStr">
        <is>
          <t>A</t>
        </is>
      </c>
      <c r="S862" t="inlineStr">
        <is>
          <t>【人工定级】A —— 自动规则已跳过；信息待人工补齐（见备注）</t>
        </is>
      </c>
      <c r="T862" t="inlineStr">
        <is>
          <t>A-208</t>
        </is>
      </c>
      <c r="U862" t="inlineStr"/>
      <c r="V862" t="inlineStr">
        <is>
          <t>A</t>
        </is>
      </c>
    </row>
    <row r="863">
      <c r="A863" t="inlineStr">
        <is>
          <t>GBE Converge</t>
        </is>
      </c>
      <c r="B863" t="inlineStr">
        <is>
          <t>英国</t>
        </is>
      </c>
      <c r="C863" t="inlineStr">
        <is>
          <t>Gloucester</t>
        </is>
      </c>
      <c r="D863" t="inlineStr"/>
      <c r="E863" t="inlineStr">
        <is>
          <t>集成商/代理（Allied Telesis）</t>
        </is>
      </c>
      <c r="F863" t="inlineStr">
        <is>
          <t>Allied Telesis（Marvell Prestera 接入层）</t>
        </is>
      </c>
      <c r="G863" t="inlineStr">
        <is>
          <t>否</t>
        </is>
      </c>
      <c r="H863" t="inlineStr">
        <is>
          <t>Marvell Prestera 接入层切入</t>
        </is>
      </c>
      <c r="I863" t="inlineStr">
        <is>
          <t>LT-S8328XGP-4XS24GT-S</t>
        </is>
      </c>
      <c r="J863" t="inlineStr">
        <is>
          <t>+44 8451 220884</t>
        </is>
      </c>
      <c r="K863" t="inlineStr">
        <is>
          <t>★★★</t>
        </is>
      </c>
      <c r="L863" t="inlineStr">
        <is>
          <t>未触达</t>
        </is>
      </c>
      <c r="M863" t="inlineStr">
        <is>
          <t>Allied Telesis 英国代理名录</t>
        </is>
      </c>
      <c r="N863" t="inlineStr"/>
      <c r="O863" t="inlineStr"/>
      <c r="P863" t="inlineStr"/>
      <c r="Q8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安防+网络融合型，做 IP 视频与接入层。</t>
        </is>
      </c>
      <c r="R863" t="inlineStr">
        <is>
          <t>A</t>
        </is>
      </c>
      <c r="S863" t="inlineStr">
        <is>
          <t>【人工定级】A —— 自动规则已跳过；信息待人工补齐（见备注）</t>
        </is>
      </c>
      <c r="T863" t="inlineStr">
        <is>
          <t>A-209</t>
        </is>
      </c>
      <c r="U863" t="inlineStr"/>
      <c r="V863" t="inlineStr">
        <is>
          <t>A</t>
        </is>
      </c>
    </row>
    <row r="864">
      <c r="A864" t="inlineStr">
        <is>
          <t>Networkology Ltd</t>
        </is>
      </c>
      <c r="B864" t="inlineStr">
        <is>
          <t>英国</t>
        </is>
      </c>
      <c r="C864" t="inlineStr">
        <is>
          <t>Corsham</t>
        </is>
      </c>
      <c r="D864" t="inlineStr"/>
      <c r="E864" t="inlineStr">
        <is>
          <t>集成商/代理（Allied Telesis）</t>
        </is>
      </c>
      <c r="F864" t="inlineStr">
        <is>
          <t>Allied Telesis（Marvell Prestera 接入层）</t>
        </is>
      </c>
      <c r="G864" t="inlineStr">
        <is>
          <t>否</t>
        </is>
      </c>
      <c r="H864" t="inlineStr">
        <is>
          <t>Marvell Prestera 接入层切入</t>
        </is>
      </c>
      <c r="I864" t="inlineStr">
        <is>
          <t>LT-S8328XGP-4XS24GT-S</t>
        </is>
      </c>
      <c r="J864" t="inlineStr">
        <is>
          <t>+44 1249 700084</t>
        </is>
      </c>
      <c r="K864" t="inlineStr">
        <is>
          <t>★★★</t>
        </is>
      </c>
      <c r="L864" t="inlineStr">
        <is>
          <t>未触达</t>
        </is>
      </c>
      <c r="M864" t="inlineStr">
        <is>
          <t>Allied Telesis 英国代理名录</t>
        </is>
      </c>
      <c r="N864" t="inlineStr"/>
      <c r="O864" t="inlineStr"/>
      <c r="P864" t="inlineStr"/>
      <c r="Q8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Partner**。</t>
        </is>
      </c>
      <c r="R864" t="inlineStr">
        <is>
          <t>A</t>
        </is>
      </c>
      <c r="S864" t="inlineStr">
        <is>
          <t>【人工定级】A —— 自动规则已跳过；信息待人工补齐（见备注）</t>
        </is>
      </c>
      <c r="T864" t="inlineStr">
        <is>
          <t>A-210</t>
        </is>
      </c>
      <c r="U864" t="inlineStr"/>
      <c r="V864" t="inlineStr">
        <is>
          <t>A</t>
        </is>
      </c>
    </row>
    <row r="865">
      <c r="A865" t="inlineStr">
        <is>
          <t>Lloret Control Systems Ltd</t>
        </is>
      </c>
      <c r="B865" t="inlineStr">
        <is>
          <t>英国</t>
        </is>
      </c>
      <c r="C865" t="inlineStr">
        <is>
          <t>Coulsdon</t>
        </is>
      </c>
      <c r="D865" t="inlineStr"/>
      <c r="E865" t="inlineStr">
        <is>
          <t>集成商/代理（Allied Telesis）</t>
        </is>
      </c>
      <c r="F865" t="inlineStr">
        <is>
          <t>Allied Telesis（Marvell Prestera 接入层）</t>
        </is>
      </c>
      <c r="G865" t="inlineStr">
        <is>
          <t>否</t>
        </is>
      </c>
      <c r="H865" t="inlineStr">
        <is>
          <t>Marvell Prestera 接入层切入</t>
        </is>
      </c>
      <c r="I865" t="inlineStr">
        <is>
          <t>LT-S8328XGP-4XS24GT-S</t>
        </is>
      </c>
      <c r="J865" t="inlineStr">
        <is>
          <t>+44 20 8410 4600</t>
        </is>
      </c>
      <c r="K865" t="inlineStr">
        <is>
          <t>★★★</t>
        </is>
      </c>
      <c r="L865" t="inlineStr">
        <is>
          <t>未触达</t>
        </is>
      </c>
      <c r="M865" t="inlineStr">
        <is>
          <t>Allied Telesis 英国代理名录</t>
        </is>
      </c>
      <c r="N865" t="inlineStr"/>
      <c r="O865" t="inlineStr"/>
      <c r="P865" t="inlineStr"/>
      <c r="Q8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**Platinum Partner** —— 控制系统背景，工控+网络。</t>
        </is>
      </c>
      <c r="R865" t="inlineStr">
        <is>
          <t>A</t>
        </is>
      </c>
      <c r="S865" t="inlineStr">
        <is>
          <t>【人工定级】A —— 自动规则已跳过；信息待人工补齐（见备注）</t>
        </is>
      </c>
      <c r="T865" t="inlineStr">
        <is>
          <t>A-211</t>
        </is>
      </c>
      <c r="U865" t="inlineStr"/>
      <c r="V865" t="inlineStr">
        <is>
          <t>A</t>
        </is>
      </c>
    </row>
    <row r="866">
      <c r="A866" t="inlineStr">
        <is>
          <t>EAC Network Solutions</t>
        </is>
      </c>
      <c r="B866" t="inlineStr">
        <is>
          <t>英国</t>
        </is>
      </c>
      <c r="C866" t="inlineStr">
        <is>
          <t>Stokenchurch</t>
        </is>
      </c>
      <c r="D866" t="inlineStr"/>
      <c r="E866" t="inlineStr">
        <is>
          <t>集成商/代理（Allied Telesis）</t>
        </is>
      </c>
      <c r="F866" t="inlineStr">
        <is>
          <t>Allied Telesis（Marvell Prestera 接入层）</t>
        </is>
      </c>
      <c r="G866" t="inlineStr">
        <is>
          <t>否</t>
        </is>
      </c>
      <c r="H866" t="inlineStr">
        <is>
          <t>Marvell Prestera 接入层切入</t>
        </is>
      </c>
      <c r="I866" t="inlineStr">
        <is>
          <t>LT-S8328XGP-4XS24GT-S</t>
        </is>
      </c>
      <c r="J866" t="inlineStr">
        <is>
          <t>+44 1844 215050</t>
        </is>
      </c>
      <c r="K866" t="inlineStr">
        <is>
          <t>★★★</t>
        </is>
      </c>
      <c r="L866" t="inlineStr">
        <is>
          <t>未触达</t>
        </is>
      </c>
      <c r="M866" t="inlineStr">
        <is>
          <t>Allied Telesis 英国代理名录</t>
        </is>
      </c>
      <c r="N866" t="inlineStr"/>
      <c r="O866" t="inlineStr"/>
      <c r="P866" t="inlineStr"/>
      <c r="Q8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6" t="inlineStr">
        <is>
          <t>A</t>
        </is>
      </c>
      <c r="S866" t="inlineStr">
        <is>
          <t>【人工定级】A —— 自动规则已跳过；信息待人工补齐（见备注）</t>
        </is>
      </c>
      <c r="T866" t="inlineStr">
        <is>
          <t>A-212</t>
        </is>
      </c>
      <c r="U866" t="inlineStr"/>
      <c r="V866" t="inlineStr">
        <is>
          <t>A</t>
        </is>
      </c>
    </row>
    <row r="867">
      <c r="A867" t="inlineStr">
        <is>
          <t>3TEC</t>
        </is>
      </c>
      <c r="B867" t="inlineStr">
        <is>
          <t>英国</t>
        </is>
      </c>
      <c r="C867" t="inlineStr">
        <is>
          <t>Waltham Abbey</t>
        </is>
      </c>
      <c r="D867" t="inlineStr"/>
      <c r="E867" t="inlineStr">
        <is>
          <t>集成商/代理（Allied Telesis）</t>
        </is>
      </c>
      <c r="F867" t="inlineStr">
        <is>
          <t>Allied Telesis（Marvell Prestera 接入层）</t>
        </is>
      </c>
      <c r="G867" t="inlineStr">
        <is>
          <t>否</t>
        </is>
      </c>
      <c r="H867" t="inlineStr">
        <is>
          <t>Marvell Prestera 接入层切入</t>
        </is>
      </c>
      <c r="I867" t="inlineStr">
        <is>
          <t>LT-S8328XGP-4XS24GT-S</t>
        </is>
      </c>
      <c r="J867" t="inlineStr">
        <is>
          <t>020 8275 1120</t>
        </is>
      </c>
      <c r="K867" t="inlineStr">
        <is>
          <t>★★★</t>
        </is>
      </c>
      <c r="L867" t="inlineStr">
        <is>
          <t>未触达</t>
        </is>
      </c>
      <c r="M867" t="inlineStr">
        <is>
          <t>Allied Telesis 英国代理名录</t>
        </is>
      </c>
      <c r="N867" t="inlineStr"/>
      <c r="O867" t="inlineStr"/>
      <c r="P867" t="inlineStr"/>
      <c r="Q8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7" t="inlineStr">
        <is>
          <t>A</t>
        </is>
      </c>
      <c r="S867" t="inlineStr">
        <is>
          <t>【人工定级】A —— 自动规则已跳过；信息待人工补齐（见备注）</t>
        </is>
      </c>
      <c r="T867" t="inlineStr">
        <is>
          <t>A-213</t>
        </is>
      </c>
      <c r="U867" t="inlineStr"/>
      <c r="V867" t="inlineStr">
        <is>
          <t>A</t>
        </is>
      </c>
    </row>
    <row r="868">
      <c r="A868" t="inlineStr">
        <is>
          <t>ACC Yotta</t>
        </is>
      </c>
      <c r="B868" t="inlineStr">
        <is>
          <t>英国</t>
        </is>
      </c>
      <c r="C868" t="inlineStr">
        <is>
          <t>Woking</t>
        </is>
      </c>
      <c r="D868" t="inlineStr"/>
      <c r="E868" t="inlineStr">
        <is>
          <t>集成商/代理（Allied Telesis）</t>
        </is>
      </c>
      <c r="F868" t="inlineStr">
        <is>
          <t>Allied Telesis（Marvell Prestera 接入层）</t>
        </is>
      </c>
      <c r="G868" t="inlineStr">
        <is>
          <t>否</t>
        </is>
      </c>
      <c r="H868" t="inlineStr">
        <is>
          <t>Marvell Prestera 接入层切入</t>
        </is>
      </c>
      <c r="I868" t="inlineStr">
        <is>
          <t>LT-S8328XGP-4XS24GT-S</t>
        </is>
      </c>
      <c r="J868" t="inlineStr">
        <is>
          <t>+44 207 043 6090</t>
        </is>
      </c>
      <c r="K868" t="inlineStr">
        <is>
          <t>★★★</t>
        </is>
      </c>
      <c r="L868" t="inlineStr">
        <is>
          <t>未触达</t>
        </is>
      </c>
      <c r="M868" t="inlineStr">
        <is>
          <t>Allied Telesis 英国代理名录</t>
        </is>
      </c>
      <c r="N868" t="inlineStr"/>
      <c r="O868" t="inlineStr"/>
      <c r="P868" t="inlineStr"/>
      <c r="Q8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68" t="inlineStr">
        <is>
          <t>A</t>
        </is>
      </c>
      <c r="S868" t="inlineStr">
        <is>
          <t>【人工定级】A —— 自动规则已跳过；信息待人工补齐（见备注）</t>
        </is>
      </c>
      <c r="T868" t="inlineStr">
        <is>
          <t>A-214</t>
        </is>
      </c>
      <c r="U868" t="inlineStr"/>
      <c r="V868" t="inlineStr">
        <is>
          <t>A</t>
        </is>
      </c>
    </row>
    <row r="869">
      <c r="A869" t="inlineStr">
        <is>
          <t>ATEC Security Ltd</t>
        </is>
      </c>
      <c r="B869" t="inlineStr">
        <is>
          <t>英国</t>
        </is>
      </c>
      <c r="C869" t="inlineStr">
        <is>
          <t>Featherstone</t>
        </is>
      </c>
      <c r="D869" t="inlineStr"/>
      <c r="E869" t="inlineStr">
        <is>
          <t>集成商/代理（Allied Telesis）</t>
        </is>
      </c>
      <c r="F869" t="inlineStr">
        <is>
          <t>Allied Telesis（Marvell Prestera 接入层）</t>
        </is>
      </c>
      <c r="G869" t="inlineStr">
        <is>
          <t>否</t>
        </is>
      </c>
      <c r="H869" t="inlineStr">
        <is>
          <t>Marvell Prestera 接入层切入</t>
        </is>
      </c>
      <c r="I869" t="inlineStr">
        <is>
          <t>LT-S8328XGP-4XS24GT-S</t>
        </is>
      </c>
      <c r="J869" t="inlineStr">
        <is>
          <t>+44 3300 580 050</t>
        </is>
      </c>
      <c r="K869" t="inlineStr">
        <is>
          <t>★★★</t>
        </is>
      </c>
      <c r="L869" t="inlineStr">
        <is>
          <t>未触达</t>
        </is>
      </c>
      <c r="M869" t="inlineStr">
        <is>
          <t>Allied Telesis 英国代理名录</t>
        </is>
      </c>
      <c r="N869" t="inlineStr"/>
      <c r="O869" t="inlineStr"/>
      <c r="P869" t="inlineStr"/>
      <c r="Q869" t="inlineStr">
        <is>
          <t>安防系统集成商 —— IP 视频监控依赖接入层 PoE。</t>
        </is>
      </c>
      <c r="R869" t="inlineStr">
        <is>
          <t>A</t>
        </is>
      </c>
      <c r="S869" t="inlineStr">
        <is>
          <t>有明确交换/供电需求（PoE/监控/门禁），且有具体人直联</t>
        </is>
      </c>
      <c r="T869" t="inlineStr">
        <is>
          <t>A-149</t>
        </is>
      </c>
      <c r="U869" t="inlineStr"/>
      <c r="V869" t="inlineStr"/>
    </row>
    <row r="870">
      <c r="A870" t="inlineStr">
        <is>
          <t>Bechtle Direct Ltd</t>
        </is>
      </c>
      <c r="B870" t="inlineStr">
        <is>
          <t>英国</t>
        </is>
      </c>
      <c r="C870" t="inlineStr">
        <is>
          <t>Chippenham</t>
        </is>
      </c>
      <c r="D870" t="inlineStr"/>
      <c r="E870" t="inlineStr">
        <is>
          <t>集成商/代理（Allied Telesis）</t>
        </is>
      </c>
      <c r="F870" t="inlineStr">
        <is>
          <t>Allied Telesis（Marvell Prestera 接入层）</t>
        </is>
      </c>
      <c r="G870" t="inlineStr">
        <is>
          <t>否</t>
        </is>
      </c>
      <c r="H870" t="inlineStr">
        <is>
          <t>Marvell Prestera 接入层切入</t>
        </is>
      </c>
      <c r="I870" t="inlineStr">
        <is>
          <t>LT-S8328XGP-4XS24GT-S</t>
        </is>
      </c>
      <c r="J870" t="inlineStr">
        <is>
          <t>+44 (0) 1249 467900</t>
        </is>
      </c>
      <c r="K870" t="inlineStr">
        <is>
          <t>★★★</t>
        </is>
      </c>
      <c r="L870" t="inlineStr">
        <is>
          <t>未触达</t>
        </is>
      </c>
      <c r="M870" t="inlineStr">
        <is>
          <t>Allied Telesis 英国代理名录</t>
        </is>
      </c>
      <c r="N870" t="inlineStr"/>
      <c r="O870" t="inlineStr"/>
      <c r="P870" t="inlineStr"/>
      <c r="Q8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Bechtle 英国分支（德系 IT 分销+集成）。</t>
        </is>
      </c>
      <c r="R870" t="inlineStr">
        <is>
          <t>A</t>
        </is>
      </c>
      <c r="S870" t="inlineStr">
        <is>
          <t>【人工定级】A —— 自动规则已跳过；信息待人工补齐（见备注）</t>
        </is>
      </c>
      <c r="T870" t="inlineStr">
        <is>
          <t>A-215</t>
        </is>
      </c>
      <c r="U870" t="inlineStr"/>
      <c r="V870" t="inlineStr">
        <is>
          <t>A</t>
        </is>
      </c>
    </row>
    <row r="871">
      <c r="A871" t="inlineStr">
        <is>
          <t>Centerprise International Limited</t>
        </is>
      </c>
      <c r="B871" t="inlineStr">
        <is>
          <t>英国</t>
        </is>
      </c>
      <c r="C871" t="inlineStr">
        <is>
          <t>Basingstoke</t>
        </is>
      </c>
      <c r="D871" t="inlineStr"/>
      <c r="E871" t="inlineStr">
        <is>
          <t>集成商/代理（Allied Telesis）</t>
        </is>
      </c>
      <c r="F871" t="inlineStr">
        <is>
          <t>Allied Telesis（Marvell Prestera 接入层）</t>
        </is>
      </c>
      <c r="G871" t="inlineStr">
        <is>
          <t>否</t>
        </is>
      </c>
      <c r="H871" t="inlineStr">
        <is>
          <t>Marvell Prestera 接入层切入</t>
        </is>
      </c>
      <c r="I871" t="inlineStr">
        <is>
          <t>LT-S8328XGP-4XS24GT-S</t>
        </is>
      </c>
      <c r="J871" t="inlineStr">
        <is>
          <t>+44 1256 378000</t>
        </is>
      </c>
      <c r="K871" t="inlineStr">
        <is>
          <t>★★★</t>
        </is>
      </c>
      <c r="L871" t="inlineStr">
        <is>
          <t>未触达</t>
        </is>
      </c>
      <c r="M871" t="inlineStr">
        <is>
          <t>Allied Telesis 英国代理名录</t>
        </is>
      </c>
      <c r="N871" t="inlineStr"/>
      <c r="O871" t="inlineStr"/>
      <c r="P871" t="inlineStr"/>
      <c r="Q8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1" t="inlineStr">
        <is>
          <t>A</t>
        </is>
      </c>
      <c r="S871" t="inlineStr">
        <is>
          <t>【人工定级】A —— 自动规则已跳过；信息待人工补齐（见备注）</t>
        </is>
      </c>
      <c r="T871" t="inlineStr">
        <is>
          <t>A-216</t>
        </is>
      </c>
      <c r="U871" t="inlineStr"/>
      <c r="V871" t="inlineStr">
        <is>
          <t>A</t>
        </is>
      </c>
    </row>
    <row r="872">
      <c r="A872" t="inlineStr">
        <is>
          <t>Cisilion Ltd</t>
        </is>
      </c>
      <c r="B872" t="inlineStr">
        <is>
          <t>英国</t>
        </is>
      </c>
      <c r="C872" t="inlineStr">
        <is>
          <t>London</t>
        </is>
      </c>
      <c r="D872" t="inlineStr"/>
      <c r="E872" t="inlineStr">
        <is>
          <t>集成商/代理（Allied Telesis）</t>
        </is>
      </c>
      <c r="F872" t="inlineStr">
        <is>
          <t>Allied Telesis（Marvell Prestera 接入层）</t>
        </is>
      </c>
      <c r="G872" t="inlineStr">
        <is>
          <t>否</t>
        </is>
      </c>
      <c r="H872" t="inlineStr">
        <is>
          <t>Marvell Prestera 接入层切入</t>
        </is>
      </c>
      <c r="I872" t="inlineStr">
        <is>
          <t>LT-S8328XGP-4XS24GT-S</t>
        </is>
      </c>
      <c r="J872" t="inlineStr">
        <is>
          <t>01372 20 1100</t>
        </is>
      </c>
      <c r="K872" t="inlineStr">
        <is>
          <t>★★★</t>
        </is>
      </c>
      <c r="L872" t="inlineStr">
        <is>
          <t>未触达</t>
        </is>
      </c>
      <c r="M872" t="inlineStr">
        <is>
          <t>Allied Telesis 英国代理名录</t>
        </is>
      </c>
      <c r="N872" t="inlineStr"/>
      <c r="O872" t="inlineStr"/>
      <c r="P872" t="inlineStr"/>
      <c r="Q8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2" t="inlineStr">
        <is>
          <t>A</t>
        </is>
      </c>
      <c r="S872" t="inlineStr">
        <is>
          <t>【人工定级】A —— 自动规则已跳过；信息待人工补齐（见备注）</t>
        </is>
      </c>
      <c r="T872" t="inlineStr">
        <is>
          <t>A-217</t>
        </is>
      </c>
      <c r="U872" t="inlineStr"/>
      <c r="V872" t="inlineStr">
        <is>
          <t>A</t>
        </is>
      </c>
    </row>
    <row r="873">
      <c r="A873" t="inlineStr">
        <is>
          <t>DACC Europe Ltd</t>
        </is>
      </c>
      <c r="B873" t="inlineStr">
        <is>
          <t>英国</t>
        </is>
      </c>
      <c r="C873" t="inlineStr">
        <is>
          <t>London</t>
        </is>
      </c>
      <c r="D873" t="inlineStr"/>
      <c r="E873" t="inlineStr">
        <is>
          <t>集成商/代理（Allied Telesis）</t>
        </is>
      </c>
      <c r="F873" t="inlineStr">
        <is>
          <t>Allied Telesis（Marvell Prestera 接入层）</t>
        </is>
      </c>
      <c r="G873" t="inlineStr">
        <is>
          <t>否</t>
        </is>
      </c>
      <c r="H873" t="inlineStr">
        <is>
          <t>Marvell Prestera 接入层切入</t>
        </is>
      </c>
      <c r="I873" t="inlineStr">
        <is>
          <t>LT-S8328XGP-4XS24GT-S</t>
        </is>
      </c>
      <c r="J873" t="inlineStr">
        <is>
          <t>+44 (0) 207 538 8701</t>
        </is>
      </c>
      <c r="K873" t="inlineStr">
        <is>
          <t>★★★</t>
        </is>
      </c>
      <c r="L873" t="inlineStr">
        <is>
          <t>未触达</t>
        </is>
      </c>
      <c r="M873" t="inlineStr">
        <is>
          <t>Allied Telesis 英国代理名录</t>
        </is>
      </c>
      <c r="N873" t="inlineStr"/>
      <c r="O873" t="inlineStr"/>
      <c r="P873" t="inlineStr"/>
      <c r="Q8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3" t="inlineStr">
        <is>
          <t>A</t>
        </is>
      </c>
      <c r="S873" t="inlineStr">
        <is>
          <t>【人工定级】A —— 自动规则已跳过；信息待人工补齐（见备注）</t>
        </is>
      </c>
      <c r="T873" t="inlineStr">
        <is>
          <t>A-218</t>
        </is>
      </c>
      <c r="U873" t="inlineStr"/>
      <c r="V873" t="inlineStr">
        <is>
          <t>A</t>
        </is>
      </c>
    </row>
    <row r="874">
      <c r="A874" t="inlineStr">
        <is>
          <t>Electracom/Trusol</t>
        </is>
      </c>
      <c r="B874" t="inlineStr">
        <is>
          <t>英国</t>
        </is>
      </c>
      <c r="C874" t="inlineStr">
        <is>
          <t>Feltham</t>
        </is>
      </c>
      <c r="D874" t="inlineStr"/>
      <c r="E874" t="inlineStr">
        <is>
          <t>集成商/代理（Allied Telesis）</t>
        </is>
      </c>
      <c r="F874" t="inlineStr">
        <is>
          <t>Allied Telesis（Marvell Prestera 接入层）</t>
        </is>
      </c>
      <c r="G874" t="inlineStr">
        <is>
          <t>否</t>
        </is>
      </c>
      <c r="H874" t="inlineStr">
        <is>
          <t>Marvell Prestera 接入层切入</t>
        </is>
      </c>
      <c r="I874" t="inlineStr">
        <is>
          <t>LT-S8328XGP-4XS24GT-S</t>
        </is>
      </c>
      <c r="J874" t="inlineStr">
        <is>
          <t>+44 345 612 1222</t>
        </is>
      </c>
      <c r="K874" t="inlineStr">
        <is>
          <t>★★★</t>
        </is>
      </c>
      <c r="L874" t="inlineStr">
        <is>
          <t>未触达</t>
        </is>
      </c>
      <c r="M874" t="inlineStr">
        <is>
          <t>Allied Telesis 英国代理名录</t>
        </is>
      </c>
      <c r="N874" t="inlineStr"/>
      <c r="O874" t="inlineStr"/>
      <c r="P874" t="inlineStr"/>
      <c r="Q8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4" t="inlineStr">
        <is>
          <t>A</t>
        </is>
      </c>
      <c r="S874" t="inlineStr">
        <is>
          <t>【人工定级】A —— 自动规则已跳过；信息待人工补齐（见备注）</t>
        </is>
      </c>
      <c r="T874" t="inlineStr">
        <is>
          <t>A-219</t>
        </is>
      </c>
      <c r="U874" t="inlineStr"/>
      <c r="V874" t="inlineStr">
        <is>
          <t>A</t>
        </is>
      </c>
    </row>
    <row r="875">
      <c r="A875" t="inlineStr">
        <is>
          <t>Esotec Ltd</t>
        </is>
      </c>
      <c r="B875" t="inlineStr">
        <is>
          <t>英国</t>
        </is>
      </c>
      <c r="C875" t="inlineStr">
        <is>
          <t>Didcot</t>
        </is>
      </c>
      <c r="D875" t="inlineStr"/>
      <c r="E875" t="inlineStr">
        <is>
          <t>集成商/代理（Allied Telesis）</t>
        </is>
      </c>
      <c r="F875" t="inlineStr">
        <is>
          <t>Allied Telesis（Marvell Prestera 接入层）</t>
        </is>
      </c>
      <c r="G875" t="inlineStr">
        <is>
          <t>否</t>
        </is>
      </c>
      <c r="H875" t="inlineStr">
        <is>
          <t>Marvell Prestera 接入层切入</t>
        </is>
      </c>
      <c r="I875" t="inlineStr">
        <is>
          <t>LT-S8328XGP-4XS24GT-S</t>
        </is>
      </c>
      <c r="J875" t="inlineStr">
        <is>
          <t>+44 8452 301 041</t>
        </is>
      </c>
      <c r="K875" t="inlineStr">
        <is>
          <t>★★★</t>
        </is>
      </c>
      <c r="L875" t="inlineStr">
        <is>
          <t>未触达</t>
        </is>
      </c>
      <c r="M875" t="inlineStr">
        <is>
          <t>Allied Telesis 英国代理名录</t>
        </is>
      </c>
      <c r="N875" t="inlineStr"/>
      <c r="O875" t="inlineStr"/>
      <c r="P875" t="inlineStr"/>
      <c r="Q8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5" t="inlineStr">
        <is>
          <t>A</t>
        </is>
      </c>
      <c r="S875" t="inlineStr">
        <is>
          <t>【人工定级】A —— 自动规则已跳过；信息待人工补齐（见备注）</t>
        </is>
      </c>
      <c r="T875" t="inlineStr">
        <is>
          <t>A-220</t>
        </is>
      </c>
      <c r="U875" t="inlineStr"/>
      <c r="V875" t="inlineStr">
        <is>
          <t>A</t>
        </is>
      </c>
    </row>
    <row r="876">
      <c r="A876" t="inlineStr">
        <is>
          <t>European Electronique</t>
        </is>
      </c>
      <c r="B876" t="inlineStr">
        <is>
          <t>英国</t>
        </is>
      </c>
      <c r="C876" t="inlineStr">
        <is>
          <t>Oxford</t>
        </is>
      </c>
      <c r="D876" t="inlineStr"/>
      <c r="E876" t="inlineStr">
        <is>
          <t>集成商/代理（Allied Telesis）</t>
        </is>
      </c>
      <c r="F876" t="inlineStr">
        <is>
          <t>Allied Telesis（Marvell Prestera 接入层）</t>
        </is>
      </c>
      <c r="G876" t="inlineStr">
        <is>
          <t>否</t>
        </is>
      </c>
      <c r="H876" t="inlineStr">
        <is>
          <t>Marvell Prestera 接入层切入</t>
        </is>
      </c>
      <c r="I876" t="inlineStr">
        <is>
          <t>LT-S8328XGP-4XS24GT-S</t>
        </is>
      </c>
      <c r="J876" t="inlineStr">
        <is>
          <t>+44 1865 883300</t>
        </is>
      </c>
      <c r="K876" t="inlineStr">
        <is>
          <t>★★★</t>
        </is>
      </c>
      <c r="L876" t="inlineStr">
        <is>
          <t>未触达</t>
        </is>
      </c>
      <c r="M876" t="inlineStr">
        <is>
          <t>Allied Telesis 英国代理名录</t>
        </is>
      </c>
      <c r="N876" t="inlineStr"/>
      <c r="O876" t="inlineStr"/>
      <c r="P876" t="inlineStr"/>
      <c r="Q8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6" t="inlineStr">
        <is>
          <t>A</t>
        </is>
      </c>
      <c r="S876" t="inlineStr">
        <is>
          <t>【人工定级】A —— 自动规则已跳过；信息待人工补齐（见备注）</t>
        </is>
      </c>
      <c r="T876" t="inlineStr">
        <is>
          <t>A-221</t>
        </is>
      </c>
      <c r="U876" t="inlineStr"/>
      <c r="V876" t="inlineStr">
        <is>
          <t>A</t>
        </is>
      </c>
    </row>
    <row r="877">
      <c r="A877" t="inlineStr">
        <is>
          <t>Quadratek</t>
        </is>
      </c>
      <c r="B877" t="inlineStr">
        <is>
          <t>英国</t>
        </is>
      </c>
      <c r="C877" t="inlineStr">
        <is>
          <t>Hartley Wintney</t>
        </is>
      </c>
      <c r="D877" t="inlineStr"/>
      <c r="E877" t="inlineStr">
        <is>
          <t>集成商/代理（Allied Telesis）</t>
        </is>
      </c>
      <c r="F877" t="inlineStr">
        <is>
          <t>Allied Telesis（Marvell Prestera 接入层）</t>
        </is>
      </c>
      <c r="G877" t="inlineStr">
        <is>
          <t>否</t>
        </is>
      </c>
      <c r="H877" t="inlineStr">
        <is>
          <t>Marvell Prestera 接入层切入</t>
        </is>
      </c>
      <c r="I877" t="inlineStr">
        <is>
          <t>LT-S8328XGP-4XS24GT-S</t>
        </is>
      </c>
      <c r="J877" t="inlineStr">
        <is>
          <t>+44 8450 740530</t>
        </is>
      </c>
      <c r="K877" t="inlineStr">
        <is>
          <t>★★★</t>
        </is>
      </c>
      <c r="L877" t="inlineStr">
        <is>
          <t>未触达</t>
        </is>
      </c>
      <c r="M877" t="inlineStr">
        <is>
          <t>Allied Telesis 英国代理名录</t>
        </is>
      </c>
      <c r="N877" t="inlineStr"/>
      <c r="O877" t="inlineStr"/>
      <c r="P877" t="inlineStr"/>
      <c r="Q8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7" t="inlineStr">
        <is>
          <t>A</t>
        </is>
      </c>
      <c r="S877" t="inlineStr">
        <is>
          <t>【人工定级】A —— 自动规则已跳过；信息待人工补齐（见备注）</t>
        </is>
      </c>
      <c r="T877" t="inlineStr">
        <is>
          <t>A-222</t>
        </is>
      </c>
      <c r="U877" t="inlineStr"/>
      <c r="V877" t="inlineStr">
        <is>
          <t>A</t>
        </is>
      </c>
    </row>
    <row r="878">
      <c r="A878" t="inlineStr">
        <is>
          <t>Roadtech Computer Systems Ltd</t>
        </is>
      </c>
      <c r="B878" t="inlineStr">
        <is>
          <t>英国</t>
        </is>
      </c>
      <c r="C878" t="inlineStr">
        <is>
          <t>Shenley</t>
        </is>
      </c>
      <c r="D878" t="inlineStr"/>
      <c r="E878" t="inlineStr">
        <is>
          <t>集成商/代理（Allied Telesis）</t>
        </is>
      </c>
      <c r="F878" t="inlineStr">
        <is>
          <t>Allied Telesis（Marvell Prestera 接入层）</t>
        </is>
      </c>
      <c r="G878" t="inlineStr">
        <is>
          <t>否</t>
        </is>
      </c>
      <c r="H878" t="inlineStr">
        <is>
          <t>Marvell Prestera 接入层切入</t>
        </is>
      </c>
      <c r="I878" t="inlineStr">
        <is>
          <t>LT-S8328XGP-4XS24GT-S</t>
        </is>
      </c>
      <c r="J878" t="inlineStr">
        <is>
          <t>+44 (0) 1923 460000</t>
        </is>
      </c>
      <c r="K878" t="inlineStr">
        <is>
          <t>★★★</t>
        </is>
      </c>
      <c r="L878" t="inlineStr">
        <is>
          <t>未触达</t>
        </is>
      </c>
      <c r="M878" t="inlineStr">
        <is>
          <t>Allied Telesis 英国代理名录</t>
        </is>
      </c>
      <c r="N878" t="inlineStr"/>
      <c r="O878" t="inlineStr"/>
      <c r="P878" t="inlineStr"/>
      <c r="Q8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8" t="inlineStr">
        <is>
          <t>A</t>
        </is>
      </c>
      <c r="S878" t="inlineStr">
        <is>
          <t>【人工定级】A —— 自动规则已跳过；信息待人工补齐（见备注）</t>
        </is>
      </c>
      <c r="T878" t="inlineStr">
        <is>
          <t>A-223</t>
        </is>
      </c>
      <c r="U878" t="inlineStr"/>
      <c r="V878" t="inlineStr">
        <is>
          <t>A</t>
        </is>
      </c>
    </row>
    <row r="879">
      <c r="A879" t="inlineStr">
        <is>
          <t>RWL Advanced Solutions</t>
        </is>
      </c>
      <c r="B879" t="inlineStr">
        <is>
          <t>英国</t>
        </is>
      </c>
      <c r="C879" t="inlineStr">
        <is>
          <t>London</t>
        </is>
      </c>
      <c r="D879" t="inlineStr"/>
      <c r="E879" t="inlineStr">
        <is>
          <t>集成商/代理（Allied Telesis）</t>
        </is>
      </c>
      <c r="F879" t="inlineStr">
        <is>
          <t>Allied Telesis（Marvell Prestera 接入层）</t>
        </is>
      </c>
      <c r="G879" t="inlineStr">
        <is>
          <t>否</t>
        </is>
      </c>
      <c r="H879" t="inlineStr">
        <is>
          <t>Marvell Prestera 接入层切入</t>
        </is>
      </c>
      <c r="I879" t="inlineStr">
        <is>
          <t>LT-S8328XGP-4XS24GT-S</t>
        </is>
      </c>
      <c r="J879" t="inlineStr">
        <is>
          <t>+44 (0) 208 058 3178</t>
        </is>
      </c>
      <c r="K879" t="inlineStr">
        <is>
          <t>★★★</t>
        </is>
      </c>
      <c r="L879" t="inlineStr">
        <is>
          <t>未触达</t>
        </is>
      </c>
      <c r="M879" t="inlineStr">
        <is>
          <t>Allied Telesis 英国代理名录</t>
        </is>
      </c>
      <c r="N879" t="inlineStr"/>
      <c r="O879" t="inlineStr"/>
      <c r="P879" t="inlineStr"/>
      <c r="Q8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79" t="inlineStr">
        <is>
          <t>A</t>
        </is>
      </c>
      <c r="S879" t="inlineStr">
        <is>
          <t>【人工定级】A —— 自动规则已跳过；信息待人工补齐（见备注）</t>
        </is>
      </c>
      <c r="T879" t="inlineStr">
        <is>
          <t>A-224</t>
        </is>
      </c>
      <c r="U879" t="inlineStr"/>
      <c r="V879" t="inlineStr">
        <is>
          <t>A</t>
        </is>
      </c>
    </row>
    <row r="880">
      <c r="A880" t="inlineStr">
        <is>
          <t>Senseco Systems Ltd</t>
        </is>
      </c>
      <c r="B880" t="inlineStr">
        <is>
          <t>英国</t>
        </is>
      </c>
      <c r="C880" t="inlineStr">
        <is>
          <t>Gillingham</t>
        </is>
      </c>
      <c r="D880" t="inlineStr"/>
      <c r="E880" t="inlineStr">
        <is>
          <t>集成商/代理（Allied Telesis）</t>
        </is>
      </c>
      <c r="F880" t="inlineStr">
        <is>
          <t>Allied Telesis（Marvell Prestera 接入层）</t>
        </is>
      </c>
      <c r="G880" t="inlineStr">
        <is>
          <t>否</t>
        </is>
      </c>
      <c r="H880" t="inlineStr">
        <is>
          <t>Marvell Prestera 接入层切入</t>
        </is>
      </c>
      <c r="I880" t="inlineStr">
        <is>
          <t>LT-S8328XGP-4XS24GT-S</t>
        </is>
      </c>
      <c r="J880" t="inlineStr">
        <is>
          <t>+44 (0) 845 644 2888</t>
        </is>
      </c>
      <c r="K880" t="inlineStr">
        <is>
          <t>★★★</t>
        </is>
      </c>
      <c r="L880" t="inlineStr">
        <is>
          <t>未触达</t>
        </is>
      </c>
      <c r="M880" t="inlineStr">
        <is>
          <t>Allied Telesis 英国代理名录</t>
        </is>
      </c>
      <c r="N880" t="inlineStr"/>
      <c r="O880" t="inlineStr"/>
      <c r="P880" t="inlineStr"/>
      <c r="Q8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0" t="inlineStr">
        <is>
          <t>A</t>
        </is>
      </c>
      <c r="S880" t="inlineStr">
        <is>
          <t>【人工定级】A —— 自动规则已跳过；信息待人工补齐（见备注）</t>
        </is>
      </c>
      <c r="T880" t="inlineStr">
        <is>
          <t>A-225</t>
        </is>
      </c>
      <c r="U880" t="inlineStr"/>
      <c r="V880" t="inlineStr">
        <is>
          <t>A</t>
        </is>
      </c>
    </row>
    <row r="881">
      <c r="A881" t="inlineStr">
        <is>
          <t>Universal Networks</t>
        </is>
      </c>
      <c r="B881" t="inlineStr">
        <is>
          <t>英国</t>
        </is>
      </c>
      <c r="C881" t="inlineStr">
        <is>
          <t>Hungerford</t>
        </is>
      </c>
      <c r="D881" t="inlineStr"/>
      <c r="E881" t="inlineStr">
        <is>
          <t>集成商/代理（Allied Telesis）</t>
        </is>
      </c>
      <c r="F881" t="inlineStr">
        <is>
          <t>Allied Telesis（Marvell Prestera 接入层）</t>
        </is>
      </c>
      <c r="G881" t="inlineStr">
        <is>
          <t>否</t>
        </is>
      </c>
      <c r="H881" t="inlineStr">
        <is>
          <t>Marvell Prestera 接入层切入</t>
        </is>
      </c>
      <c r="I881" t="inlineStr">
        <is>
          <t>LT-S8328XGP-4XS24GT-S</t>
        </is>
      </c>
      <c r="J881" t="inlineStr">
        <is>
          <t>+44 844 846 0440</t>
        </is>
      </c>
      <c r="K881" t="inlineStr">
        <is>
          <t>★★★</t>
        </is>
      </c>
      <c r="L881" t="inlineStr">
        <is>
          <t>未触达</t>
        </is>
      </c>
      <c r="M881" t="inlineStr">
        <is>
          <t>Allied Telesis 英国代理名录</t>
        </is>
      </c>
      <c r="N881" t="inlineStr"/>
      <c r="O881" t="inlineStr"/>
      <c r="P881" t="inlineStr"/>
      <c r="Q8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881" t="inlineStr">
        <is>
          <t>A</t>
        </is>
      </c>
      <c r="S881" t="inlineStr">
        <is>
          <t>【人工定级】A —— 自动规则已跳过；信息待人工补齐（见备注）</t>
        </is>
      </c>
      <c r="T881" t="inlineStr">
        <is>
          <t>A-226</t>
        </is>
      </c>
      <c r="U881" t="inlineStr"/>
      <c r="V881" t="inlineStr">
        <is>
          <t>A</t>
        </is>
      </c>
    </row>
    <row r="882">
      <c r="A882" t="inlineStr">
        <is>
          <t>5G IT Service GmbH</t>
        </is>
      </c>
      <c r="B882" t="inlineStr">
        <is>
          <t>德国</t>
        </is>
      </c>
      <c r="C882" t="inlineStr">
        <is>
          <t>Reken</t>
        </is>
      </c>
      <c r="D882" t="inlineStr"/>
      <c r="E882" t="inlineStr">
        <is>
          <t>集成商/代理（Allied Telesis）</t>
        </is>
      </c>
      <c r="F882" t="inlineStr">
        <is>
          <t>Allied Telesis（Marvell Prestera 接入层）</t>
        </is>
      </c>
      <c r="G882" t="inlineStr">
        <is>
          <t>否</t>
        </is>
      </c>
      <c r="H882" t="inlineStr">
        <is>
          <t>Marvell Prestera 接入层切入</t>
        </is>
      </c>
      <c r="I882" t="inlineStr">
        <is>
          <t>LT-S8328XGP-4XS24GT-S</t>
        </is>
      </c>
      <c r="J882" t="inlineStr">
        <is>
          <t>见 alliedtelesis.com 伙伴页</t>
        </is>
      </c>
      <c r="K882" t="inlineStr">
        <is>
          <t>★★★</t>
        </is>
      </c>
      <c r="L882" t="inlineStr">
        <is>
          <t>未触达</t>
        </is>
      </c>
      <c r="M882" t="inlineStr">
        <is>
          <t>Allied Telesis 官方伙伴定位器（?country=germany）</t>
        </is>
      </c>
      <c r="N882" t="inlineStr"/>
      <c r="O882" t="inlineStr"/>
      <c r="P882" t="inlineStr"/>
      <c r="Q8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82" t="inlineStr">
        <is>
          <t>A</t>
        </is>
      </c>
      <c r="S882" t="inlineStr">
        <is>
          <t>【人工定级】A —— 自动规则已跳过；信息待人工补齐（见备注）</t>
        </is>
      </c>
      <c r="T882" t="inlineStr">
        <is>
          <t>A-227</t>
        </is>
      </c>
      <c r="U882" t="inlineStr"/>
      <c r="V882" t="inlineStr">
        <is>
          <t>A</t>
        </is>
      </c>
    </row>
    <row r="883">
      <c r="A883" t="inlineStr">
        <is>
          <t>ACP IT Solutions GmbH</t>
        </is>
      </c>
      <c r="B883" t="inlineStr">
        <is>
          <t>德国</t>
        </is>
      </c>
      <c r="C883" t="inlineStr">
        <is>
          <t>Halle</t>
        </is>
      </c>
      <c r="D883" t="inlineStr"/>
      <c r="E883" t="inlineStr">
        <is>
          <t>集成商/代理（Allied Telesis）</t>
        </is>
      </c>
      <c r="F883" t="inlineStr">
        <is>
          <t>Allied Telesis（Marvell Prestera 接入层）</t>
        </is>
      </c>
      <c r="G883" t="inlineStr">
        <is>
          <t>否</t>
        </is>
      </c>
      <c r="H883" t="inlineStr">
        <is>
          <t>Marvell Prestera 接入层切入</t>
        </is>
      </c>
      <c r="I883" t="inlineStr">
        <is>
          <t>LT-S8328XGP-4XS24GT-S</t>
        </is>
      </c>
      <c r="J883" t="inlineStr">
        <is>
          <t>见 alliedtelesis.com 伙伴页</t>
        </is>
      </c>
      <c r="K883" t="inlineStr">
        <is>
          <t>★★★</t>
        </is>
      </c>
      <c r="L883" t="inlineStr">
        <is>
          <t>未触达</t>
        </is>
      </c>
      <c r="M883" t="inlineStr">
        <is>
          <t>Allied Telesis 官方伙伴定位器（?country=germany）</t>
        </is>
      </c>
      <c r="N883" t="inlineStr"/>
      <c r="O883" t="inlineStr"/>
      <c r="P883" t="inlineStr"/>
      <c r="Q8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3" t="inlineStr">
        <is>
          <t>A</t>
        </is>
      </c>
      <c r="S883" t="inlineStr">
        <is>
          <t>【人工定级】A —— 自动规则已跳过；信息待人工补齐（见备注）</t>
        </is>
      </c>
      <c r="T883" t="inlineStr">
        <is>
          <t>A-228</t>
        </is>
      </c>
      <c r="U883" t="inlineStr"/>
      <c r="V883" t="inlineStr">
        <is>
          <t>A</t>
        </is>
      </c>
    </row>
    <row r="884">
      <c r="A884" t="inlineStr">
        <is>
          <t>Acteos GmbH &amp; Co. KG</t>
        </is>
      </c>
      <c r="B884" t="inlineStr">
        <is>
          <t>德国</t>
        </is>
      </c>
      <c r="C884" t="inlineStr">
        <is>
          <t>Gilching</t>
        </is>
      </c>
      <c r="D884" t="inlineStr"/>
      <c r="E884" t="inlineStr">
        <is>
          <t>集成商/代理（Allied Telesis）</t>
        </is>
      </c>
      <c r="F884" t="inlineStr">
        <is>
          <t>Allied Telesis（Marvell Prestera 接入层）</t>
        </is>
      </c>
      <c r="G884" t="inlineStr">
        <is>
          <t>否</t>
        </is>
      </c>
      <c r="H884" t="inlineStr">
        <is>
          <t>Marvell Prestera 接入层切入</t>
        </is>
      </c>
      <c r="I884" t="inlineStr">
        <is>
          <t>LT-S8328XGP-4XS24GT-S</t>
        </is>
      </c>
      <c r="J884" t="inlineStr">
        <is>
          <t>见 alliedtelesis.com 伙伴页</t>
        </is>
      </c>
      <c r="K884" t="inlineStr">
        <is>
          <t>★★★</t>
        </is>
      </c>
      <c r="L884" t="inlineStr">
        <is>
          <t>未触达</t>
        </is>
      </c>
      <c r="M884" t="inlineStr">
        <is>
          <t>Allied Telesis 官方伙伴定位器（?country=germany）</t>
        </is>
      </c>
      <c r="N884" t="inlineStr"/>
      <c r="O884" t="inlineStr"/>
      <c r="P884" t="inlineStr"/>
      <c r="Q8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4" t="inlineStr">
        <is>
          <t>A</t>
        </is>
      </c>
      <c r="S884" t="inlineStr">
        <is>
          <t>【人工定级】A —— 自动规则已跳过；信息待人工补齐（见备注）</t>
        </is>
      </c>
      <c r="T884" t="inlineStr">
        <is>
          <t>A-229</t>
        </is>
      </c>
      <c r="U884" t="inlineStr"/>
      <c r="V884" t="inlineStr">
        <is>
          <t>A</t>
        </is>
      </c>
    </row>
    <row r="885">
      <c r="A885" t="inlineStr">
        <is>
          <t>Alarm- und Sicherheitstechnik B.W. GmbH Schwerin</t>
        </is>
      </c>
      <c r="B885" t="inlineStr">
        <is>
          <t>德国</t>
        </is>
      </c>
      <c r="C885" t="inlineStr">
        <is>
          <t>Schwerin</t>
        </is>
      </c>
      <c r="D885" t="inlineStr"/>
      <c r="E885" t="inlineStr">
        <is>
          <t>集成商/代理（Allied Telesis）</t>
        </is>
      </c>
      <c r="F885" t="inlineStr">
        <is>
          <t>Allied Telesis（Marvell Prestera 接入层）</t>
        </is>
      </c>
      <c r="G885" t="inlineStr">
        <is>
          <t>否</t>
        </is>
      </c>
      <c r="H885" t="inlineStr">
        <is>
          <t>Marvell Prestera 接入层切入</t>
        </is>
      </c>
      <c r="I885" t="inlineStr">
        <is>
          <t>LT-S8328XGP-4XS24GT-S</t>
        </is>
      </c>
      <c r="J885" t="inlineStr">
        <is>
          <t>见 alliedtelesis.com 伙伴页</t>
        </is>
      </c>
      <c r="K885" t="inlineStr">
        <is>
          <t>★★★</t>
        </is>
      </c>
      <c r="L885" t="inlineStr">
        <is>
          <t>未触达</t>
        </is>
      </c>
      <c r="M885" t="inlineStr">
        <is>
          <t>Allied Telesis 官方伙伴定位器（?country=germany）</t>
        </is>
      </c>
      <c r="N885" t="inlineStr"/>
      <c r="O885" t="inlineStr"/>
      <c r="P885" t="inlineStr"/>
      <c r="Q8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5" t="inlineStr">
        <is>
          <t>A</t>
        </is>
      </c>
      <c r="S885" t="inlineStr">
        <is>
          <t>【人工定级】A —— 自动规则已跳过；信息待人工补齐（见备注）</t>
        </is>
      </c>
      <c r="T885" t="inlineStr">
        <is>
          <t>A-230</t>
        </is>
      </c>
      <c r="U885" t="inlineStr"/>
      <c r="V885" t="inlineStr">
        <is>
          <t>A</t>
        </is>
      </c>
    </row>
    <row r="886">
      <c r="A886" t="inlineStr">
        <is>
          <t>Alco Vertrieb Datentechnischer Geräte GmbH</t>
        </is>
      </c>
      <c r="B886" t="inlineStr">
        <is>
          <t>德国</t>
        </is>
      </c>
      <c r="C886" t="inlineStr">
        <is>
          <t>Idstein</t>
        </is>
      </c>
      <c r="D886" t="inlineStr"/>
      <c r="E886" t="inlineStr">
        <is>
          <t>集成商/代理（Allied Telesis）</t>
        </is>
      </c>
      <c r="F886" t="inlineStr">
        <is>
          <t>Allied Telesis（Marvell Prestera 接入层）</t>
        </is>
      </c>
      <c r="G886" t="inlineStr">
        <is>
          <t>否</t>
        </is>
      </c>
      <c r="H886" t="inlineStr">
        <is>
          <t>Marvell Prestera 接入层切入</t>
        </is>
      </c>
      <c r="I886" t="inlineStr">
        <is>
          <t>LT-S8328XGP-4XS24GT-S</t>
        </is>
      </c>
      <c r="J886" t="inlineStr">
        <is>
          <t>见 alliedtelesis.com 伙伴页</t>
        </is>
      </c>
      <c r="K886" t="inlineStr">
        <is>
          <t>★★★</t>
        </is>
      </c>
      <c r="L886" t="inlineStr">
        <is>
          <t>未触达</t>
        </is>
      </c>
      <c r="M886" t="inlineStr">
        <is>
          <t>Allied Telesis 官方伙伴定位器（?country=germany）</t>
        </is>
      </c>
      <c r="N886" t="inlineStr"/>
      <c r="O886" t="inlineStr"/>
      <c r="P886" t="inlineStr"/>
      <c r="Q8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6" t="inlineStr">
        <is>
          <t>A</t>
        </is>
      </c>
      <c r="S886" t="inlineStr">
        <is>
          <t>【人工定级】A —— 自动规则已跳过；信息待人工补齐（见备注）</t>
        </is>
      </c>
      <c r="T886" t="inlineStr">
        <is>
          <t>A-231</t>
        </is>
      </c>
      <c r="U886" t="inlineStr"/>
      <c r="V886" t="inlineStr">
        <is>
          <t>A</t>
        </is>
      </c>
    </row>
    <row r="887">
      <c r="A887" t="inlineStr">
        <is>
          <t>AlphaCron Datensysteme</t>
        </is>
      </c>
      <c r="B887" t="inlineStr">
        <is>
          <t>德国</t>
        </is>
      </c>
      <c r="C887" t="inlineStr">
        <is>
          <t>Apfelstädt</t>
        </is>
      </c>
      <c r="D887" t="inlineStr"/>
      <c r="E887" t="inlineStr">
        <is>
          <t>集成商/代理（Allied Telesis）</t>
        </is>
      </c>
      <c r="F887" t="inlineStr">
        <is>
          <t>Allied Telesis（Marvell Prestera 接入层）</t>
        </is>
      </c>
      <c r="G887" t="inlineStr">
        <is>
          <t>否</t>
        </is>
      </c>
      <c r="H887" t="inlineStr">
        <is>
          <t>Marvell Prestera 接入层切入</t>
        </is>
      </c>
      <c r="I887" t="inlineStr">
        <is>
          <t>LT-S8328XGP-4XS24GT-S</t>
        </is>
      </c>
      <c r="J887" t="inlineStr">
        <is>
          <t>见 alliedtelesis.com 伙伴页</t>
        </is>
      </c>
      <c r="K887" t="inlineStr">
        <is>
          <t>★★★</t>
        </is>
      </c>
      <c r="L887" t="inlineStr">
        <is>
          <t>未触达</t>
        </is>
      </c>
      <c r="M887" t="inlineStr">
        <is>
          <t>Allied Telesis 官方伙伴定位器（?country=germany）</t>
        </is>
      </c>
      <c r="N887" t="inlineStr"/>
      <c r="O887" t="inlineStr"/>
      <c r="P887" t="inlineStr"/>
      <c r="Q8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7" t="inlineStr">
        <is>
          <t>A</t>
        </is>
      </c>
      <c r="S887" t="inlineStr">
        <is>
          <t>【人工定级】A —— 自动规则已跳过；信息待人工补齐（见备注）</t>
        </is>
      </c>
      <c r="T887" t="inlineStr">
        <is>
          <t>A-232</t>
        </is>
      </c>
      <c r="U887" t="inlineStr"/>
      <c r="V887" t="inlineStr">
        <is>
          <t>A</t>
        </is>
      </c>
    </row>
    <row r="888">
      <c r="A888" t="inlineStr">
        <is>
          <t>AMRO IT-Systeme GmbH</t>
        </is>
      </c>
      <c r="B888" t="inlineStr">
        <is>
          <t>德国</t>
        </is>
      </c>
      <c r="C888" t="inlineStr">
        <is>
          <t>Weißenburg in Bayern</t>
        </is>
      </c>
      <c r="D888" t="inlineStr"/>
      <c r="E888" t="inlineStr">
        <is>
          <t>集成商/代理（Allied Telesis）</t>
        </is>
      </c>
      <c r="F888" t="inlineStr">
        <is>
          <t>Allied Telesis（Marvell Prestera 接入层）</t>
        </is>
      </c>
      <c r="G888" t="inlineStr">
        <is>
          <t>否</t>
        </is>
      </c>
      <c r="H888" t="inlineStr">
        <is>
          <t>Marvell Prestera 接入层切入</t>
        </is>
      </c>
      <c r="I888" t="inlineStr">
        <is>
          <t>LT-S8328XGP-4XS24GT-S</t>
        </is>
      </c>
      <c r="J888" t="inlineStr">
        <is>
          <t>见 alliedtelesis.com 伙伴页</t>
        </is>
      </c>
      <c r="K888" t="inlineStr">
        <is>
          <t>★★★</t>
        </is>
      </c>
      <c r="L888" t="inlineStr">
        <is>
          <t>未触达</t>
        </is>
      </c>
      <c r="M888" t="inlineStr">
        <is>
          <t>Allied Telesis 官方伙伴定位器（?country=germany）</t>
        </is>
      </c>
      <c r="N888" t="inlineStr"/>
      <c r="O888" t="inlineStr"/>
      <c r="P888" t="inlineStr"/>
      <c r="Q8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8" t="inlineStr">
        <is>
          <t>A</t>
        </is>
      </c>
      <c r="S888" t="inlineStr">
        <is>
          <t>【人工定级】A —— 自动规则已跳过；信息待人工补齐（见备注）</t>
        </is>
      </c>
      <c r="T888" t="inlineStr">
        <is>
          <t>A-233</t>
        </is>
      </c>
      <c r="U888" t="inlineStr"/>
      <c r="V888" t="inlineStr">
        <is>
          <t>A</t>
        </is>
      </c>
    </row>
    <row r="889">
      <c r="A889" t="inlineStr">
        <is>
          <t>ARCHE Systeme GmbH</t>
        </is>
      </c>
      <c r="B889" t="inlineStr">
        <is>
          <t>德国</t>
        </is>
      </c>
      <c r="C889" t="inlineStr">
        <is>
          <t>Wilhelmshaven</t>
        </is>
      </c>
      <c r="D889" t="inlineStr"/>
      <c r="E889" t="inlineStr">
        <is>
          <t>集成商/代理（Allied Telesis）</t>
        </is>
      </c>
      <c r="F889" t="inlineStr">
        <is>
          <t>Allied Telesis（Marvell Prestera 接入层）</t>
        </is>
      </c>
      <c r="G889" t="inlineStr">
        <is>
          <t>否</t>
        </is>
      </c>
      <c r="H889" t="inlineStr">
        <is>
          <t>Marvell Prestera 接入层切入</t>
        </is>
      </c>
      <c r="I889" t="inlineStr">
        <is>
          <t>LT-S8328XGP-4XS24GT-S</t>
        </is>
      </c>
      <c r="J889" t="inlineStr">
        <is>
          <t>见 alliedtelesis.com 伙伴页</t>
        </is>
      </c>
      <c r="K889" t="inlineStr">
        <is>
          <t>★★★</t>
        </is>
      </c>
      <c r="L889" t="inlineStr">
        <is>
          <t>未触达</t>
        </is>
      </c>
      <c r="M889" t="inlineStr">
        <is>
          <t>Allied Telesis 官方伙伴定位器（?country=germany）</t>
        </is>
      </c>
      <c r="N889" t="inlineStr"/>
      <c r="O889" t="inlineStr"/>
      <c r="P889" t="inlineStr"/>
      <c r="Q8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89" t="inlineStr">
        <is>
          <t>A</t>
        </is>
      </c>
      <c r="S889" t="inlineStr">
        <is>
          <t>【人工定级】A —— 自动规则已跳过；信息待人工补齐（见备注）</t>
        </is>
      </c>
      <c r="T889" t="inlineStr">
        <is>
          <t>A-234</t>
        </is>
      </c>
      <c r="U889" t="inlineStr"/>
      <c r="V889" t="inlineStr">
        <is>
          <t>A</t>
        </is>
      </c>
    </row>
    <row r="890">
      <c r="A890" t="inlineStr">
        <is>
          <t>Bachert Datentechnik GmbH</t>
        </is>
      </c>
      <c r="B890" t="inlineStr">
        <is>
          <t>德国</t>
        </is>
      </c>
      <c r="C890" t="inlineStr">
        <is>
          <t>Wetzlar</t>
        </is>
      </c>
      <c r="D890" t="inlineStr"/>
      <c r="E890" t="inlineStr">
        <is>
          <t>集成商/代理（Allied Telesis）</t>
        </is>
      </c>
      <c r="F890" t="inlineStr">
        <is>
          <t>Allied Telesis（Marvell Prestera 接入层）</t>
        </is>
      </c>
      <c r="G890" t="inlineStr">
        <is>
          <t>否</t>
        </is>
      </c>
      <c r="H890" t="inlineStr">
        <is>
          <t>Marvell Prestera 接入层切入</t>
        </is>
      </c>
      <c r="I890" t="inlineStr">
        <is>
          <t>LT-S8328XGP-4XS24GT-S</t>
        </is>
      </c>
      <c r="J890" t="inlineStr">
        <is>
          <t>见 alliedtelesis.com 伙伴页</t>
        </is>
      </c>
      <c r="K890" t="inlineStr">
        <is>
          <t>★★★</t>
        </is>
      </c>
      <c r="L890" t="inlineStr">
        <is>
          <t>未触达</t>
        </is>
      </c>
      <c r="M890" t="inlineStr">
        <is>
          <t>Allied Telesis 官方伙伴定位器（?country=germany）</t>
        </is>
      </c>
      <c r="N890" t="inlineStr"/>
      <c r="O890" t="inlineStr"/>
      <c r="P890" t="inlineStr"/>
      <c r="Q8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0" t="inlineStr">
        <is>
          <t>A</t>
        </is>
      </c>
      <c r="S890" t="inlineStr">
        <is>
          <t>【人工定级】A —— 自动规则已跳过；信息待人工补齐（见备注）</t>
        </is>
      </c>
      <c r="T890" t="inlineStr">
        <is>
          <t>A-235</t>
        </is>
      </c>
      <c r="U890" t="inlineStr"/>
      <c r="V890" t="inlineStr">
        <is>
          <t>A</t>
        </is>
      </c>
    </row>
    <row r="891">
      <c r="A891" t="inlineStr">
        <is>
          <t>BAIEN GmbH</t>
        </is>
      </c>
      <c r="B891" t="inlineStr">
        <is>
          <t>德国</t>
        </is>
      </c>
      <c r="C891" t="inlineStr">
        <is>
          <t>Böhl-Iggelheim</t>
        </is>
      </c>
      <c r="D891" t="inlineStr"/>
      <c r="E891" t="inlineStr">
        <is>
          <t>集成商/代理（Allied Telesis）</t>
        </is>
      </c>
      <c r="F891" t="inlineStr">
        <is>
          <t>Allied Telesis（Marvell Prestera 接入层）</t>
        </is>
      </c>
      <c r="G891" t="inlineStr">
        <is>
          <t>否</t>
        </is>
      </c>
      <c r="H891" t="inlineStr">
        <is>
          <t>Marvell Prestera 接入层切入</t>
        </is>
      </c>
      <c r="I891" t="inlineStr">
        <is>
          <t>LT-S8328XGP-4XS24GT-S</t>
        </is>
      </c>
      <c r="J891" t="inlineStr">
        <is>
          <t>见 alliedtelesis.com 伙伴页</t>
        </is>
      </c>
      <c r="K891" t="inlineStr">
        <is>
          <t>★★★</t>
        </is>
      </c>
      <c r="L891" t="inlineStr">
        <is>
          <t>未触达</t>
        </is>
      </c>
      <c r="M891" t="inlineStr">
        <is>
          <t>Allied Telesis 官方伙伴定位器（?country=germany）</t>
        </is>
      </c>
      <c r="N891" t="inlineStr"/>
      <c r="O891" t="inlineStr"/>
      <c r="P891" t="inlineStr"/>
      <c r="Q8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1" t="inlineStr">
        <is>
          <t>A</t>
        </is>
      </c>
      <c r="S891" t="inlineStr">
        <is>
          <t>【人工定级】A —— 自动规则已跳过；信息待人工补齐（见备注）</t>
        </is>
      </c>
      <c r="T891" t="inlineStr">
        <is>
          <t>A-236</t>
        </is>
      </c>
      <c r="U891" t="inlineStr"/>
      <c r="V891" t="inlineStr">
        <is>
          <t>A</t>
        </is>
      </c>
    </row>
    <row r="892">
      <c r="A892" t="inlineStr">
        <is>
          <t>bod networks GmbH</t>
        </is>
      </c>
      <c r="B892" t="inlineStr">
        <is>
          <t>德国</t>
        </is>
      </c>
      <c r="C892" t="inlineStr">
        <is>
          <t>Chemnitz</t>
        </is>
      </c>
      <c r="D892" t="inlineStr"/>
      <c r="E892" t="inlineStr">
        <is>
          <t>集成商/代理（Allied Telesis）</t>
        </is>
      </c>
      <c r="F892" t="inlineStr">
        <is>
          <t>Allied Telesis（Marvell Prestera 接入层）</t>
        </is>
      </c>
      <c r="G892" t="inlineStr">
        <is>
          <t>否</t>
        </is>
      </c>
      <c r="H892" t="inlineStr">
        <is>
          <t>Marvell Prestera 接入层切入</t>
        </is>
      </c>
      <c r="I892" t="inlineStr">
        <is>
          <t>LT-S8328XGP-4XS24GT-S</t>
        </is>
      </c>
      <c r="J892" t="inlineStr">
        <is>
          <t>见 alliedtelesis.com 伙伴页</t>
        </is>
      </c>
      <c r="K892" t="inlineStr">
        <is>
          <t>★★★</t>
        </is>
      </c>
      <c r="L892" t="inlineStr">
        <is>
          <t>未触达</t>
        </is>
      </c>
      <c r="M892" t="inlineStr">
        <is>
          <t>Allied Telesis 官方伙伴定位器（?country=germany）</t>
        </is>
      </c>
      <c r="N892" t="inlineStr"/>
      <c r="O892" t="inlineStr"/>
      <c r="P892" t="inlineStr"/>
      <c r="Q8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2" t="inlineStr">
        <is>
          <t>A</t>
        </is>
      </c>
      <c r="S892" t="inlineStr">
        <is>
          <t>【人工定级】A —— 自动规则已跳过；信息待人工补齐（见备注）</t>
        </is>
      </c>
      <c r="T892" t="inlineStr">
        <is>
          <t>A-237</t>
        </is>
      </c>
      <c r="U892" t="inlineStr"/>
      <c r="V892" t="inlineStr">
        <is>
          <t>A</t>
        </is>
      </c>
    </row>
    <row r="893">
      <c r="A893" t="inlineStr">
        <is>
          <t>buerodata AG</t>
        </is>
      </c>
      <c r="B893" t="inlineStr">
        <is>
          <t>德国</t>
        </is>
      </c>
      <c r="C893" t="inlineStr">
        <is>
          <t>Stadtlohn</t>
        </is>
      </c>
      <c r="D893" t="inlineStr"/>
      <c r="E893" t="inlineStr">
        <is>
          <t>集成商/代理（Allied Telesis）</t>
        </is>
      </c>
      <c r="F893" t="inlineStr">
        <is>
          <t>Allied Telesis（Marvell Prestera 接入层）</t>
        </is>
      </c>
      <c r="G893" t="inlineStr">
        <is>
          <t>否</t>
        </is>
      </c>
      <c r="H893" t="inlineStr">
        <is>
          <t>Marvell Prestera 接入层切入</t>
        </is>
      </c>
      <c r="I893" t="inlineStr">
        <is>
          <t>LT-S8328XGP-4XS24GT-S</t>
        </is>
      </c>
      <c r="J893" t="inlineStr">
        <is>
          <t>见 alliedtelesis.com 伙伴页</t>
        </is>
      </c>
      <c r="K893" t="inlineStr">
        <is>
          <t>★★★</t>
        </is>
      </c>
      <c r="L893" t="inlineStr">
        <is>
          <t>未触达</t>
        </is>
      </c>
      <c r="M893" t="inlineStr">
        <is>
          <t>Allied Telesis 官方伙伴定位器（?country=germany）</t>
        </is>
      </c>
      <c r="N893" t="inlineStr"/>
      <c r="O893" t="inlineStr"/>
      <c r="P893" t="inlineStr"/>
      <c r="Q8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893" t="inlineStr">
        <is>
          <t>A</t>
        </is>
      </c>
      <c r="S893" t="inlineStr">
        <is>
          <t>【人工定级】A —— 自动规则已跳过；信息待人工补齐（见备注）</t>
        </is>
      </c>
      <c r="T893" t="inlineStr">
        <is>
          <t>A-238</t>
        </is>
      </c>
      <c r="U893" t="inlineStr"/>
      <c r="V893" t="inlineStr">
        <is>
          <t>A</t>
        </is>
      </c>
    </row>
    <row r="894">
      <c r="A894" t="inlineStr">
        <is>
          <t>CompData Computer GmbH</t>
        </is>
      </c>
      <c r="B894" t="inlineStr">
        <is>
          <t>德国</t>
        </is>
      </c>
      <c r="C894" t="inlineStr">
        <is>
          <t>Albstadt</t>
        </is>
      </c>
      <c r="D894" t="inlineStr"/>
      <c r="E894" t="inlineStr">
        <is>
          <t>集成商/代理（Allied Telesis）</t>
        </is>
      </c>
      <c r="F894" t="inlineStr">
        <is>
          <t>Allied Telesis（Marvell Prestera 接入层）</t>
        </is>
      </c>
      <c r="G894" t="inlineStr">
        <is>
          <t>否</t>
        </is>
      </c>
      <c r="H894" t="inlineStr">
        <is>
          <t>Marvell Prestera 接入层切入</t>
        </is>
      </c>
      <c r="I894" t="inlineStr">
        <is>
          <t>LT-S8328XGP-4XS24GT-S</t>
        </is>
      </c>
      <c r="J894" t="inlineStr">
        <is>
          <t>见 alliedtelesis.com 伙伴页</t>
        </is>
      </c>
      <c r="K894" t="inlineStr">
        <is>
          <t>★★★</t>
        </is>
      </c>
      <c r="L894" t="inlineStr">
        <is>
          <t>未触达</t>
        </is>
      </c>
      <c r="M894" t="inlineStr">
        <is>
          <t>Allied Telesis 官方伙伴定位器（?country=germany）</t>
        </is>
      </c>
      <c r="N894" t="inlineStr"/>
      <c r="O894" t="inlineStr"/>
      <c r="P894" t="inlineStr"/>
      <c r="Q8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4" t="inlineStr">
        <is>
          <t>A</t>
        </is>
      </c>
      <c r="S894" t="inlineStr">
        <is>
          <t>【人工定级】A —— 自动规则已跳过；信息待人工补齐（见备注）</t>
        </is>
      </c>
      <c r="T894" t="inlineStr">
        <is>
          <t>A-239</t>
        </is>
      </c>
      <c r="U894" t="inlineStr"/>
      <c r="V894" t="inlineStr">
        <is>
          <t>A</t>
        </is>
      </c>
    </row>
    <row r="895">
      <c r="A895" t="inlineStr">
        <is>
          <t>dainox GmbH</t>
        </is>
      </c>
      <c r="B895" t="inlineStr">
        <is>
          <t>德国</t>
        </is>
      </c>
      <c r="C895" t="inlineStr">
        <is>
          <t>Bad Wörishofen</t>
        </is>
      </c>
      <c r="D895" t="inlineStr"/>
      <c r="E895" t="inlineStr">
        <is>
          <t>集成商/代理（Allied Telesis）</t>
        </is>
      </c>
      <c r="F895" t="inlineStr">
        <is>
          <t>Allied Telesis（Marvell Prestera 接入层）</t>
        </is>
      </c>
      <c r="G895" t="inlineStr">
        <is>
          <t>否</t>
        </is>
      </c>
      <c r="H895" t="inlineStr">
        <is>
          <t>Marvell Prestera 接入层切入</t>
        </is>
      </c>
      <c r="I895" t="inlineStr">
        <is>
          <t>LT-S8328XGP-4XS24GT-S</t>
        </is>
      </c>
      <c r="J895" t="inlineStr">
        <is>
          <t>见 alliedtelesis.com 伙伴页</t>
        </is>
      </c>
      <c r="K895" t="inlineStr">
        <is>
          <t>★★★</t>
        </is>
      </c>
      <c r="L895" t="inlineStr">
        <is>
          <t>未触达</t>
        </is>
      </c>
      <c r="M895" t="inlineStr">
        <is>
          <t>Allied Telesis 官方伙伴定位器（?country=germany）</t>
        </is>
      </c>
      <c r="N895" t="inlineStr"/>
      <c r="O895" t="inlineStr"/>
      <c r="P895" t="inlineStr"/>
      <c r="Q8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5" t="inlineStr">
        <is>
          <t>A</t>
        </is>
      </c>
      <c r="S895" t="inlineStr">
        <is>
          <t>【人工定级】A —— 自动规则已跳过；信息待人工补齐（见备注）</t>
        </is>
      </c>
      <c r="T895" t="inlineStr">
        <is>
          <t>A-240</t>
        </is>
      </c>
      <c r="U895" t="inlineStr"/>
      <c r="V895" t="inlineStr">
        <is>
          <t>A</t>
        </is>
      </c>
    </row>
    <row r="896">
      <c r="A896" t="inlineStr">
        <is>
          <t>Dallmeier Electronics GmbH</t>
        </is>
      </c>
      <c r="B896" t="inlineStr">
        <is>
          <t>德国</t>
        </is>
      </c>
      <c r="C896" t="inlineStr">
        <is>
          <t>Regensburg</t>
        </is>
      </c>
      <c r="D896" t="inlineStr"/>
      <c r="E896" t="inlineStr">
        <is>
          <t>集成商/代理（Allied Telesis）</t>
        </is>
      </c>
      <c r="F896" t="inlineStr">
        <is>
          <t>Allied Telesis（Marvell Prestera 接入层）</t>
        </is>
      </c>
      <c r="G896" t="inlineStr">
        <is>
          <t>否</t>
        </is>
      </c>
      <c r="H896" t="inlineStr">
        <is>
          <t>Marvell Prestera 接入层切入</t>
        </is>
      </c>
      <c r="I896" t="inlineStr">
        <is>
          <t>LT-S8328XGP-4XS24GT-S</t>
        </is>
      </c>
      <c r="J896" t="inlineStr">
        <is>
          <t>见 alliedtelesis.com 伙伴页</t>
        </is>
      </c>
      <c r="K896" t="inlineStr">
        <is>
          <t>★★★</t>
        </is>
      </c>
      <c r="L896" t="inlineStr">
        <is>
          <t>未触达</t>
        </is>
      </c>
      <c r="M896" t="inlineStr">
        <is>
          <t>Allied Telesis 官方伙伴定位器（?country=germany）</t>
        </is>
      </c>
      <c r="N896" t="inlineStr"/>
      <c r="O896" t="inlineStr"/>
      <c r="P896" t="inlineStr"/>
      <c r="Q8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6" t="inlineStr">
        <is>
          <t>A</t>
        </is>
      </c>
      <c r="S896" t="inlineStr">
        <is>
          <t>【人工定级】A —— 自动规则已跳过；信息待人工补齐（见备注）</t>
        </is>
      </c>
      <c r="T896" t="inlineStr">
        <is>
          <t>A-241</t>
        </is>
      </c>
      <c r="U896" t="inlineStr"/>
      <c r="V896" t="inlineStr">
        <is>
          <t>A</t>
        </is>
      </c>
    </row>
    <row r="897">
      <c r="A897" t="inlineStr">
        <is>
          <t>Daten- und Telekommunikations-GmbH Dessau</t>
        </is>
      </c>
      <c r="B897" t="inlineStr">
        <is>
          <t>德国</t>
        </is>
      </c>
      <c r="C897" t="inlineStr">
        <is>
          <t>Dessau-Roßlau</t>
        </is>
      </c>
      <c r="D897" t="inlineStr"/>
      <c r="E897" t="inlineStr">
        <is>
          <t>集成商/代理（Allied Telesis）</t>
        </is>
      </c>
      <c r="F897" t="inlineStr">
        <is>
          <t>Allied Telesis（Marvell Prestera 接入层）</t>
        </is>
      </c>
      <c r="G897" t="inlineStr">
        <is>
          <t>否</t>
        </is>
      </c>
      <c r="H897" t="inlineStr">
        <is>
          <t>Marvell Prestera 接入层切入</t>
        </is>
      </c>
      <c r="I897" t="inlineStr">
        <is>
          <t>LT-S8328XGP-4XS24GT-S</t>
        </is>
      </c>
      <c r="J897" t="inlineStr">
        <is>
          <t>见 alliedtelesis.com 伙伴页</t>
        </is>
      </c>
      <c r="K897" t="inlineStr">
        <is>
          <t>★★★</t>
        </is>
      </c>
      <c r="L897" t="inlineStr">
        <is>
          <t>未触达</t>
        </is>
      </c>
      <c r="M897" t="inlineStr">
        <is>
          <t>Allied Telesis 官方伙伴定位器（?country=germany）</t>
        </is>
      </c>
      <c r="N897" t="inlineStr"/>
      <c r="O897" t="inlineStr"/>
      <c r="P897" t="inlineStr"/>
      <c r="Q8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7" t="inlineStr">
        <is>
          <t>A</t>
        </is>
      </c>
      <c r="S897" t="inlineStr">
        <is>
          <t>【人工定级】A —— 自动规则已跳过；信息待人工补齐（见备注）</t>
        </is>
      </c>
      <c r="T897" t="inlineStr">
        <is>
          <t>A-242</t>
        </is>
      </c>
      <c r="U897" t="inlineStr"/>
      <c r="V897" t="inlineStr">
        <is>
          <t>A</t>
        </is>
      </c>
    </row>
    <row r="898">
      <c r="A898" t="inlineStr">
        <is>
          <t>Döhler DatenSysteme GmbH</t>
        </is>
      </c>
      <c r="B898" t="inlineStr">
        <is>
          <t>德国</t>
        </is>
      </c>
      <c r="C898" t="inlineStr">
        <is>
          <t>Köln</t>
        </is>
      </c>
      <c r="D898" t="inlineStr"/>
      <c r="E898" t="inlineStr">
        <is>
          <t>集成商/代理（Allied Telesis）</t>
        </is>
      </c>
      <c r="F898" t="inlineStr">
        <is>
          <t>Allied Telesis（Marvell Prestera 接入层）</t>
        </is>
      </c>
      <c r="G898" t="inlineStr">
        <is>
          <t>否</t>
        </is>
      </c>
      <c r="H898" t="inlineStr">
        <is>
          <t>Marvell Prestera 接入层切入</t>
        </is>
      </c>
      <c r="I898" t="inlineStr">
        <is>
          <t>LT-S8328XGP-4XS24GT-S</t>
        </is>
      </c>
      <c r="J898" t="inlineStr">
        <is>
          <t>见 alliedtelesis.com 伙伴页</t>
        </is>
      </c>
      <c r="K898" t="inlineStr">
        <is>
          <t>★★★</t>
        </is>
      </c>
      <c r="L898" t="inlineStr">
        <is>
          <t>未触达</t>
        </is>
      </c>
      <c r="M898" t="inlineStr">
        <is>
          <t>Allied Telesis 官方伙伴定位器（?country=germany）</t>
        </is>
      </c>
      <c r="N898" t="inlineStr"/>
      <c r="O898" t="inlineStr"/>
      <c r="P898" t="inlineStr"/>
      <c r="Q8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8" t="inlineStr">
        <is>
          <t>A</t>
        </is>
      </c>
      <c r="S898" t="inlineStr">
        <is>
          <t>【人工定级】A —— 自动规则已跳过；信息待人工补齐（见备注）</t>
        </is>
      </c>
      <c r="T898" t="inlineStr">
        <is>
          <t>A-243</t>
        </is>
      </c>
      <c r="U898" t="inlineStr"/>
      <c r="V898" t="inlineStr">
        <is>
          <t>A</t>
        </is>
      </c>
    </row>
    <row r="899">
      <c r="A899" t="inlineStr">
        <is>
          <t>Dresdner ProSoft GmbH</t>
        </is>
      </c>
      <c r="B899" t="inlineStr">
        <is>
          <t>德国</t>
        </is>
      </c>
      <c r="C899" t="inlineStr">
        <is>
          <t>Dresden</t>
        </is>
      </c>
      <c r="D899" t="inlineStr"/>
      <c r="E899" t="inlineStr">
        <is>
          <t>集成商/代理（Allied Telesis）</t>
        </is>
      </c>
      <c r="F899" t="inlineStr">
        <is>
          <t>Allied Telesis（Marvell Prestera 接入层）</t>
        </is>
      </c>
      <c r="G899" t="inlineStr">
        <is>
          <t>否</t>
        </is>
      </c>
      <c r="H899" t="inlineStr">
        <is>
          <t>Marvell Prestera 接入层切入</t>
        </is>
      </c>
      <c r="I899" t="inlineStr">
        <is>
          <t>LT-S8328XGP-4XS24GT-S</t>
        </is>
      </c>
      <c r="J899" t="inlineStr">
        <is>
          <t>见 alliedtelesis.com 伙伴页</t>
        </is>
      </c>
      <c r="K899" t="inlineStr">
        <is>
          <t>★★★</t>
        </is>
      </c>
      <c r="L899" t="inlineStr">
        <is>
          <t>未触达</t>
        </is>
      </c>
      <c r="M899" t="inlineStr">
        <is>
          <t>Allied Telesis 官方伙伴定位器（?country=germany）</t>
        </is>
      </c>
      <c r="N899" t="inlineStr"/>
      <c r="O899" t="inlineStr"/>
      <c r="P899" t="inlineStr"/>
      <c r="Q8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899" t="inlineStr">
        <is>
          <t>A</t>
        </is>
      </c>
      <c r="S899" t="inlineStr">
        <is>
          <t>【人工定级】A —— 自动规则已跳过；信息待人工补齐（见备注）</t>
        </is>
      </c>
      <c r="T899" t="inlineStr">
        <is>
          <t>A-244</t>
        </is>
      </c>
      <c r="U899" t="inlineStr"/>
      <c r="V899" t="inlineStr">
        <is>
          <t>A</t>
        </is>
      </c>
    </row>
    <row r="900">
      <c r="A900" t="inlineStr">
        <is>
          <t>Eckmann Spezialkabel GmbH</t>
        </is>
      </c>
      <c r="B900" t="inlineStr">
        <is>
          <t>德国</t>
        </is>
      </c>
      <c r="C900" t="inlineStr">
        <is>
          <t>Quickborn</t>
        </is>
      </c>
      <c r="D900" t="inlineStr"/>
      <c r="E900" t="inlineStr">
        <is>
          <t>集成商/代理（Allied Telesis）</t>
        </is>
      </c>
      <c r="F900" t="inlineStr">
        <is>
          <t>Allied Telesis（Marvell Prestera 接入层）</t>
        </is>
      </c>
      <c r="G900" t="inlineStr">
        <is>
          <t>否</t>
        </is>
      </c>
      <c r="H900" t="inlineStr">
        <is>
          <t>Marvell Prestera 接入层切入</t>
        </is>
      </c>
      <c r="I900" t="inlineStr">
        <is>
          <t>LT-S8328XGP-4XS24GT-S</t>
        </is>
      </c>
      <c r="J900" t="inlineStr">
        <is>
          <t>见 alliedtelesis.com 伙伴页</t>
        </is>
      </c>
      <c r="K900" t="inlineStr">
        <is>
          <t>★★★</t>
        </is>
      </c>
      <c r="L900" t="inlineStr">
        <is>
          <t>未触达</t>
        </is>
      </c>
      <c r="M900" t="inlineStr">
        <is>
          <t>Allied Telesis 官方伙伴定位器（?country=germany）</t>
        </is>
      </c>
      <c r="N900" t="inlineStr"/>
      <c r="O900" t="inlineStr"/>
      <c r="P900" t="inlineStr"/>
      <c r="Q9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0" t="inlineStr">
        <is>
          <t>A</t>
        </is>
      </c>
      <c r="S900" t="inlineStr">
        <is>
          <t>【人工定级】A —— 自动规则已跳过；信息待人工补齐（见备注）</t>
        </is>
      </c>
      <c r="T900" t="inlineStr">
        <is>
          <t>A-245</t>
        </is>
      </c>
      <c r="U900" t="inlineStr"/>
      <c r="V900" t="inlineStr">
        <is>
          <t>A</t>
        </is>
      </c>
    </row>
    <row r="901">
      <c r="A901" t="inlineStr">
        <is>
          <t>EDV-Beratung u Dienstleistungen Berg-Duda</t>
        </is>
      </c>
      <c r="B901" t="inlineStr">
        <is>
          <t>德国</t>
        </is>
      </c>
      <c r="C901" t="inlineStr">
        <is>
          <t>Bergneustadt</t>
        </is>
      </c>
      <c r="D901" t="inlineStr"/>
      <c r="E901" t="inlineStr">
        <is>
          <t>集成商/代理（Allied Telesis）</t>
        </is>
      </c>
      <c r="F901" t="inlineStr">
        <is>
          <t>Allied Telesis（Marvell Prestera 接入层）</t>
        </is>
      </c>
      <c r="G901" t="inlineStr">
        <is>
          <t>否</t>
        </is>
      </c>
      <c r="H901" t="inlineStr">
        <is>
          <t>Marvell Prestera 接入层切入</t>
        </is>
      </c>
      <c r="I901" t="inlineStr">
        <is>
          <t>LT-S8328XGP-4XS24GT-S</t>
        </is>
      </c>
      <c r="J901" t="inlineStr">
        <is>
          <t>见 alliedtelesis.com 伙伴页</t>
        </is>
      </c>
      <c r="K901" t="inlineStr">
        <is>
          <t>★★★</t>
        </is>
      </c>
      <c r="L901" t="inlineStr">
        <is>
          <t>未触达</t>
        </is>
      </c>
      <c r="M901" t="inlineStr">
        <is>
          <t>Allied Telesis 官方伙伴定位器（?country=germany）</t>
        </is>
      </c>
      <c r="N901" t="inlineStr"/>
      <c r="O901" t="inlineStr"/>
      <c r="P901" t="inlineStr"/>
      <c r="Q9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1" t="inlineStr">
        <is>
          <t>A</t>
        </is>
      </c>
      <c r="S901" t="inlineStr">
        <is>
          <t>【人工定级】A —— 自动规则已跳过；信息待人工补齐（见备注）</t>
        </is>
      </c>
      <c r="T901" t="inlineStr">
        <is>
          <t>A-246</t>
        </is>
      </c>
      <c r="U901" t="inlineStr"/>
      <c r="V901" t="inlineStr">
        <is>
          <t>A</t>
        </is>
      </c>
    </row>
    <row r="902">
      <c r="A902" t="inlineStr">
        <is>
          <t>GBS TEMPEST &amp; Service GmbH</t>
        </is>
      </c>
      <c r="B902" t="inlineStr">
        <is>
          <t>德国</t>
        </is>
      </c>
      <c r="C902" t="inlineStr">
        <is>
          <t>Diepholz</t>
        </is>
      </c>
      <c r="D902" t="inlineStr"/>
      <c r="E902" t="inlineStr">
        <is>
          <t>集成商/代理（Allied Telesis）</t>
        </is>
      </c>
      <c r="F902" t="inlineStr">
        <is>
          <t>Allied Telesis（Marvell Prestera 接入层）</t>
        </is>
      </c>
      <c r="G902" t="inlineStr">
        <is>
          <t>否</t>
        </is>
      </c>
      <c r="H902" t="inlineStr">
        <is>
          <t>Marvell Prestera 接入层切入</t>
        </is>
      </c>
      <c r="I902" t="inlineStr">
        <is>
          <t>LT-S8328XGP-4XS24GT-S</t>
        </is>
      </c>
      <c r="J902" t="inlineStr">
        <is>
          <t>见 alliedtelesis.com 伙伴页</t>
        </is>
      </c>
      <c r="K902" t="inlineStr">
        <is>
          <t>★★★</t>
        </is>
      </c>
      <c r="L902" t="inlineStr">
        <is>
          <t>未触达</t>
        </is>
      </c>
      <c r="M902" t="inlineStr">
        <is>
          <t>Allied Telesis 官方伙伴定位器（?country=germany）</t>
        </is>
      </c>
      <c r="N902" t="inlineStr"/>
      <c r="O902" t="inlineStr"/>
      <c r="P902" t="inlineStr"/>
      <c r="Q9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2" t="inlineStr">
        <is>
          <t>A</t>
        </is>
      </c>
      <c r="S902" t="inlineStr">
        <is>
          <t>【人工定级】A —— 自动规则已跳过；信息待人工补齐（见备注）</t>
        </is>
      </c>
      <c r="T902" t="inlineStr">
        <is>
          <t>A-247</t>
        </is>
      </c>
      <c r="U902" t="inlineStr"/>
      <c r="V902" t="inlineStr">
        <is>
          <t>A</t>
        </is>
      </c>
    </row>
    <row r="903">
      <c r="A903" t="inlineStr">
        <is>
          <t>Gretsch-Unitas GmbH Baubeschläge</t>
        </is>
      </c>
      <c r="B903" t="inlineStr">
        <is>
          <t>德国</t>
        </is>
      </c>
      <c r="C903" t="inlineStr">
        <is>
          <t>Ditzingen</t>
        </is>
      </c>
      <c r="D903" t="inlineStr"/>
      <c r="E903" t="inlineStr">
        <is>
          <t>集成商/代理（Allied Telesis）</t>
        </is>
      </c>
      <c r="F903" t="inlineStr">
        <is>
          <t>Allied Telesis（Marvell Prestera 接入层）</t>
        </is>
      </c>
      <c r="G903" t="inlineStr">
        <is>
          <t>否</t>
        </is>
      </c>
      <c r="H903" t="inlineStr">
        <is>
          <t>Marvell Prestera 接入层切入</t>
        </is>
      </c>
      <c r="I903" t="inlineStr">
        <is>
          <t>LT-S8328XGP-4XS24GT-S</t>
        </is>
      </c>
      <c r="J903" t="inlineStr">
        <is>
          <t>见 alliedtelesis.com 伙伴页</t>
        </is>
      </c>
      <c r="K903" t="inlineStr">
        <is>
          <t>★★★</t>
        </is>
      </c>
      <c r="L903" t="inlineStr">
        <is>
          <t>未触达</t>
        </is>
      </c>
      <c r="M903" t="inlineStr">
        <is>
          <t>Allied Telesis 官方伙伴定位器（?country=germany）</t>
        </is>
      </c>
      <c r="N903" t="inlineStr"/>
      <c r="O903" t="inlineStr"/>
      <c r="P903" t="inlineStr"/>
      <c r="Q9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3" t="inlineStr">
        <is>
          <t>A</t>
        </is>
      </c>
      <c r="S903" t="inlineStr">
        <is>
          <t>【人工定级】A —— 自动规则已跳过；信息待人工补齐（见备注）</t>
        </is>
      </c>
      <c r="T903" t="inlineStr">
        <is>
          <t>A-248</t>
        </is>
      </c>
      <c r="U903" t="inlineStr"/>
      <c r="V903" t="inlineStr">
        <is>
          <t>A</t>
        </is>
      </c>
    </row>
    <row r="904">
      <c r="A904" t="inlineStr">
        <is>
          <t>Gretsch-Unitas</t>
        </is>
      </c>
      <c r="B904" t="inlineStr">
        <is>
          <t>德国</t>
        </is>
      </c>
      <c r="C904" t="inlineStr">
        <is>
          <t>Berlin</t>
        </is>
      </c>
      <c r="D904" t="inlineStr"/>
      <c r="E904" t="inlineStr">
        <is>
          <t>集成商/代理（Allied Telesis）</t>
        </is>
      </c>
      <c r="F904" t="inlineStr">
        <is>
          <t>Allied Telesis（Marvell Prestera 接入层）</t>
        </is>
      </c>
      <c r="G904" t="inlineStr">
        <is>
          <t>否</t>
        </is>
      </c>
      <c r="H904" t="inlineStr">
        <is>
          <t>Marvell Prestera 接入层切入</t>
        </is>
      </c>
      <c r="I904" t="inlineStr">
        <is>
          <t>LT-S8328XGP-4XS24GT-S</t>
        </is>
      </c>
      <c r="J904" t="inlineStr">
        <is>
          <t>见 alliedtelesis.com 伙伴页</t>
        </is>
      </c>
      <c r="K904" t="inlineStr">
        <is>
          <t>★★★</t>
        </is>
      </c>
      <c r="L904" t="inlineStr">
        <is>
          <t>未触达</t>
        </is>
      </c>
      <c r="M904" t="inlineStr">
        <is>
          <t>Allied Telesis 官方伙伴定位器（?country=germany）</t>
        </is>
      </c>
      <c r="N904" t="inlineStr"/>
      <c r="O904" t="inlineStr"/>
      <c r="P904" t="inlineStr"/>
      <c r="Q9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4" t="inlineStr">
        <is>
          <t>A</t>
        </is>
      </c>
      <c r="S904" t="inlineStr">
        <is>
          <t>【人工定级】A —— 自动规则已跳过；信息待人工补齐（见备注）</t>
        </is>
      </c>
      <c r="T904" t="inlineStr">
        <is>
          <t>A-249</t>
        </is>
      </c>
      <c r="U904" t="inlineStr"/>
      <c r="V904" t="inlineStr">
        <is>
          <t>A</t>
        </is>
      </c>
    </row>
    <row r="905">
      <c r="A905" t="inlineStr">
        <is>
          <t>GU BKS SERVICE GmbH</t>
        </is>
      </c>
      <c r="B905" t="inlineStr">
        <is>
          <t>德国</t>
        </is>
      </c>
      <c r="C905" t="inlineStr">
        <is>
          <t>Velbert</t>
        </is>
      </c>
      <c r="D905" t="inlineStr"/>
      <c r="E905" t="inlineStr">
        <is>
          <t>集成商/代理（Allied Telesis）</t>
        </is>
      </c>
      <c r="F905" t="inlineStr">
        <is>
          <t>Allied Telesis（Marvell Prestera 接入层）</t>
        </is>
      </c>
      <c r="G905" t="inlineStr">
        <is>
          <t>否</t>
        </is>
      </c>
      <c r="H905" t="inlineStr">
        <is>
          <t>Marvell Prestera 接入层切入</t>
        </is>
      </c>
      <c r="I905" t="inlineStr">
        <is>
          <t>LT-S8328XGP-4XS24GT-S</t>
        </is>
      </c>
      <c r="J905" t="inlineStr">
        <is>
          <t>见 alliedtelesis.com 伙伴页</t>
        </is>
      </c>
      <c r="K905" t="inlineStr">
        <is>
          <t>★★★</t>
        </is>
      </c>
      <c r="L905" t="inlineStr">
        <is>
          <t>未触达</t>
        </is>
      </c>
      <c r="M905" t="inlineStr">
        <is>
          <t>Allied Telesis 官方伙伴定位器（?country=germany）</t>
        </is>
      </c>
      <c r="N905" t="inlineStr"/>
      <c r="O905" t="inlineStr"/>
      <c r="P905" t="inlineStr"/>
      <c r="Q9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5" t="inlineStr">
        <is>
          <t>A</t>
        </is>
      </c>
      <c r="S905" t="inlineStr">
        <is>
          <t>【人工定级】A —— 自动规则已跳过；信息待人工补齐（见备注）</t>
        </is>
      </c>
      <c r="T905" t="inlineStr">
        <is>
          <t>A-250</t>
        </is>
      </c>
      <c r="U905" t="inlineStr"/>
      <c r="V905" t="inlineStr">
        <is>
          <t>A</t>
        </is>
      </c>
    </row>
    <row r="906">
      <c r="A906" t="inlineStr">
        <is>
          <t>H &amp; G Hansen &amp; Gieraths EDV Vertriebs GmbH</t>
        </is>
      </c>
      <c r="B906" t="inlineStr">
        <is>
          <t>德国</t>
        </is>
      </c>
      <c r="C906" t="inlineStr">
        <is>
          <t>Bonn</t>
        </is>
      </c>
      <c r="D906" t="inlineStr"/>
      <c r="E906" t="inlineStr">
        <is>
          <t>集成商/代理（Allied Telesis）</t>
        </is>
      </c>
      <c r="F906" t="inlineStr">
        <is>
          <t>Allied Telesis（Marvell Prestera 接入层）</t>
        </is>
      </c>
      <c r="G906" t="inlineStr">
        <is>
          <t>否</t>
        </is>
      </c>
      <c r="H906" t="inlineStr">
        <is>
          <t>Marvell Prestera 接入层切入</t>
        </is>
      </c>
      <c r="I906" t="inlineStr">
        <is>
          <t>LT-S8328XGP-4XS24GT-S</t>
        </is>
      </c>
      <c r="J906" t="inlineStr">
        <is>
          <t>见 alliedtelesis.com 伙伴页</t>
        </is>
      </c>
      <c r="K906" t="inlineStr">
        <is>
          <t>★★★</t>
        </is>
      </c>
      <c r="L906" t="inlineStr">
        <is>
          <t>未触达</t>
        </is>
      </c>
      <c r="M906" t="inlineStr">
        <is>
          <t>Allied Telesis 官方伙伴定位器（?country=germany）</t>
        </is>
      </c>
      <c r="N906" t="inlineStr"/>
      <c r="O906" t="inlineStr"/>
      <c r="P906" t="inlineStr"/>
      <c r="Q9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06" t="inlineStr">
        <is>
          <t>A</t>
        </is>
      </c>
      <c r="S906" t="inlineStr">
        <is>
          <t>【人工定级】A —— 自动规则已跳过；信息待人工补齐（见备注）</t>
        </is>
      </c>
      <c r="T906" t="inlineStr">
        <is>
          <t>A-251</t>
        </is>
      </c>
      <c r="U906" t="inlineStr"/>
      <c r="V906" t="inlineStr">
        <is>
          <t>A</t>
        </is>
      </c>
    </row>
    <row r="907">
      <c r="A907" t="inlineStr">
        <is>
          <t>H&amp;M electronics GbR</t>
        </is>
      </c>
      <c r="B907" t="inlineStr">
        <is>
          <t>德国</t>
        </is>
      </c>
      <c r="C907" t="inlineStr">
        <is>
          <t>Dillingen an der Donau</t>
        </is>
      </c>
      <c r="D907" t="inlineStr"/>
      <c r="E907" t="inlineStr">
        <is>
          <t>集成商/代理（Allied Telesis）</t>
        </is>
      </c>
      <c r="F907" t="inlineStr">
        <is>
          <t>Allied Telesis（Marvell Prestera 接入层）</t>
        </is>
      </c>
      <c r="G907" t="inlineStr">
        <is>
          <t>否</t>
        </is>
      </c>
      <c r="H907" t="inlineStr">
        <is>
          <t>Marvell Prestera 接入层切入</t>
        </is>
      </c>
      <c r="I907" t="inlineStr">
        <is>
          <t>LT-S8328XGP-4XS24GT-S</t>
        </is>
      </c>
      <c r="J907" t="inlineStr">
        <is>
          <t>见 alliedtelesis.com 伙伴页</t>
        </is>
      </c>
      <c r="K907" t="inlineStr">
        <is>
          <t>★★★</t>
        </is>
      </c>
      <c r="L907" t="inlineStr">
        <is>
          <t>未触达</t>
        </is>
      </c>
      <c r="M907" t="inlineStr">
        <is>
          <t>Allied Telesis 官方伙伴定位器（?country=germany）</t>
        </is>
      </c>
      <c r="N907" t="inlineStr"/>
      <c r="O907" t="inlineStr"/>
      <c r="P907" t="inlineStr"/>
      <c r="Q9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7" t="inlineStr">
        <is>
          <t>A</t>
        </is>
      </c>
      <c r="S907" t="inlineStr">
        <is>
          <t>【人工定级】A —— 自动规则已跳过；信息待人工补齐（见备注）</t>
        </is>
      </c>
      <c r="T907" t="inlineStr">
        <is>
          <t>A-252</t>
        </is>
      </c>
      <c r="U907" t="inlineStr"/>
      <c r="V907" t="inlineStr">
        <is>
          <t>A</t>
        </is>
      </c>
    </row>
    <row r="908">
      <c r="A908" t="inlineStr">
        <is>
          <t>Hamburger Meldetechnik GmbH &amp; Co.KG</t>
        </is>
      </c>
      <c r="B908" t="inlineStr">
        <is>
          <t>德国</t>
        </is>
      </c>
      <c r="C908" t="inlineStr">
        <is>
          <t>Hamburg</t>
        </is>
      </c>
      <c r="D908" t="inlineStr"/>
      <c r="E908" t="inlineStr">
        <is>
          <t>集成商/代理（Allied Telesis）</t>
        </is>
      </c>
      <c r="F908" t="inlineStr">
        <is>
          <t>Allied Telesis（Marvell Prestera 接入层）</t>
        </is>
      </c>
      <c r="G908" t="inlineStr">
        <is>
          <t>否</t>
        </is>
      </c>
      <c r="H908" t="inlineStr">
        <is>
          <t>Marvell Prestera 接入层切入</t>
        </is>
      </c>
      <c r="I908" t="inlineStr">
        <is>
          <t>LT-S8328XGP-4XS24GT-S</t>
        </is>
      </c>
      <c r="J908" t="inlineStr">
        <is>
          <t>见 alliedtelesis.com 伙伴页</t>
        </is>
      </c>
      <c r="K908" t="inlineStr">
        <is>
          <t>★★★</t>
        </is>
      </c>
      <c r="L908" t="inlineStr">
        <is>
          <t>未触达</t>
        </is>
      </c>
      <c r="M908" t="inlineStr">
        <is>
          <t>Allied Telesis 官方伙伴定位器（?country=germany）</t>
        </is>
      </c>
      <c r="N908" t="inlineStr"/>
      <c r="O908" t="inlineStr"/>
      <c r="P908" t="inlineStr"/>
      <c r="Q9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08" t="inlineStr">
        <is>
          <t>A</t>
        </is>
      </c>
      <c r="S908" t="inlineStr">
        <is>
          <t>【人工定级】A —— 自动规则已跳过；信息待人工补齐（见备注）</t>
        </is>
      </c>
      <c r="T908" t="inlineStr">
        <is>
          <t>A-253</t>
        </is>
      </c>
      <c r="U908" t="inlineStr"/>
      <c r="V908" t="inlineStr">
        <is>
          <t>A</t>
        </is>
      </c>
    </row>
    <row r="909">
      <c r="A909" t="inlineStr">
        <is>
          <t>Human Art Computersysteme GmbH</t>
        </is>
      </c>
      <c r="B909" t="inlineStr">
        <is>
          <t>德国</t>
        </is>
      </c>
      <c r="C909" t="inlineStr">
        <is>
          <t>Berlin</t>
        </is>
      </c>
      <c r="D909" t="inlineStr"/>
      <c r="E909" t="inlineStr">
        <is>
          <t>集成商/代理（Allied Telesis）</t>
        </is>
      </c>
      <c r="F909" t="inlineStr">
        <is>
          <t>Allied Telesis（Marvell Prestera 接入层）</t>
        </is>
      </c>
      <c r="G909" t="inlineStr">
        <is>
          <t>否</t>
        </is>
      </c>
      <c r="H909" t="inlineStr">
        <is>
          <t>Marvell Prestera 接入层切入</t>
        </is>
      </c>
      <c r="I909" t="inlineStr">
        <is>
          <t>LT-S8328XGP-4XS24GT-S</t>
        </is>
      </c>
      <c r="J909" t="inlineStr">
        <is>
          <t>见 alliedtelesis.com 伙伴页</t>
        </is>
      </c>
      <c r="K909" t="inlineStr">
        <is>
          <t>★★★</t>
        </is>
      </c>
      <c r="L909" t="inlineStr">
        <is>
          <t>未触达</t>
        </is>
      </c>
      <c r="M909" t="inlineStr">
        <is>
          <t>Allied Telesis 官方伙伴定位器（?country=germany）</t>
        </is>
      </c>
      <c r="N909" t="inlineStr"/>
      <c r="O909" t="inlineStr"/>
      <c r="P909" t="inlineStr"/>
      <c r="Q90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09" t="inlineStr">
        <is>
          <t>A</t>
        </is>
      </c>
      <c r="S909" t="inlineStr">
        <is>
          <t>【人工定级】A —— 自动规则已跳过；信息待人工补齐（见备注）</t>
        </is>
      </c>
      <c r="T909" t="inlineStr">
        <is>
          <t>A-254</t>
        </is>
      </c>
      <c r="U909" t="inlineStr"/>
      <c r="V909" t="inlineStr">
        <is>
          <t>A</t>
        </is>
      </c>
    </row>
    <row r="910">
      <c r="A910" t="inlineStr">
        <is>
          <t>Inducio GmbH</t>
        </is>
      </c>
      <c r="B910" t="inlineStr">
        <is>
          <t>德国</t>
        </is>
      </c>
      <c r="C910" t="inlineStr">
        <is>
          <t>Traunstein</t>
        </is>
      </c>
      <c r="D910" t="inlineStr"/>
      <c r="E910" t="inlineStr">
        <is>
          <t>集成商/代理（Allied Telesis）</t>
        </is>
      </c>
      <c r="F910" t="inlineStr">
        <is>
          <t>Allied Telesis（Marvell Prestera 接入层）</t>
        </is>
      </c>
      <c r="G910" t="inlineStr">
        <is>
          <t>否</t>
        </is>
      </c>
      <c r="H910" t="inlineStr">
        <is>
          <t>Marvell Prestera 接入层切入</t>
        </is>
      </c>
      <c r="I910" t="inlineStr">
        <is>
          <t>LT-S8328XGP-4XS24GT-S</t>
        </is>
      </c>
      <c r="J910" t="inlineStr">
        <is>
          <t>见 alliedtelesis.com 伙伴页</t>
        </is>
      </c>
      <c r="K910" t="inlineStr">
        <is>
          <t>★★★</t>
        </is>
      </c>
      <c r="L910" t="inlineStr">
        <is>
          <t>未触达</t>
        </is>
      </c>
      <c r="M910" t="inlineStr">
        <is>
          <t>Allied Telesis 官方伙伴定位器（?country=germany）</t>
        </is>
      </c>
      <c r="N910" t="inlineStr"/>
      <c r="O910" t="inlineStr"/>
      <c r="P910" t="inlineStr"/>
      <c r="Q91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0" t="inlineStr">
        <is>
          <t>A</t>
        </is>
      </c>
      <c r="S910" t="inlineStr">
        <is>
          <t>【人工定级】A —— 自动规则已跳过；信息待人工补齐（见备注）</t>
        </is>
      </c>
      <c r="T910" t="inlineStr">
        <is>
          <t>A-255</t>
        </is>
      </c>
      <c r="U910" t="inlineStr"/>
      <c r="V910" t="inlineStr">
        <is>
          <t>A</t>
        </is>
      </c>
    </row>
    <row r="911">
      <c r="A911" t="inlineStr">
        <is>
          <t>Ingo Seidenberg Inseid – EDV-Beratung</t>
        </is>
      </c>
      <c r="B911" t="inlineStr">
        <is>
          <t>德国</t>
        </is>
      </c>
      <c r="C911" t="inlineStr">
        <is>
          <t>Burgwedel</t>
        </is>
      </c>
      <c r="D911" t="inlineStr"/>
      <c r="E911" t="inlineStr">
        <is>
          <t>集成商/代理（Allied Telesis）</t>
        </is>
      </c>
      <c r="F911" t="inlineStr">
        <is>
          <t>Allied Telesis（Marvell Prestera 接入层）</t>
        </is>
      </c>
      <c r="G911" t="inlineStr">
        <is>
          <t>否</t>
        </is>
      </c>
      <c r="H911" t="inlineStr">
        <is>
          <t>Marvell Prestera 接入层切入</t>
        </is>
      </c>
      <c r="I911" t="inlineStr">
        <is>
          <t>LT-S8328XGP-4XS24GT-S</t>
        </is>
      </c>
      <c r="J911" t="inlineStr">
        <is>
          <t>见 alliedtelesis.com 伙伴页</t>
        </is>
      </c>
      <c r="K911" t="inlineStr">
        <is>
          <t>★★★</t>
        </is>
      </c>
      <c r="L911" t="inlineStr">
        <is>
          <t>未触达</t>
        </is>
      </c>
      <c r="M911" t="inlineStr">
        <is>
          <t>Allied Telesis 官方伙伴定位器（?country=germany）</t>
        </is>
      </c>
      <c r="N911" t="inlineStr"/>
      <c r="O911" t="inlineStr"/>
      <c r="P911" t="inlineStr"/>
      <c r="Q9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11" t="inlineStr">
        <is>
          <t>A</t>
        </is>
      </c>
      <c r="S911" t="inlineStr">
        <is>
          <t>【人工定级】A —— 自动规则已跳过；信息待人工补齐（见备注）</t>
        </is>
      </c>
      <c r="T911" t="inlineStr">
        <is>
          <t>A-256</t>
        </is>
      </c>
      <c r="U911" t="inlineStr"/>
      <c r="V911" t="inlineStr">
        <is>
          <t>A</t>
        </is>
      </c>
    </row>
    <row r="912">
      <c r="A912" t="inlineStr">
        <is>
          <t>Insight Technology Solutions GmbH</t>
        </is>
      </c>
      <c r="B912" t="inlineStr">
        <is>
          <t>德国</t>
        </is>
      </c>
      <c r="C912" t="inlineStr">
        <is>
          <t>Raunheim</t>
        </is>
      </c>
      <c r="D912" t="inlineStr"/>
      <c r="E912" t="inlineStr">
        <is>
          <t>集成商/代理（Allied Telesis）</t>
        </is>
      </c>
      <c r="F912" t="inlineStr">
        <is>
          <t>Allied Telesis（Marvell Prestera 接入层）</t>
        </is>
      </c>
      <c r="G912" t="inlineStr">
        <is>
          <t>否</t>
        </is>
      </c>
      <c r="H912" t="inlineStr">
        <is>
          <t>Marvell Prestera 接入层切入</t>
        </is>
      </c>
      <c r="I912" t="inlineStr">
        <is>
          <t>LT-S8328XGP-4XS24GT-S</t>
        </is>
      </c>
      <c r="J912" t="inlineStr">
        <is>
          <t>见 alliedtelesis.com 伙伴页</t>
        </is>
      </c>
      <c r="K912" t="inlineStr">
        <is>
          <t>★★★</t>
        </is>
      </c>
      <c r="L912" t="inlineStr">
        <is>
          <t>未触达</t>
        </is>
      </c>
      <c r="M912" t="inlineStr">
        <is>
          <t>Allied Telesis 官方伙伴定位器（?country=germany）</t>
        </is>
      </c>
      <c r="N912" t="inlineStr"/>
      <c r="O912" t="inlineStr"/>
      <c r="P912" t="inlineStr"/>
      <c r="Q9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2" t="inlineStr">
        <is>
          <t>A</t>
        </is>
      </c>
      <c r="S912" t="inlineStr">
        <is>
          <t>【人工定级】A —— 自动规则已跳过；信息待人工补齐（见备注）</t>
        </is>
      </c>
      <c r="T912" t="inlineStr">
        <is>
          <t>A-257</t>
        </is>
      </c>
      <c r="U912" t="inlineStr"/>
      <c r="V912" t="inlineStr">
        <is>
          <t>A</t>
        </is>
      </c>
    </row>
    <row r="913">
      <c r="A913" t="inlineStr">
        <is>
          <t>ISIMKO GmbH</t>
        </is>
      </c>
      <c r="B913" t="inlineStr">
        <is>
          <t>德国</t>
        </is>
      </c>
      <c r="C913" t="inlineStr"/>
      <c r="D913" t="inlineStr"/>
      <c r="E913" t="inlineStr">
        <is>
          <t>集成商/代理（Allied Telesis）</t>
        </is>
      </c>
      <c r="F913" t="inlineStr">
        <is>
          <t>Allied Telesis（Marvell Prestera 接入层）</t>
        </is>
      </c>
      <c r="G913" t="inlineStr">
        <is>
          <t>否</t>
        </is>
      </c>
      <c r="H913" t="inlineStr">
        <is>
          <t>Marvell Prestera 接入层切入</t>
        </is>
      </c>
      <c r="I913" t="inlineStr">
        <is>
          <t>LT-S8328XGP-4XS24GT-S</t>
        </is>
      </c>
      <c r="J913" t="inlineStr">
        <is>
          <t>见 alliedtelesis.com 伙伴页</t>
        </is>
      </c>
      <c r="K913" t="inlineStr">
        <is>
          <t>★★★</t>
        </is>
      </c>
      <c r="L913" t="inlineStr">
        <is>
          <t>未触达</t>
        </is>
      </c>
      <c r="M913" t="inlineStr">
        <is>
          <t>Allied Telesis 官方伙伴定位器（?country=germany）</t>
        </is>
      </c>
      <c r="N913" t="inlineStr"/>
      <c r="O913" t="inlineStr"/>
      <c r="P913" t="inlineStr"/>
      <c r="Q9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3" t="inlineStr">
        <is>
          <t>A</t>
        </is>
      </c>
      <c r="S913" t="inlineStr">
        <is>
          <t>【人工定级】A —— 自动规则已跳过；信息待人工补齐（见备注）</t>
        </is>
      </c>
      <c r="T913" t="inlineStr">
        <is>
          <t>A-258</t>
        </is>
      </c>
      <c r="U913" t="inlineStr"/>
      <c r="V913" t="inlineStr">
        <is>
          <t>A</t>
        </is>
      </c>
    </row>
    <row r="914">
      <c r="A914" t="inlineStr">
        <is>
          <t>JOTT Consulting GmbH</t>
        </is>
      </c>
      <c r="B914" t="inlineStr">
        <is>
          <t>德国</t>
        </is>
      </c>
      <c r="C914" t="inlineStr">
        <is>
          <t>Köln</t>
        </is>
      </c>
      <c r="D914" t="inlineStr"/>
      <c r="E914" t="inlineStr">
        <is>
          <t>集成商/代理（Allied Telesis）</t>
        </is>
      </c>
      <c r="F914" t="inlineStr">
        <is>
          <t>Allied Telesis（Marvell Prestera 接入层）</t>
        </is>
      </c>
      <c r="G914" t="inlineStr">
        <is>
          <t>否</t>
        </is>
      </c>
      <c r="H914" t="inlineStr">
        <is>
          <t>Marvell Prestera 接入层切入</t>
        </is>
      </c>
      <c r="I914" t="inlineStr">
        <is>
          <t>LT-S8328XGP-4XS24GT-S</t>
        </is>
      </c>
      <c r="J914" t="inlineStr">
        <is>
          <t>见 alliedtelesis.com 伙伴页</t>
        </is>
      </c>
      <c r="K914" t="inlineStr">
        <is>
          <t>★★★</t>
        </is>
      </c>
      <c r="L914" t="inlineStr">
        <is>
          <t>未触达</t>
        </is>
      </c>
      <c r="M914" t="inlineStr">
        <is>
          <t>Allied Telesis 官方伙伴定位器（?country=germany）</t>
        </is>
      </c>
      <c r="N914" t="inlineStr"/>
      <c r="O914" t="inlineStr"/>
      <c r="P914" t="inlineStr"/>
      <c r="Q91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4" t="inlineStr">
        <is>
          <t>A</t>
        </is>
      </c>
      <c r="S914" t="inlineStr">
        <is>
          <t>【人工定级】A —— 自动规则已跳过；信息待人工补齐（见备注）</t>
        </is>
      </c>
      <c r="T914" t="inlineStr">
        <is>
          <t>A-259</t>
        </is>
      </c>
      <c r="U914" t="inlineStr"/>
      <c r="V914" t="inlineStr">
        <is>
          <t>A</t>
        </is>
      </c>
    </row>
    <row r="915">
      <c r="A915" t="inlineStr">
        <is>
          <t>KWS Partner GmbH</t>
        </is>
      </c>
      <c r="B915" t="inlineStr">
        <is>
          <t>德国</t>
        </is>
      </c>
      <c r="C915" t="inlineStr">
        <is>
          <t>Frankenberg</t>
        </is>
      </c>
      <c r="D915" t="inlineStr"/>
      <c r="E915" t="inlineStr">
        <is>
          <t>集成商/代理（Allied Telesis）</t>
        </is>
      </c>
      <c r="F915" t="inlineStr">
        <is>
          <t>Allied Telesis（Marvell Prestera 接入层）</t>
        </is>
      </c>
      <c r="G915" t="inlineStr">
        <is>
          <t>否</t>
        </is>
      </c>
      <c r="H915" t="inlineStr">
        <is>
          <t>Marvell Prestera 接入层切入</t>
        </is>
      </c>
      <c r="I915" t="inlineStr">
        <is>
          <t>LT-S8328XGP-4XS24GT-S</t>
        </is>
      </c>
      <c r="J915" t="inlineStr">
        <is>
          <t>见 alliedtelesis.com 伙伴页</t>
        </is>
      </c>
      <c r="K915" t="inlineStr">
        <is>
          <t>★★★</t>
        </is>
      </c>
      <c r="L915" t="inlineStr">
        <is>
          <t>未触达</t>
        </is>
      </c>
      <c r="M915" t="inlineStr">
        <is>
          <t>Allied Telesis 官方伙伴定位器（?country=germany）</t>
        </is>
      </c>
      <c r="N915" t="inlineStr"/>
      <c r="O915" t="inlineStr"/>
      <c r="P915" t="inlineStr"/>
      <c r="Q9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5" t="inlineStr">
        <is>
          <t>A</t>
        </is>
      </c>
      <c r="S915" t="inlineStr">
        <is>
          <t>【人工定级】A —— 自动规则已跳过；信息待人工补齐（见备注）</t>
        </is>
      </c>
      <c r="T915" t="inlineStr">
        <is>
          <t>A-260</t>
        </is>
      </c>
      <c r="U915" t="inlineStr"/>
      <c r="V915" t="inlineStr">
        <is>
          <t>A</t>
        </is>
      </c>
    </row>
    <row r="916">
      <c r="A916" t="inlineStr">
        <is>
          <t>M IT-Systemhaus GmbH</t>
        </is>
      </c>
      <c r="B916" t="inlineStr">
        <is>
          <t>德国</t>
        </is>
      </c>
      <c r="C916" t="inlineStr">
        <is>
          <t>Mühldorf am Inn</t>
        </is>
      </c>
      <c r="D916" t="inlineStr"/>
      <c r="E916" t="inlineStr">
        <is>
          <t>集成商/代理（Allied Telesis）</t>
        </is>
      </c>
      <c r="F916" t="inlineStr">
        <is>
          <t>Allied Telesis（Marvell Prestera 接入层）</t>
        </is>
      </c>
      <c r="G916" t="inlineStr">
        <is>
          <t>否</t>
        </is>
      </c>
      <c r="H916" t="inlineStr">
        <is>
          <t>Marvell Prestera 接入层切入</t>
        </is>
      </c>
      <c r="I916" t="inlineStr">
        <is>
          <t>LT-S8328XGP-4XS24GT-S</t>
        </is>
      </c>
      <c r="J916" t="inlineStr">
        <is>
          <t>见 alliedtelesis.com 伙伴页</t>
        </is>
      </c>
      <c r="K916" t="inlineStr">
        <is>
          <t>★★★</t>
        </is>
      </c>
      <c r="L916" t="inlineStr">
        <is>
          <t>未触达</t>
        </is>
      </c>
      <c r="M916" t="inlineStr">
        <is>
          <t>Allied Telesis 官方伙伴定位器（?country=germany）</t>
        </is>
      </c>
      <c r="N916" t="inlineStr"/>
      <c r="O916" t="inlineStr"/>
      <c r="P916" t="inlineStr"/>
      <c r="Q91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6" t="inlineStr">
        <is>
          <t>A</t>
        </is>
      </c>
      <c r="S916" t="inlineStr">
        <is>
          <t>【人工定级】A —— 自动规则已跳过；信息待人工补齐（见备注）</t>
        </is>
      </c>
      <c r="T916" t="inlineStr">
        <is>
          <t>A-261</t>
        </is>
      </c>
      <c r="U916" t="inlineStr"/>
      <c r="V916" t="inlineStr">
        <is>
          <t>A</t>
        </is>
      </c>
    </row>
    <row r="917">
      <c r="A917" t="inlineStr">
        <is>
          <t>m² IT Solutions e. K.</t>
        </is>
      </c>
      <c r="B917" t="inlineStr">
        <is>
          <t>德国</t>
        </is>
      </c>
      <c r="C917" t="inlineStr">
        <is>
          <t>Tübingen</t>
        </is>
      </c>
      <c r="D917" t="inlineStr"/>
      <c r="E917" t="inlineStr">
        <is>
          <t>集成商/代理（Allied Telesis）</t>
        </is>
      </c>
      <c r="F917" t="inlineStr">
        <is>
          <t>Allied Telesis（Marvell Prestera 接入层）</t>
        </is>
      </c>
      <c r="G917" t="inlineStr">
        <is>
          <t>否</t>
        </is>
      </c>
      <c r="H917" t="inlineStr">
        <is>
          <t>Marvell Prestera 接入层切入</t>
        </is>
      </c>
      <c r="I917" t="inlineStr">
        <is>
          <t>LT-S8328XGP-4XS24GT-S</t>
        </is>
      </c>
      <c r="J917" t="inlineStr">
        <is>
          <t>见 alliedtelesis.com 伙伴页</t>
        </is>
      </c>
      <c r="K917" t="inlineStr">
        <is>
          <t>★★★</t>
        </is>
      </c>
      <c r="L917" t="inlineStr">
        <is>
          <t>未触达</t>
        </is>
      </c>
      <c r="M917" t="inlineStr">
        <is>
          <t>Allied Telesis 官方伙伴定位器（?country=germany）</t>
        </is>
      </c>
      <c r="N917" t="inlineStr"/>
      <c r="O917" t="inlineStr"/>
      <c r="P917" t="inlineStr"/>
      <c r="Q9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7" t="inlineStr">
        <is>
          <t>A</t>
        </is>
      </c>
      <c r="S917" t="inlineStr">
        <is>
          <t>【人工定级】A —— 自动规则已跳过；信息待人工补齐（见备注）</t>
        </is>
      </c>
      <c r="T917" t="inlineStr">
        <is>
          <t>A-262</t>
        </is>
      </c>
      <c r="U917" t="inlineStr"/>
      <c r="V917" t="inlineStr">
        <is>
          <t>A</t>
        </is>
      </c>
    </row>
    <row r="918">
      <c r="A918" t="inlineStr">
        <is>
          <t>MECO Systemhaus GmbH &amp; Co. KG</t>
        </is>
      </c>
      <c r="B918" t="inlineStr">
        <is>
          <t>德国</t>
        </is>
      </c>
      <c r="C918" t="inlineStr">
        <is>
          <t>Boppard</t>
        </is>
      </c>
      <c r="D918" t="inlineStr"/>
      <c r="E918" t="inlineStr">
        <is>
          <t>集成商/代理（Allied Telesis）</t>
        </is>
      </c>
      <c r="F918" t="inlineStr">
        <is>
          <t>Allied Telesis（Marvell Prestera 接入层）</t>
        </is>
      </c>
      <c r="G918" t="inlineStr">
        <is>
          <t>否</t>
        </is>
      </c>
      <c r="H918" t="inlineStr">
        <is>
          <t>Marvell Prestera 接入层切入</t>
        </is>
      </c>
      <c r="I918" t="inlineStr">
        <is>
          <t>LT-S8328XGP-4XS24GT-S</t>
        </is>
      </c>
      <c r="J918" t="inlineStr">
        <is>
          <t>见 alliedtelesis.com 伙伴页</t>
        </is>
      </c>
      <c r="K918" t="inlineStr">
        <is>
          <t>★★★</t>
        </is>
      </c>
      <c r="L918" t="inlineStr">
        <is>
          <t>未触达</t>
        </is>
      </c>
      <c r="M918" t="inlineStr">
        <is>
          <t>Allied Telesis 官方伙伴定位器（?country=germany）</t>
        </is>
      </c>
      <c r="N918" t="inlineStr"/>
      <c r="O918" t="inlineStr"/>
      <c r="P918" t="inlineStr"/>
      <c r="Q9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18" t="inlineStr">
        <is>
          <t>A</t>
        </is>
      </c>
      <c r="S918" t="inlineStr">
        <is>
          <t>【人工定级】A —— 自动规则已跳过；信息待人工补齐（见备注）</t>
        </is>
      </c>
      <c r="T918" t="inlineStr">
        <is>
          <t>A-263</t>
        </is>
      </c>
      <c r="U918" t="inlineStr"/>
      <c r="V918" t="inlineStr">
        <is>
          <t>A</t>
        </is>
      </c>
    </row>
    <row r="919">
      <c r="A919" t="inlineStr">
        <is>
          <t>Merlin EDV</t>
        </is>
      </c>
      <c r="B919" t="inlineStr">
        <is>
          <t>德国</t>
        </is>
      </c>
      <c r="C919" t="inlineStr">
        <is>
          <t>Bayern</t>
        </is>
      </c>
      <c r="D919" t="inlineStr"/>
      <c r="E919" t="inlineStr">
        <is>
          <t>集成商/代理（Allied Telesis）</t>
        </is>
      </c>
      <c r="F919" t="inlineStr">
        <is>
          <t>Allied Telesis（Marvell Prestera 接入层）</t>
        </is>
      </c>
      <c r="G919" t="inlineStr">
        <is>
          <t>否</t>
        </is>
      </c>
      <c r="H919" t="inlineStr">
        <is>
          <t>Marvell Prestera 接入层切入</t>
        </is>
      </c>
      <c r="I919" t="inlineStr">
        <is>
          <t>LT-S8328XGP-4XS24GT-S</t>
        </is>
      </c>
      <c r="J919" t="inlineStr">
        <is>
          <t>见 alliedtelesis.com 伙伴页</t>
        </is>
      </c>
      <c r="K919" t="inlineStr">
        <is>
          <t>★★★</t>
        </is>
      </c>
      <c r="L919" t="inlineStr">
        <is>
          <t>未触达</t>
        </is>
      </c>
      <c r="M919" t="inlineStr">
        <is>
          <t>Allied Telesis 官方伙伴定位器（?country=germany）</t>
        </is>
      </c>
      <c r="N919" t="inlineStr"/>
      <c r="O919" t="inlineStr"/>
      <c r="P919" t="inlineStr"/>
      <c r="Q9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19" t="inlineStr">
        <is>
          <t>A</t>
        </is>
      </c>
      <c r="S919" t="inlineStr">
        <is>
          <t>【人工定级】A —— 自动规则已跳过；信息待人工补齐（见备注）</t>
        </is>
      </c>
      <c r="T919" t="inlineStr">
        <is>
          <t>A-264</t>
        </is>
      </c>
      <c r="U919" t="inlineStr"/>
      <c r="V919" t="inlineStr">
        <is>
          <t>A</t>
        </is>
      </c>
    </row>
    <row r="920">
      <c r="A920" t="inlineStr">
        <is>
          <t>Michael Schmidt IT GmbH</t>
        </is>
      </c>
      <c r="B920" t="inlineStr">
        <is>
          <t>德国</t>
        </is>
      </c>
      <c r="C920" t="inlineStr">
        <is>
          <t>Spardorf</t>
        </is>
      </c>
      <c r="D920" t="inlineStr"/>
      <c r="E920" t="inlineStr">
        <is>
          <t>集成商/代理（Allied Telesis）</t>
        </is>
      </c>
      <c r="F920" t="inlineStr">
        <is>
          <t>Allied Telesis（Marvell Prestera 接入层）</t>
        </is>
      </c>
      <c r="G920" t="inlineStr">
        <is>
          <t>否</t>
        </is>
      </c>
      <c r="H920" t="inlineStr">
        <is>
          <t>Marvell Prestera 接入层切入</t>
        </is>
      </c>
      <c r="I920" t="inlineStr">
        <is>
          <t>LT-S8328XGP-4XS24GT-S</t>
        </is>
      </c>
      <c r="J920" t="inlineStr">
        <is>
          <t>见 alliedtelesis.com 伙伴页</t>
        </is>
      </c>
      <c r="K920" t="inlineStr">
        <is>
          <t>★★★</t>
        </is>
      </c>
      <c r="L920" t="inlineStr">
        <is>
          <t>未触达</t>
        </is>
      </c>
      <c r="M920" t="inlineStr">
        <is>
          <t>Allied Telesis 官方伙伴定位器（?country=germany）</t>
        </is>
      </c>
      <c r="N920" t="inlineStr"/>
      <c r="O920" t="inlineStr"/>
      <c r="P920" t="inlineStr"/>
      <c r="Q92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0" t="inlineStr">
        <is>
          <t>A</t>
        </is>
      </c>
      <c r="S920" t="inlineStr">
        <is>
          <t>【人工定级】A —— 自动规则已跳过；信息待人工补齐（见备注）</t>
        </is>
      </c>
      <c r="T920" t="inlineStr">
        <is>
          <t>A-265</t>
        </is>
      </c>
      <c r="U920" t="inlineStr"/>
      <c r="V920" t="inlineStr">
        <is>
          <t>A</t>
        </is>
      </c>
    </row>
    <row r="921">
      <c r="A921" t="inlineStr">
        <is>
          <t>my ITService Wolfgang Deibe</t>
        </is>
      </c>
      <c r="B921" t="inlineStr">
        <is>
          <t>德国</t>
        </is>
      </c>
      <c r="C921" t="inlineStr">
        <is>
          <t>Wiehl</t>
        </is>
      </c>
      <c r="D921" t="inlineStr"/>
      <c r="E921" t="inlineStr">
        <is>
          <t>集成商/代理（Allied Telesis）</t>
        </is>
      </c>
      <c r="F921" t="inlineStr">
        <is>
          <t>Allied Telesis（Marvell Prestera 接入层）</t>
        </is>
      </c>
      <c r="G921" t="inlineStr">
        <is>
          <t>否</t>
        </is>
      </c>
      <c r="H921" t="inlineStr">
        <is>
          <t>Marvell Prestera 接入层切入</t>
        </is>
      </c>
      <c r="I921" t="inlineStr">
        <is>
          <t>LT-S8328XGP-4XS24GT-S</t>
        </is>
      </c>
      <c r="J921" t="inlineStr">
        <is>
          <t>见 alliedtelesis.com 伙伴页</t>
        </is>
      </c>
      <c r="K921" t="inlineStr">
        <is>
          <t>★★★</t>
        </is>
      </c>
      <c r="L921" t="inlineStr">
        <is>
          <t>未触达</t>
        </is>
      </c>
      <c r="M921" t="inlineStr">
        <is>
          <t>Allied Telesis 官方伙伴定位器（?country=germany）</t>
        </is>
      </c>
      <c r="N921" t="inlineStr"/>
      <c r="O921" t="inlineStr"/>
      <c r="P921" t="inlineStr"/>
      <c r="Q92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1" t="inlineStr">
        <is>
          <t>A</t>
        </is>
      </c>
      <c r="S921" t="inlineStr">
        <is>
          <t>【人工定级】A —— 自动规则已跳过；信息待人工补齐（见备注）</t>
        </is>
      </c>
      <c r="T921" t="inlineStr">
        <is>
          <t>A-266</t>
        </is>
      </c>
      <c r="U921" t="inlineStr"/>
      <c r="V921" t="inlineStr">
        <is>
          <t>A</t>
        </is>
      </c>
    </row>
    <row r="922">
      <c r="A922" t="inlineStr">
        <is>
          <t>N+P Informationssysteme GmbH</t>
        </is>
      </c>
      <c r="B922" t="inlineStr">
        <is>
          <t>德国</t>
        </is>
      </c>
      <c r="C922" t="inlineStr">
        <is>
          <t>Meerane</t>
        </is>
      </c>
      <c r="D922" t="inlineStr"/>
      <c r="E922" t="inlineStr">
        <is>
          <t>集成商/代理（Allied Telesis）</t>
        </is>
      </c>
      <c r="F922" t="inlineStr">
        <is>
          <t>Allied Telesis（Marvell Prestera 接入层）</t>
        </is>
      </c>
      <c r="G922" t="inlineStr">
        <is>
          <t>否</t>
        </is>
      </c>
      <c r="H922" t="inlineStr">
        <is>
          <t>Marvell Prestera 接入层切入</t>
        </is>
      </c>
      <c r="I922" t="inlineStr">
        <is>
          <t>LT-S8328XGP-4XS24GT-S</t>
        </is>
      </c>
      <c r="J922" t="inlineStr">
        <is>
          <t>见 alliedtelesis.com 伙伴页</t>
        </is>
      </c>
      <c r="K922" t="inlineStr">
        <is>
          <t>★★★</t>
        </is>
      </c>
      <c r="L922" t="inlineStr">
        <is>
          <t>未触达</t>
        </is>
      </c>
      <c r="M922" t="inlineStr">
        <is>
          <t>Allied Telesis 官方伙伴定位器（?country=germany）</t>
        </is>
      </c>
      <c r="N922" t="inlineStr"/>
      <c r="O922" t="inlineStr"/>
      <c r="P922" t="inlineStr"/>
      <c r="Q92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2" t="inlineStr">
        <is>
          <t>A</t>
        </is>
      </c>
      <c r="S922" t="inlineStr">
        <is>
          <t>【人工定级】A —— 自动规则已跳过；信息待人工补齐（见备注）</t>
        </is>
      </c>
      <c r="T922" t="inlineStr">
        <is>
          <t>A-267</t>
        </is>
      </c>
      <c r="U922" t="inlineStr"/>
      <c r="V922" t="inlineStr">
        <is>
          <t>A</t>
        </is>
      </c>
    </row>
    <row r="923">
      <c r="A923" t="inlineStr">
        <is>
          <t>Netz16 GmbH</t>
        </is>
      </c>
      <c r="B923" t="inlineStr">
        <is>
          <t>德国</t>
        </is>
      </c>
      <c r="C923" t="inlineStr">
        <is>
          <t>Augsburg</t>
        </is>
      </c>
      <c r="D923" t="inlineStr"/>
      <c r="E923" t="inlineStr">
        <is>
          <t>集成商/代理（Allied Telesis）</t>
        </is>
      </c>
      <c r="F923" t="inlineStr">
        <is>
          <t>Allied Telesis（Marvell Prestera 接入层）</t>
        </is>
      </c>
      <c r="G923" t="inlineStr">
        <is>
          <t>否</t>
        </is>
      </c>
      <c r="H923" t="inlineStr">
        <is>
          <t>Marvell Prestera 接入层切入</t>
        </is>
      </c>
      <c r="I923" t="inlineStr">
        <is>
          <t>LT-S8328XGP-4XS24GT-S</t>
        </is>
      </c>
      <c r="J923" t="inlineStr">
        <is>
          <t>见 alliedtelesis.com 伙伴页</t>
        </is>
      </c>
      <c r="K923" t="inlineStr">
        <is>
          <t>★★★</t>
        </is>
      </c>
      <c r="L923" t="inlineStr">
        <is>
          <t>未触达</t>
        </is>
      </c>
      <c r="M923" t="inlineStr">
        <is>
          <t>Allied Telesis 官方伙伴定位器（?country=germany）</t>
        </is>
      </c>
      <c r="N923" t="inlineStr"/>
      <c r="O923" t="inlineStr"/>
      <c r="P923" t="inlineStr"/>
      <c r="Q92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3" t="inlineStr">
        <is>
          <t>A</t>
        </is>
      </c>
      <c r="S923" t="inlineStr">
        <is>
          <t>【人工定级】A —— 自动规则已跳过；信息待人工补齐（见备注）</t>
        </is>
      </c>
      <c r="T923" t="inlineStr">
        <is>
          <t>A-268</t>
        </is>
      </c>
      <c r="U923" t="inlineStr"/>
      <c r="V923" t="inlineStr">
        <is>
          <t>A</t>
        </is>
      </c>
    </row>
    <row r="924">
      <c r="A924" t="inlineStr">
        <is>
          <t>NiTo IT Systeme GmbH</t>
        </is>
      </c>
      <c r="B924" t="inlineStr">
        <is>
          <t>德国</t>
        </is>
      </c>
      <c r="C924" t="inlineStr">
        <is>
          <t>Berlin</t>
        </is>
      </c>
      <c r="D924" t="inlineStr"/>
      <c r="E924" t="inlineStr">
        <is>
          <t>集成商/代理（Allied Telesis）</t>
        </is>
      </c>
      <c r="F924" t="inlineStr">
        <is>
          <t>Allied Telesis（Marvell Prestera 接入层）</t>
        </is>
      </c>
      <c r="G924" t="inlineStr">
        <is>
          <t>否</t>
        </is>
      </c>
      <c r="H924" t="inlineStr">
        <is>
          <t>Marvell Prestera 接入层切入</t>
        </is>
      </c>
      <c r="I924" t="inlineStr">
        <is>
          <t>LT-S8328XGP-4XS24GT-S</t>
        </is>
      </c>
      <c r="J924" t="inlineStr">
        <is>
          <t>见 alliedtelesis.com 伙伴页</t>
        </is>
      </c>
      <c r="K924" t="inlineStr">
        <is>
          <t>★★★</t>
        </is>
      </c>
      <c r="L924" t="inlineStr">
        <is>
          <t>未触达</t>
        </is>
      </c>
      <c r="M924" t="inlineStr">
        <is>
          <t>Allied Telesis 官方伙伴定位器（?country=germany）</t>
        </is>
      </c>
      <c r="N924" t="inlineStr"/>
      <c r="O924" t="inlineStr"/>
      <c r="P924" t="inlineStr"/>
      <c r="Q92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4" t="inlineStr">
        <is>
          <t>A</t>
        </is>
      </c>
      <c r="S924" t="inlineStr">
        <is>
          <t>【人工定级】A —— 自动规则已跳过；信息待人工补齐（见备注）</t>
        </is>
      </c>
      <c r="T924" t="inlineStr">
        <is>
          <t>A-269</t>
        </is>
      </c>
      <c r="U924" t="inlineStr"/>
      <c r="V924" t="inlineStr">
        <is>
          <t>A</t>
        </is>
      </c>
    </row>
    <row r="925">
      <c r="A925" t="inlineStr">
        <is>
          <t>Nutz GmbH</t>
        </is>
      </c>
      <c r="B925" t="inlineStr">
        <is>
          <t>德国</t>
        </is>
      </c>
      <c r="C925" t="inlineStr">
        <is>
          <t>Ampfing</t>
        </is>
      </c>
      <c r="D925" t="inlineStr"/>
      <c r="E925" t="inlineStr">
        <is>
          <t>集成商/代理（Allied Telesis）</t>
        </is>
      </c>
      <c r="F925" t="inlineStr">
        <is>
          <t>Allied Telesis（Marvell Prestera 接入层）</t>
        </is>
      </c>
      <c r="G925" t="inlineStr">
        <is>
          <t>否</t>
        </is>
      </c>
      <c r="H925" t="inlineStr">
        <is>
          <t>Marvell Prestera 接入层切入</t>
        </is>
      </c>
      <c r="I925" t="inlineStr">
        <is>
          <t>LT-S8328XGP-4XS24GT-S</t>
        </is>
      </c>
      <c r="J925" t="inlineStr">
        <is>
          <t>见 alliedtelesis.com 伙伴页</t>
        </is>
      </c>
      <c r="K925" t="inlineStr">
        <is>
          <t>★★★</t>
        </is>
      </c>
      <c r="L925" t="inlineStr">
        <is>
          <t>未触达</t>
        </is>
      </c>
      <c r="M925" t="inlineStr">
        <is>
          <t>Allied Telesis 官方伙伴定位器（?country=germany）</t>
        </is>
      </c>
      <c r="N925" t="inlineStr"/>
      <c r="O925" t="inlineStr"/>
      <c r="P925" t="inlineStr"/>
      <c r="Q92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5" t="inlineStr">
        <is>
          <t>A</t>
        </is>
      </c>
      <c r="S925" t="inlineStr">
        <is>
          <t>【人工定级】A —— 自动规则已跳过；信息待人工补齐（见备注）</t>
        </is>
      </c>
      <c r="T925" t="inlineStr">
        <is>
          <t>A-270</t>
        </is>
      </c>
      <c r="U925" t="inlineStr"/>
      <c r="V925" t="inlineStr">
        <is>
          <t>A</t>
        </is>
      </c>
    </row>
    <row r="926">
      <c r="A926" t="inlineStr">
        <is>
          <t>OAS AG</t>
        </is>
      </c>
      <c r="B926" t="inlineStr">
        <is>
          <t>德国</t>
        </is>
      </c>
      <c r="C926" t="inlineStr">
        <is>
          <t>Bremen</t>
        </is>
      </c>
      <c r="D926" t="inlineStr"/>
      <c r="E926" t="inlineStr">
        <is>
          <t>集成商/代理（Allied Telesis）</t>
        </is>
      </c>
      <c r="F926" t="inlineStr">
        <is>
          <t>Allied Telesis（Marvell Prestera 接入层）</t>
        </is>
      </c>
      <c r="G926" t="inlineStr">
        <is>
          <t>否</t>
        </is>
      </c>
      <c r="H926" t="inlineStr">
        <is>
          <t>Marvell Prestera 接入层切入</t>
        </is>
      </c>
      <c r="I926" t="inlineStr">
        <is>
          <t>LT-S8328XGP-4XS24GT-S</t>
        </is>
      </c>
      <c r="J926" t="inlineStr">
        <is>
          <t>见 alliedtelesis.com 伙伴页</t>
        </is>
      </c>
      <c r="K926" t="inlineStr">
        <is>
          <t>★★★</t>
        </is>
      </c>
      <c r="L926" t="inlineStr">
        <is>
          <t>未触达</t>
        </is>
      </c>
      <c r="M926" t="inlineStr">
        <is>
          <t>Allied Telesis 官方伙伴定位器（?country=germany）</t>
        </is>
      </c>
      <c r="N926" t="inlineStr"/>
      <c r="O926" t="inlineStr"/>
      <c r="P926" t="inlineStr"/>
      <c r="Q92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6" t="inlineStr">
        <is>
          <t>A</t>
        </is>
      </c>
      <c r="S926" t="inlineStr">
        <is>
          <t>【人工定级】A —— 自动规则已跳过；信息待人工补齐（见备注）</t>
        </is>
      </c>
      <c r="T926" t="inlineStr">
        <is>
          <t>A-271</t>
        </is>
      </c>
      <c r="U926" t="inlineStr"/>
      <c r="V926" t="inlineStr">
        <is>
          <t>A</t>
        </is>
      </c>
    </row>
    <row r="927">
      <c r="A927" t="inlineStr">
        <is>
          <t>Phoenix IT Solutions</t>
        </is>
      </c>
      <c r="B927" t="inlineStr">
        <is>
          <t>德国</t>
        </is>
      </c>
      <c r="C927" t="inlineStr">
        <is>
          <t>Brackenheim</t>
        </is>
      </c>
      <c r="D927" t="inlineStr"/>
      <c r="E927" t="inlineStr">
        <is>
          <t>集成商/代理（Allied Telesis）</t>
        </is>
      </c>
      <c r="F927" t="inlineStr">
        <is>
          <t>Allied Telesis（Marvell Prestera 接入层）</t>
        </is>
      </c>
      <c r="G927" t="inlineStr">
        <is>
          <t>否</t>
        </is>
      </c>
      <c r="H927" t="inlineStr">
        <is>
          <t>Marvell Prestera 接入层切入</t>
        </is>
      </c>
      <c r="I927" t="inlineStr">
        <is>
          <t>LT-S8328XGP-4XS24GT-S</t>
        </is>
      </c>
      <c r="J927" t="inlineStr">
        <is>
          <t>见 alliedtelesis.com 伙伴页</t>
        </is>
      </c>
      <c r="K927" t="inlineStr">
        <is>
          <t>★★★</t>
        </is>
      </c>
      <c r="L927" t="inlineStr">
        <is>
          <t>未触达</t>
        </is>
      </c>
      <c r="M927" t="inlineStr">
        <is>
          <t>Allied Telesis 官方伙伴定位器（?country=germany）</t>
        </is>
      </c>
      <c r="N927" t="inlineStr"/>
      <c r="O927" t="inlineStr"/>
      <c r="P927" t="inlineStr"/>
      <c r="Q92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27" t="inlineStr">
        <is>
          <t>A</t>
        </is>
      </c>
      <c r="S927" t="inlineStr">
        <is>
          <t>【人工定级】A —— 自动规则已跳过；信息待人工补齐（见备注）</t>
        </is>
      </c>
      <c r="T927" t="inlineStr">
        <is>
          <t>A-272</t>
        </is>
      </c>
      <c r="U927" t="inlineStr"/>
      <c r="V927" t="inlineStr">
        <is>
          <t>A</t>
        </is>
      </c>
    </row>
    <row r="928">
      <c r="A928" t="inlineStr">
        <is>
          <t>PKE Deutschland GmbH – Niederlassung Berlin</t>
        </is>
      </c>
      <c r="B928" t="inlineStr">
        <is>
          <t>德国</t>
        </is>
      </c>
      <c r="C928" t="inlineStr">
        <is>
          <t>Berlin</t>
        </is>
      </c>
      <c r="D928" t="inlineStr"/>
      <c r="E928" t="inlineStr">
        <is>
          <t>集成商/代理（Allied Telesis）</t>
        </is>
      </c>
      <c r="F928" t="inlineStr">
        <is>
          <t>Allied Telesis（Marvell Prestera 接入层）</t>
        </is>
      </c>
      <c r="G928" t="inlineStr">
        <is>
          <t>否</t>
        </is>
      </c>
      <c r="H928" t="inlineStr">
        <is>
          <t>Marvell Prestera 接入层切入</t>
        </is>
      </c>
      <c r="I928" t="inlineStr">
        <is>
          <t>LT-S8328XGP-4XS24GT-S</t>
        </is>
      </c>
      <c r="J928" t="inlineStr">
        <is>
          <t>见 alliedtelesis.com 伙伴页</t>
        </is>
      </c>
      <c r="K928" t="inlineStr">
        <is>
          <t>★★★</t>
        </is>
      </c>
      <c r="L928" t="inlineStr">
        <is>
          <t>未触达</t>
        </is>
      </c>
      <c r="M928" t="inlineStr">
        <is>
          <t>Allied Telesis 官方伙伴定位器（?country=germany）</t>
        </is>
      </c>
      <c r="N928" t="inlineStr"/>
      <c r="O928" t="inlineStr"/>
      <c r="P928" t="inlineStr"/>
      <c r="Q92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8" t="inlineStr">
        <is>
          <t>A</t>
        </is>
      </c>
      <c r="S928" t="inlineStr">
        <is>
          <t>【人工定级】A —— 自动规则已跳过；信息待人工补齐（见备注）</t>
        </is>
      </c>
      <c r="T928" t="inlineStr">
        <is>
          <t>A-273</t>
        </is>
      </c>
      <c r="U928" t="inlineStr"/>
      <c r="V928" t="inlineStr">
        <is>
          <t>A</t>
        </is>
      </c>
    </row>
    <row r="929">
      <c r="A929" t="inlineStr">
        <is>
          <t>prego services GmbH</t>
        </is>
      </c>
      <c r="B929" t="inlineStr">
        <is>
          <t>德国</t>
        </is>
      </c>
      <c r="C929" t="inlineStr">
        <is>
          <t>Ludwigshafen am Rhein</t>
        </is>
      </c>
      <c r="D929" t="inlineStr"/>
      <c r="E929" t="inlineStr">
        <is>
          <t>集成商/代理（Allied Telesis）</t>
        </is>
      </c>
      <c r="F929" t="inlineStr">
        <is>
          <t>Allied Telesis（Marvell Prestera 接入层）</t>
        </is>
      </c>
      <c r="G929" t="inlineStr">
        <is>
          <t>否</t>
        </is>
      </c>
      <c r="H929" t="inlineStr">
        <is>
          <t>Marvell Prestera 接入层切入</t>
        </is>
      </c>
      <c r="I929" t="inlineStr">
        <is>
          <t>LT-S8328XGP-4XS24GT-S</t>
        </is>
      </c>
      <c r="J929" t="inlineStr">
        <is>
          <t>见 alliedtelesis.com 伙伴页</t>
        </is>
      </c>
      <c r="K929" t="inlineStr">
        <is>
          <t>★★★</t>
        </is>
      </c>
      <c r="L929" t="inlineStr">
        <is>
          <t>未触达</t>
        </is>
      </c>
      <c r="M929" t="inlineStr">
        <is>
          <t>Allied Telesis 官方伙伴定位器（?country=germany）</t>
        </is>
      </c>
      <c r="N929" t="inlineStr"/>
      <c r="O929" t="inlineStr"/>
      <c r="P929" t="inlineStr"/>
      <c r="Q92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29" t="inlineStr">
        <is>
          <t>A</t>
        </is>
      </c>
      <c r="S929" t="inlineStr">
        <is>
          <t>【人工定级】A —— 自动规则已跳过；信息待人工补齐（见备注）</t>
        </is>
      </c>
      <c r="T929" t="inlineStr">
        <is>
          <t>A-274</t>
        </is>
      </c>
      <c r="U929" t="inlineStr"/>
      <c r="V929" t="inlineStr">
        <is>
          <t>A</t>
        </is>
      </c>
    </row>
    <row r="930">
      <c r="A930" t="inlineStr">
        <is>
          <t>Prinzing Elektrotechnik GmbH</t>
        </is>
      </c>
      <c r="B930" t="inlineStr">
        <is>
          <t>德国</t>
        </is>
      </c>
      <c r="C930" t="inlineStr">
        <is>
          <t>Frankfurt am Main</t>
        </is>
      </c>
      <c r="D930" t="inlineStr"/>
      <c r="E930" t="inlineStr">
        <is>
          <t>集成商/代理（Allied Telesis）</t>
        </is>
      </c>
      <c r="F930" t="inlineStr">
        <is>
          <t>Allied Telesis（Marvell Prestera 接入层）</t>
        </is>
      </c>
      <c r="G930" t="inlineStr">
        <is>
          <t>否</t>
        </is>
      </c>
      <c r="H930" t="inlineStr">
        <is>
          <t>Marvell Prestera 接入层切入</t>
        </is>
      </c>
      <c r="I930" t="inlineStr">
        <is>
          <t>LT-S8328XGP-4XS24GT-S</t>
        </is>
      </c>
      <c r="J930" t="inlineStr">
        <is>
          <t>见 alliedtelesis.com 伙伴页</t>
        </is>
      </c>
      <c r="K930" t="inlineStr">
        <is>
          <t>★★★</t>
        </is>
      </c>
      <c r="L930" t="inlineStr">
        <is>
          <t>未触达</t>
        </is>
      </c>
      <c r="M930" t="inlineStr">
        <is>
          <t>Allied Telesis 官方伙伴定位器（?country=germany）</t>
        </is>
      </c>
      <c r="N930" t="inlineStr"/>
      <c r="O930" t="inlineStr"/>
      <c r="P930" t="inlineStr"/>
      <c r="Q93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0" t="inlineStr">
        <is>
          <t>A</t>
        </is>
      </c>
      <c r="S930" t="inlineStr">
        <is>
          <t>【人工定级】A —— 自动规则已跳过；信息待人工补齐（见备注）</t>
        </is>
      </c>
      <c r="T930" t="inlineStr">
        <is>
          <t>A-275</t>
        </is>
      </c>
      <c r="U930" t="inlineStr"/>
      <c r="V930" t="inlineStr">
        <is>
          <t>A</t>
        </is>
      </c>
    </row>
    <row r="931">
      <c r="A931" t="inlineStr">
        <is>
          <t>RECOS SYSTEM SOLUTIONS GmbH</t>
        </is>
      </c>
      <c r="B931" t="inlineStr">
        <is>
          <t>德国</t>
        </is>
      </c>
      <c r="C931" t="inlineStr">
        <is>
          <t>München</t>
        </is>
      </c>
      <c r="D931" t="inlineStr"/>
      <c r="E931" t="inlineStr">
        <is>
          <t>集成商/代理（Allied Telesis）</t>
        </is>
      </c>
      <c r="F931" t="inlineStr">
        <is>
          <t>Allied Telesis（Marvell Prestera 接入层）</t>
        </is>
      </c>
      <c r="G931" t="inlineStr">
        <is>
          <t>否</t>
        </is>
      </c>
      <c r="H931" t="inlineStr">
        <is>
          <t>Marvell Prestera 接入层切入</t>
        </is>
      </c>
      <c r="I931" t="inlineStr">
        <is>
          <t>LT-S8328XGP-4XS24GT-S</t>
        </is>
      </c>
      <c r="J931" t="inlineStr">
        <is>
          <t>见 alliedtelesis.com 伙伴页</t>
        </is>
      </c>
      <c r="K931" t="inlineStr">
        <is>
          <t>★★★</t>
        </is>
      </c>
      <c r="L931" t="inlineStr">
        <is>
          <t>未触达</t>
        </is>
      </c>
      <c r="M931" t="inlineStr">
        <is>
          <t>Allied Telesis 官方伙伴定位器（?country=germany）</t>
        </is>
      </c>
      <c r="N931" t="inlineStr"/>
      <c r="O931" t="inlineStr"/>
      <c r="P931" t="inlineStr"/>
      <c r="Q93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1" t="inlineStr">
        <is>
          <t>A</t>
        </is>
      </c>
      <c r="S931" t="inlineStr">
        <is>
          <t>【人工定级】A —— 自动规则已跳过；信息待人工补齐（见备注）</t>
        </is>
      </c>
      <c r="T931" t="inlineStr">
        <is>
          <t>A-276</t>
        </is>
      </c>
      <c r="U931" t="inlineStr"/>
      <c r="V931" t="inlineStr">
        <is>
          <t>A</t>
        </is>
      </c>
    </row>
    <row r="932">
      <c r="A932" t="inlineStr">
        <is>
          <t>Selos Informationssysteme GmbH</t>
        </is>
      </c>
      <c r="B932" t="inlineStr">
        <is>
          <t>德国</t>
        </is>
      </c>
      <c r="C932" t="inlineStr">
        <is>
          <t>Wilhelmshaven</t>
        </is>
      </c>
      <c r="D932" t="inlineStr"/>
      <c r="E932" t="inlineStr">
        <is>
          <t>集成商/代理（Allied Telesis）</t>
        </is>
      </c>
      <c r="F932" t="inlineStr">
        <is>
          <t>Allied Telesis（Marvell Prestera 接入层）</t>
        </is>
      </c>
      <c r="G932" t="inlineStr">
        <is>
          <t>否</t>
        </is>
      </c>
      <c r="H932" t="inlineStr">
        <is>
          <t>Marvell Prestera 接入层切入</t>
        </is>
      </c>
      <c r="I932" t="inlineStr">
        <is>
          <t>LT-S8328XGP-4XS24GT-S</t>
        </is>
      </c>
      <c r="J932" t="inlineStr">
        <is>
          <t>见 alliedtelesis.com 伙伴页</t>
        </is>
      </c>
      <c r="K932" t="inlineStr">
        <is>
          <t>★★★</t>
        </is>
      </c>
      <c r="L932" t="inlineStr">
        <is>
          <t>未触达</t>
        </is>
      </c>
      <c r="M932" t="inlineStr">
        <is>
          <t>Allied Telesis 官方伙伴定位器（?country=germany）</t>
        </is>
      </c>
      <c r="N932" t="inlineStr"/>
      <c r="O932" t="inlineStr"/>
      <c r="P932" t="inlineStr"/>
      <c r="Q93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2" t="inlineStr">
        <is>
          <t>A</t>
        </is>
      </c>
      <c r="S932" t="inlineStr">
        <is>
          <t>【人工定级】A —— 自动规则已跳过；信息待人工补齐（见备注）</t>
        </is>
      </c>
      <c r="T932" t="inlineStr">
        <is>
          <t>A-277</t>
        </is>
      </c>
      <c r="U932" t="inlineStr"/>
      <c r="V932" t="inlineStr">
        <is>
          <t>A</t>
        </is>
      </c>
    </row>
    <row r="933">
      <c r="A933" t="inlineStr">
        <is>
          <t>Sittig Technologies GmbH</t>
        </is>
      </c>
      <c r="B933" t="inlineStr">
        <is>
          <t>德国</t>
        </is>
      </c>
      <c r="C933" t="inlineStr"/>
      <c r="D933" t="inlineStr"/>
      <c r="E933" t="inlineStr">
        <is>
          <t>集成商/代理（Allied Telesis）</t>
        </is>
      </c>
      <c r="F933" t="inlineStr">
        <is>
          <t>Allied Telesis（Marvell Prestera 接入层）</t>
        </is>
      </c>
      <c r="G933" t="inlineStr">
        <is>
          <t>否</t>
        </is>
      </c>
      <c r="H933" t="inlineStr">
        <is>
          <t>Marvell Prestera 接入层切入</t>
        </is>
      </c>
      <c r="I933" t="inlineStr">
        <is>
          <t>LT-S8328XGP-4XS24GT-S</t>
        </is>
      </c>
      <c r="J933" t="inlineStr">
        <is>
          <t>见 alliedtelesis.com 伙伴页</t>
        </is>
      </c>
      <c r="K933" t="inlineStr">
        <is>
          <t>★★★</t>
        </is>
      </c>
      <c r="L933" t="inlineStr">
        <is>
          <t>未触达</t>
        </is>
      </c>
      <c r="M933" t="inlineStr">
        <is>
          <t>Allied Telesis 官方伙伴定位器（?country=germany）</t>
        </is>
      </c>
      <c r="N933" t="inlineStr"/>
      <c r="O933" t="inlineStr"/>
      <c r="P933" t="inlineStr"/>
      <c r="Q93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3" t="inlineStr">
        <is>
          <t>A</t>
        </is>
      </c>
      <c r="S933" t="inlineStr">
        <is>
          <t>【人工定级】A —— 自动规则已跳过；信息待人工补齐（见备注）</t>
        </is>
      </c>
      <c r="T933" t="inlineStr">
        <is>
          <t>A-278</t>
        </is>
      </c>
      <c r="U933" t="inlineStr"/>
      <c r="V933" t="inlineStr">
        <is>
          <t>A</t>
        </is>
      </c>
    </row>
    <row r="934">
      <c r="A934" t="inlineStr">
        <is>
          <t>TELCAT MULTICOM GmbH – HQ</t>
        </is>
      </c>
      <c r="B934" t="inlineStr">
        <is>
          <t>德国</t>
        </is>
      </c>
      <c r="C934" t="inlineStr">
        <is>
          <t>Salzgitter</t>
        </is>
      </c>
      <c r="D934" t="inlineStr"/>
      <c r="E934" t="inlineStr">
        <is>
          <t>集成商/代理（Allied Telesis）</t>
        </is>
      </c>
      <c r="F934" t="inlineStr">
        <is>
          <t>Allied Telesis（Marvell Prestera 接入层）</t>
        </is>
      </c>
      <c r="G934" t="inlineStr">
        <is>
          <t>否</t>
        </is>
      </c>
      <c r="H934" t="inlineStr">
        <is>
          <t>Marvell Prestera 接入层切入</t>
        </is>
      </c>
      <c r="I934" t="inlineStr">
        <is>
          <t>LT-S8328XGP-4XS24GT-S</t>
        </is>
      </c>
      <c r="J934" t="inlineStr">
        <is>
          <t>见 alliedtelesis.com 伙伴页</t>
        </is>
      </c>
      <c r="K934" t="inlineStr">
        <is>
          <t>★★★</t>
        </is>
      </c>
      <c r="L934" t="inlineStr">
        <is>
          <t>未触达</t>
        </is>
      </c>
      <c r="M934" t="inlineStr">
        <is>
          <t>Allied Telesis 官方伙伴定位器（?country=germany）</t>
        </is>
      </c>
      <c r="N934" t="inlineStr"/>
      <c r="O934" t="inlineStr"/>
      <c r="P934" t="inlineStr"/>
      <c r="Q93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4" t="inlineStr">
        <is>
          <t>A</t>
        </is>
      </c>
      <c r="S934" t="inlineStr">
        <is>
          <t>【人工定级】A —— 自动规则已跳过；信息待人工补齐（见备注）</t>
        </is>
      </c>
      <c r="T934" t="inlineStr">
        <is>
          <t>A-279</t>
        </is>
      </c>
      <c r="U934" t="inlineStr"/>
      <c r="V934" t="inlineStr">
        <is>
          <t>A</t>
        </is>
      </c>
    </row>
    <row r="935">
      <c r="A935" t="inlineStr">
        <is>
          <t>think about IT GmbH</t>
        </is>
      </c>
      <c r="B935" t="inlineStr">
        <is>
          <t>德国</t>
        </is>
      </c>
      <c r="C935" t="inlineStr">
        <is>
          <t>Bochum</t>
        </is>
      </c>
      <c r="D935" t="inlineStr"/>
      <c r="E935" t="inlineStr">
        <is>
          <t>集成商/代理（Allied Telesis）</t>
        </is>
      </c>
      <c r="F935" t="inlineStr">
        <is>
          <t>Allied Telesis（Marvell Prestera 接入层）</t>
        </is>
      </c>
      <c r="G935" t="inlineStr">
        <is>
          <t>否</t>
        </is>
      </c>
      <c r="H935" t="inlineStr">
        <is>
          <t>Marvell Prestera 接入层切入</t>
        </is>
      </c>
      <c r="I935" t="inlineStr">
        <is>
          <t>LT-S8328XGP-4XS24GT-S</t>
        </is>
      </c>
      <c r="J935" t="inlineStr">
        <is>
          <t>见 alliedtelesis.com 伙伴页</t>
        </is>
      </c>
      <c r="K935" t="inlineStr">
        <is>
          <t>★★★</t>
        </is>
      </c>
      <c r="L935" t="inlineStr">
        <is>
          <t>未触达</t>
        </is>
      </c>
      <c r="M935" t="inlineStr">
        <is>
          <t>Allied Telesis 官方伙伴定位器（?country=germany）</t>
        </is>
      </c>
      <c r="N935" t="inlineStr"/>
      <c r="O935" t="inlineStr"/>
      <c r="P935" t="inlineStr"/>
      <c r="Q93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5" t="inlineStr">
        <is>
          <t>A</t>
        </is>
      </c>
      <c r="S935" t="inlineStr">
        <is>
          <t>【人工定级】A —— 自动规则已跳过；信息待人工补齐（见备注）</t>
        </is>
      </c>
      <c r="T935" t="inlineStr">
        <is>
          <t>A-280</t>
        </is>
      </c>
      <c r="U935" t="inlineStr"/>
      <c r="V935" t="inlineStr">
        <is>
          <t>A</t>
        </is>
      </c>
    </row>
    <row r="936">
      <c r="A936" t="inlineStr">
        <is>
          <t>Tiefenbach IT GmbH</t>
        </is>
      </c>
      <c r="B936" t="inlineStr">
        <is>
          <t>德国</t>
        </is>
      </c>
      <c r="C936" t="inlineStr">
        <is>
          <t>Hochdorf-Assenheim</t>
        </is>
      </c>
      <c r="D936" t="inlineStr"/>
      <c r="E936" t="inlineStr">
        <is>
          <t>集成商/代理（Allied Telesis）</t>
        </is>
      </c>
      <c r="F936" t="inlineStr">
        <is>
          <t>Allied Telesis（Marvell Prestera 接入层）</t>
        </is>
      </c>
      <c r="G936" t="inlineStr">
        <is>
          <t>否</t>
        </is>
      </c>
      <c r="H936" t="inlineStr">
        <is>
          <t>Marvell Prestera 接入层切入</t>
        </is>
      </c>
      <c r="I936" t="inlineStr">
        <is>
          <t>LT-S8328XGP-4XS24GT-S</t>
        </is>
      </c>
      <c r="J936" t="inlineStr">
        <is>
          <t>见 alliedtelesis.com 伙伴页</t>
        </is>
      </c>
      <c r="K936" t="inlineStr">
        <is>
          <t>★★★</t>
        </is>
      </c>
      <c r="L936" t="inlineStr">
        <is>
          <t>未触达</t>
        </is>
      </c>
      <c r="M936" t="inlineStr">
        <is>
          <t>Allied Telesis 官方伙伴定位器（?country=germany）</t>
        </is>
      </c>
      <c r="N936" t="inlineStr"/>
      <c r="O936" t="inlineStr"/>
      <c r="P936" t="inlineStr"/>
      <c r="Q93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6" t="inlineStr">
        <is>
          <t>A</t>
        </is>
      </c>
      <c r="S936" t="inlineStr">
        <is>
          <t>【人工定级】A —— 自动规则已跳过；信息待人工补齐（见备注）</t>
        </is>
      </c>
      <c r="T936" t="inlineStr">
        <is>
          <t>A-281</t>
        </is>
      </c>
      <c r="U936" t="inlineStr"/>
      <c r="V936" t="inlineStr">
        <is>
          <t>A</t>
        </is>
      </c>
    </row>
    <row r="937">
      <c r="A937" t="inlineStr">
        <is>
          <t>TQ-Systems GmbH</t>
        </is>
      </c>
      <c r="B937" t="inlineStr">
        <is>
          <t>德国</t>
        </is>
      </c>
      <c r="C937" t="inlineStr">
        <is>
          <t>Seefeld</t>
        </is>
      </c>
      <c r="D937" t="inlineStr"/>
      <c r="E937" t="inlineStr">
        <is>
          <t>集成商/代理（Allied Telesis）</t>
        </is>
      </c>
      <c r="F937" t="inlineStr">
        <is>
          <t>Allied Telesis（Marvell Prestera 接入层）</t>
        </is>
      </c>
      <c r="G937" t="inlineStr">
        <is>
          <t>否</t>
        </is>
      </c>
      <c r="H937" t="inlineStr">
        <is>
          <t>Marvell Prestera 接入层切入</t>
        </is>
      </c>
      <c r="I937" t="inlineStr">
        <is>
          <t>LT-S8328XGP-4XS24GT-S</t>
        </is>
      </c>
      <c r="J937" t="inlineStr">
        <is>
          <t>见 alliedtelesis.com 伙伴页</t>
        </is>
      </c>
      <c r="K937" t="inlineStr">
        <is>
          <t>★★★</t>
        </is>
      </c>
      <c r="L937" t="inlineStr">
        <is>
          <t>未触达</t>
        </is>
      </c>
      <c r="M937" t="inlineStr">
        <is>
          <t>Allied Telesis 官方伙伴定位器（?country=germany）</t>
        </is>
      </c>
      <c r="N937" t="inlineStr"/>
      <c r="O937" t="inlineStr"/>
      <c r="P937" t="inlineStr"/>
      <c r="Q93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7" t="inlineStr">
        <is>
          <t>A</t>
        </is>
      </c>
      <c r="S937" t="inlineStr">
        <is>
          <t>【人工定级】A —— 自动规则已跳过；信息待人工补齐（见备注）</t>
        </is>
      </c>
      <c r="T937" t="inlineStr">
        <is>
          <t>A-282</t>
        </is>
      </c>
      <c r="U937" t="inlineStr"/>
      <c r="V937" t="inlineStr">
        <is>
          <t>A</t>
        </is>
      </c>
    </row>
    <row r="938">
      <c r="A938" t="inlineStr">
        <is>
          <t>wp.DATA Kommunikations GmbH</t>
        </is>
      </c>
      <c r="B938" t="inlineStr">
        <is>
          <t>德国</t>
        </is>
      </c>
      <c r="C938" t="inlineStr">
        <is>
          <t>Neuss</t>
        </is>
      </c>
      <c r="D938" t="inlineStr"/>
      <c r="E938" t="inlineStr">
        <is>
          <t>集成商/代理（Allied Telesis）</t>
        </is>
      </c>
      <c r="F938" t="inlineStr">
        <is>
          <t>Allied Telesis（Marvell Prestera 接入层）</t>
        </is>
      </c>
      <c r="G938" t="inlineStr">
        <is>
          <t>否</t>
        </is>
      </c>
      <c r="H938" t="inlineStr">
        <is>
          <t>Marvell Prestera 接入层切入</t>
        </is>
      </c>
      <c r="I938" t="inlineStr">
        <is>
          <t>LT-S8328XGP-4XS24GT-S</t>
        </is>
      </c>
      <c r="J938" t="inlineStr">
        <is>
          <t>见 alliedtelesis.com 伙伴页</t>
        </is>
      </c>
      <c r="K938" t="inlineStr">
        <is>
          <t>★★★</t>
        </is>
      </c>
      <c r="L938" t="inlineStr">
        <is>
          <t>未触达</t>
        </is>
      </c>
      <c r="M938" t="inlineStr">
        <is>
          <t>Allied Telesis 官方伙伴定位器（?country=germany）</t>
        </is>
      </c>
      <c r="N938" t="inlineStr"/>
      <c r="O938" t="inlineStr"/>
      <c r="P938" t="inlineStr"/>
      <c r="Q93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38" t="inlineStr">
        <is>
          <t>A</t>
        </is>
      </c>
      <c r="S938" t="inlineStr">
        <is>
          <t>【人工定级】A —— 自动规则已跳过；信息待人工补齐（见备注）</t>
        </is>
      </c>
      <c r="T938" t="inlineStr">
        <is>
          <t>A-283</t>
        </is>
      </c>
      <c r="U938" t="inlineStr"/>
      <c r="V938" t="inlineStr">
        <is>
          <t>A</t>
        </is>
      </c>
    </row>
    <row r="939">
      <c r="A939" t="inlineStr">
        <is>
          <t>Ziegler Systemhaus GmbH</t>
        </is>
      </c>
      <c r="B939" t="inlineStr">
        <is>
          <t>德国</t>
        </is>
      </c>
      <c r="C939" t="inlineStr">
        <is>
          <t>Stuttgart</t>
        </is>
      </c>
      <c r="D939" t="inlineStr"/>
      <c r="E939" t="inlineStr">
        <is>
          <t>集成商/代理（Allied Telesis）</t>
        </is>
      </c>
      <c r="F939" t="inlineStr">
        <is>
          <t>Allied Telesis（Marvell Prestera 接入层）</t>
        </is>
      </c>
      <c r="G939" t="inlineStr">
        <is>
          <t>否</t>
        </is>
      </c>
      <c r="H939" t="inlineStr">
        <is>
          <t>Marvell Prestera 接入层切入</t>
        </is>
      </c>
      <c r="I939" t="inlineStr">
        <is>
          <t>LT-S8328XGP-4XS24GT-S</t>
        </is>
      </c>
      <c r="J939" t="inlineStr">
        <is>
          <t>见 alliedtelesis.com 伙伴页</t>
        </is>
      </c>
      <c r="K939" t="inlineStr">
        <is>
          <t>★★★</t>
        </is>
      </c>
      <c r="L939" t="inlineStr">
        <is>
          <t>未触达</t>
        </is>
      </c>
      <c r="M939" t="inlineStr">
        <is>
          <t>Allied Telesis 官方伙伴定位器（?country=germany）</t>
        </is>
      </c>
      <c r="N939" t="inlineStr"/>
      <c r="O939" t="inlineStr"/>
      <c r="P939" t="inlineStr"/>
      <c r="Q93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39" t="inlineStr">
        <is>
          <t>A</t>
        </is>
      </c>
      <c r="S939" t="inlineStr">
        <is>
          <t>【人工定级】A —— 自动规则已跳过；信息待人工补齐（见备注）</t>
        </is>
      </c>
      <c r="T939" t="inlineStr">
        <is>
          <t>A-284</t>
        </is>
      </c>
      <c r="U939" t="inlineStr"/>
      <c r="V939" t="inlineStr">
        <is>
          <t>A</t>
        </is>
      </c>
    </row>
    <row r="940">
      <c r="A940" t="inlineStr">
        <is>
          <t>Zorn Elektrik GmbH</t>
        </is>
      </c>
      <c r="B940" t="inlineStr">
        <is>
          <t>德国</t>
        </is>
      </c>
      <c r="C940" t="inlineStr">
        <is>
          <t>Korntal-Münchingen</t>
        </is>
      </c>
      <c r="D940" t="inlineStr"/>
      <c r="E940" t="inlineStr">
        <is>
          <t>集成商/代理（Allied Telesis）</t>
        </is>
      </c>
      <c r="F940" t="inlineStr">
        <is>
          <t>Allied Telesis（Marvell Prestera 接入层）</t>
        </is>
      </c>
      <c r="G940" t="inlineStr">
        <is>
          <t>否</t>
        </is>
      </c>
      <c r="H940" t="inlineStr">
        <is>
          <t>Marvell Prestera 接入层切入</t>
        </is>
      </c>
      <c r="I940" t="inlineStr">
        <is>
          <t>LT-S8328XGP-4XS24GT-S</t>
        </is>
      </c>
      <c r="J940" t="inlineStr">
        <is>
          <t>见 alliedtelesis.com 伙伴页</t>
        </is>
      </c>
      <c r="K940" t="inlineStr">
        <is>
          <t>★★★</t>
        </is>
      </c>
      <c r="L940" t="inlineStr">
        <is>
          <t>未触达</t>
        </is>
      </c>
      <c r="M940" t="inlineStr">
        <is>
          <t>Allied Telesis 官方伙伴定位器（?country=germany）</t>
        </is>
      </c>
      <c r="N940" t="inlineStr"/>
      <c r="O940" t="inlineStr"/>
      <c r="P940" t="inlineStr"/>
      <c r="Q94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0" t="inlineStr">
        <is>
          <t>A</t>
        </is>
      </c>
      <c r="S940" t="inlineStr">
        <is>
          <t>【人工定级】A —— 自动规则已跳过；信息待人工补齐（见备注）</t>
        </is>
      </c>
      <c r="T940" t="inlineStr">
        <is>
          <t>A-285</t>
        </is>
      </c>
      <c r="U940" t="inlineStr"/>
      <c r="V940" t="inlineStr">
        <is>
          <t>A</t>
        </is>
      </c>
    </row>
    <row r="941">
      <c r="A941" t="inlineStr">
        <is>
          <t>BlueBearsIT</t>
        </is>
      </c>
      <c r="B941" t="inlineStr">
        <is>
          <t>法国</t>
        </is>
      </c>
      <c r="C941" t="inlineStr">
        <is>
          <t>Limonest</t>
        </is>
      </c>
      <c r="D941" t="inlineStr"/>
      <c r="E941" t="inlineStr">
        <is>
          <t>集成商/代理（Allied Telesis）</t>
        </is>
      </c>
      <c r="F941" t="inlineStr">
        <is>
          <t>Allied Telesis（Marvell Prestera 接入层）</t>
        </is>
      </c>
      <c r="G941" t="inlineStr">
        <is>
          <t>否</t>
        </is>
      </c>
      <c r="H941" t="inlineStr">
        <is>
          <t>Marvell Prestera 接入层切入</t>
        </is>
      </c>
      <c r="I941" t="inlineStr">
        <is>
          <t>LT-S8328XGP-4XS24GT-S</t>
        </is>
      </c>
      <c r="J941" t="inlineStr">
        <is>
          <t>见 alliedtelesis.com 伙伴页</t>
        </is>
      </c>
      <c r="K941" t="inlineStr">
        <is>
          <t>★★★</t>
        </is>
      </c>
      <c r="L941" t="inlineStr">
        <is>
          <t>未触达</t>
        </is>
      </c>
      <c r="M941" t="inlineStr">
        <is>
          <t>Allied Telesis 官方伙伴定位器（?country=france）</t>
        </is>
      </c>
      <c r="N941" t="inlineStr"/>
      <c r="O941" t="inlineStr"/>
      <c r="P941" t="inlineStr"/>
      <c r="Q94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1" t="inlineStr">
        <is>
          <t>A</t>
        </is>
      </c>
      <c r="S941" t="inlineStr">
        <is>
          <t>【人工定级】A —— 自动规则已跳过；信息待人工补齐（见备注）</t>
        </is>
      </c>
      <c r="T941" t="inlineStr">
        <is>
          <t>A-286</t>
        </is>
      </c>
      <c r="U941" t="inlineStr"/>
      <c r="V941" t="inlineStr">
        <is>
          <t>A</t>
        </is>
      </c>
    </row>
    <row r="942">
      <c r="A942" t="inlineStr">
        <is>
          <t>CFI France</t>
        </is>
      </c>
      <c r="B942" t="inlineStr">
        <is>
          <t>法国</t>
        </is>
      </c>
      <c r="C942" t="inlineStr">
        <is>
          <t>Saint-Ouen Cedex</t>
        </is>
      </c>
      <c r="D942" t="inlineStr"/>
      <c r="E942" t="inlineStr">
        <is>
          <t>集成商/代理（Allied Telesis）</t>
        </is>
      </c>
      <c r="F942" t="inlineStr">
        <is>
          <t>Allied Telesis（Marvell Prestera 接入层）</t>
        </is>
      </c>
      <c r="G942" t="inlineStr">
        <is>
          <t>否</t>
        </is>
      </c>
      <c r="H942" t="inlineStr">
        <is>
          <t>Marvell Prestera 接入层切入</t>
        </is>
      </c>
      <c r="I942" t="inlineStr">
        <is>
          <t>LT-S8328XGP-4XS24GT-S</t>
        </is>
      </c>
      <c r="J942" t="inlineStr">
        <is>
          <t>见 alliedtelesis.com 伙伴页</t>
        </is>
      </c>
      <c r="K942" t="inlineStr">
        <is>
          <t>★★★</t>
        </is>
      </c>
      <c r="L942" t="inlineStr">
        <is>
          <t>未触达</t>
        </is>
      </c>
      <c r="M942" t="inlineStr">
        <is>
          <t>Allied Telesis 官方伙伴定位器（?country=france）</t>
        </is>
      </c>
      <c r="N942" t="inlineStr"/>
      <c r="O942" t="inlineStr"/>
      <c r="P942" t="inlineStr"/>
      <c r="Q94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2" t="inlineStr">
        <is>
          <t>A</t>
        </is>
      </c>
      <c r="S942" t="inlineStr">
        <is>
          <t>【人工定级】A —— 自动规则已跳过；信息待人工补齐（见备注）</t>
        </is>
      </c>
      <c r="T942" t="inlineStr">
        <is>
          <t>A-287</t>
        </is>
      </c>
      <c r="U942" t="inlineStr"/>
      <c r="V942" t="inlineStr">
        <is>
          <t>A</t>
        </is>
      </c>
    </row>
    <row r="943">
      <c r="A943" t="inlineStr">
        <is>
          <t>Delta Sertec</t>
        </is>
      </c>
      <c r="B943" t="inlineStr">
        <is>
          <t>法国</t>
        </is>
      </c>
      <c r="C943" t="inlineStr">
        <is>
          <t>Marseille</t>
        </is>
      </c>
      <c r="D943" t="inlineStr"/>
      <c r="E943" t="inlineStr">
        <is>
          <t>集成商/代理（Allied Telesis）</t>
        </is>
      </c>
      <c r="F943" t="inlineStr">
        <is>
          <t>Allied Telesis（Marvell Prestera 接入层）</t>
        </is>
      </c>
      <c r="G943" t="inlineStr">
        <is>
          <t>否</t>
        </is>
      </c>
      <c r="H943" t="inlineStr">
        <is>
          <t>Marvell Prestera 接入层切入</t>
        </is>
      </c>
      <c r="I943" t="inlineStr">
        <is>
          <t>LT-S8328XGP-4XS24GT-S</t>
        </is>
      </c>
      <c r="J943" t="inlineStr">
        <is>
          <t>见 alliedtelesis.com 伙伴页</t>
        </is>
      </c>
      <c r="K943" t="inlineStr">
        <is>
          <t>★★★</t>
        </is>
      </c>
      <c r="L943" t="inlineStr">
        <is>
          <t>未触达</t>
        </is>
      </c>
      <c r="M943" t="inlineStr">
        <is>
          <t>Allied Telesis 官方伙伴定位器（?country=france）</t>
        </is>
      </c>
      <c r="N943" t="inlineStr"/>
      <c r="O943" t="inlineStr"/>
      <c r="P943" t="inlineStr"/>
      <c r="Q94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3" t="inlineStr">
        <is>
          <t>A</t>
        </is>
      </c>
      <c r="S943" t="inlineStr">
        <is>
          <t>【人工定级】A —— 自动规则已跳过；信息待人工补齐（见备注）</t>
        </is>
      </c>
      <c r="T943" t="inlineStr">
        <is>
          <t>A-288</t>
        </is>
      </c>
      <c r="U943" t="inlineStr"/>
      <c r="V943" t="inlineStr">
        <is>
          <t>A</t>
        </is>
      </c>
    </row>
    <row r="944">
      <c r="A944" t="inlineStr">
        <is>
          <t>Groupe Networks</t>
        </is>
      </c>
      <c r="B944" t="inlineStr">
        <is>
          <t>法国</t>
        </is>
      </c>
      <c r="C944" t="inlineStr">
        <is>
          <t>Aubagne</t>
        </is>
      </c>
      <c r="D944" t="inlineStr"/>
      <c r="E944" t="inlineStr">
        <is>
          <t>集成商/代理（Allied Telesis）</t>
        </is>
      </c>
      <c r="F944" t="inlineStr">
        <is>
          <t>Allied Telesis（Marvell Prestera 接入层）</t>
        </is>
      </c>
      <c r="G944" t="inlineStr">
        <is>
          <t>否</t>
        </is>
      </c>
      <c r="H944" t="inlineStr">
        <is>
          <t>Marvell Prestera 接入层切入</t>
        </is>
      </c>
      <c r="I944" t="inlineStr">
        <is>
          <t>LT-S8328XGP-4XS24GT-S</t>
        </is>
      </c>
      <c r="J944" t="inlineStr">
        <is>
          <t>见 alliedtelesis.com 伙伴页</t>
        </is>
      </c>
      <c r="K944" t="inlineStr">
        <is>
          <t>★★★</t>
        </is>
      </c>
      <c r="L944" t="inlineStr">
        <is>
          <t>未触达</t>
        </is>
      </c>
      <c r="M944" t="inlineStr">
        <is>
          <t>Allied Telesis 官方伙伴定位器（?country=france）</t>
        </is>
      </c>
      <c r="N944" t="inlineStr"/>
      <c r="O944" t="inlineStr"/>
      <c r="P944" t="inlineStr"/>
      <c r="Q94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4" t="inlineStr">
        <is>
          <t>A</t>
        </is>
      </c>
      <c r="S944" t="inlineStr">
        <is>
          <t>【人工定级】A —— 自动规则已跳过；信息待人工补齐（见备注）</t>
        </is>
      </c>
      <c r="T944" t="inlineStr">
        <is>
          <t>A-289</t>
        </is>
      </c>
      <c r="U944" t="inlineStr"/>
      <c r="V944" t="inlineStr">
        <is>
          <t>A</t>
        </is>
      </c>
    </row>
    <row r="945">
      <c r="A945" t="inlineStr">
        <is>
          <t>GTD International</t>
        </is>
      </c>
      <c r="B945" t="inlineStr">
        <is>
          <t>法国</t>
        </is>
      </c>
      <c r="C945" t="inlineStr">
        <is>
          <t>Lavelanet</t>
        </is>
      </c>
      <c r="D945" t="inlineStr"/>
      <c r="E945" t="inlineStr">
        <is>
          <t>集成商/代理（Allied Telesis）</t>
        </is>
      </c>
      <c r="F945" t="inlineStr">
        <is>
          <t>Allied Telesis（Marvell Prestera 接入层）</t>
        </is>
      </c>
      <c r="G945" t="inlineStr">
        <is>
          <t>否</t>
        </is>
      </c>
      <c r="H945" t="inlineStr">
        <is>
          <t>Marvell Prestera 接入层切入</t>
        </is>
      </c>
      <c r="I945" t="inlineStr">
        <is>
          <t>LT-S8328XGP-4XS24GT-S</t>
        </is>
      </c>
      <c r="J945" t="inlineStr">
        <is>
          <t>见 alliedtelesis.com 伙伴页</t>
        </is>
      </c>
      <c r="K945" t="inlineStr">
        <is>
          <t>★★★</t>
        </is>
      </c>
      <c r="L945" t="inlineStr">
        <is>
          <t>未触达</t>
        </is>
      </c>
      <c r="M945" t="inlineStr">
        <is>
          <t>Allied Telesis 官方伙伴定位器（?country=france）</t>
        </is>
      </c>
      <c r="N945" t="inlineStr"/>
      <c r="O945" t="inlineStr"/>
      <c r="P945" t="inlineStr"/>
      <c r="Q94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45" t="inlineStr">
        <is>
          <t>A</t>
        </is>
      </c>
      <c r="S945" t="inlineStr">
        <is>
          <t>【人工定级】A —— 自动规则已跳过；信息待人工补齐（见备注）</t>
        </is>
      </c>
      <c r="T945" t="inlineStr">
        <is>
          <t>A-290</t>
        </is>
      </c>
      <c r="U945" t="inlineStr"/>
      <c r="V945" t="inlineStr">
        <is>
          <t>A</t>
        </is>
      </c>
    </row>
    <row r="946">
      <c r="A946" t="inlineStr">
        <is>
          <t>ITNI</t>
        </is>
      </c>
      <c r="B946" t="inlineStr">
        <is>
          <t>法国</t>
        </is>
      </c>
      <c r="C946" t="inlineStr">
        <is>
          <t>Saint-Denis</t>
        </is>
      </c>
      <c r="D946" t="inlineStr"/>
      <c r="E946" t="inlineStr">
        <is>
          <t>集成商/代理（Allied Telesis）</t>
        </is>
      </c>
      <c r="F946" t="inlineStr">
        <is>
          <t>Allied Telesis（Marvell Prestera 接入层）</t>
        </is>
      </c>
      <c r="G946" t="inlineStr">
        <is>
          <t>否</t>
        </is>
      </c>
      <c r="H946" t="inlineStr">
        <is>
          <t>Marvell Prestera 接入层切入</t>
        </is>
      </c>
      <c r="I946" t="inlineStr">
        <is>
          <t>LT-S8328XGP-4XS24GT-S</t>
        </is>
      </c>
      <c r="J946" t="inlineStr">
        <is>
          <t>见 alliedtelesis.com 伙伴页</t>
        </is>
      </c>
      <c r="K946" t="inlineStr">
        <is>
          <t>★★★</t>
        </is>
      </c>
      <c r="L946" t="inlineStr">
        <is>
          <t>未触达</t>
        </is>
      </c>
      <c r="M946" t="inlineStr">
        <is>
          <t>Allied Telesis 官方伙伴定位器（?country=france）</t>
        </is>
      </c>
      <c r="N946" t="inlineStr"/>
      <c r="O946" t="inlineStr"/>
      <c r="P946" t="inlineStr"/>
      <c r="Q94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Integrate Elite, Resell。</t>
        </is>
      </c>
      <c r="R946" t="inlineStr">
        <is>
          <t>A</t>
        </is>
      </c>
      <c r="S946" t="inlineStr">
        <is>
          <t>【人工定级】A —— 自动规则已跳过；信息待人工补齐（见备注）</t>
        </is>
      </c>
      <c r="T946" t="inlineStr">
        <is>
          <t>A-291</t>
        </is>
      </c>
      <c r="U946" t="inlineStr"/>
      <c r="V946" t="inlineStr">
        <is>
          <t>A</t>
        </is>
      </c>
    </row>
    <row r="947">
      <c r="A947" t="inlineStr">
        <is>
          <t>NXO France</t>
        </is>
      </c>
      <c r="B947" t="inlineStr">
        <is>
          <t>法国</t>
        </is>
      </c>
      <c r="C947" t="inlineStr">
        <is>
          <t>Rueil-Malmaison</t>
        </is>
      </c>
      <c r="D947" t="inlineStr"/>
      <c r="E947" t="inlineStr">
        <is>
          <t>集成商/代理（Allied Telesis）</t>
        </is>
      </c>
      <c r="F947" t="inlineStr">
        <is>
          <t>Allied Telesis（Marvell Prestera 接入层）</t>
        </is>
      </c>
      <c r="G947" t="inlineStr">
        <is>
          <t>否</t>
        </is>
      </c>
      <c r="H947" t="inlineStr">
        <is>
          <t>Marvell Prestera 接入层切入</t>
        </is>
      </c>
      <c r="I947" t="inlineStr">
        <is>
          <t>LT-S8328XGP-4XS24GT-S</t>
        </is>
      </c>
      <c r="J947" t="inlineStr">
        <is>
          <t>见 alliedtelesis.com 伙伴页</t>
        </is>
      </c>
      <c r="K947" t="inlineStr">
        <is>
          <t>★★★</t>
        </is>
      </c>
      <c r="L947" t="inlineStr">
        <is>
          <t>未触达</t>
        </is>
      </c>
      <c r="M947" t="inlineStr">
        <is>
          <t>Allied Telesis 官方伙伴定位器（?country=france）</t>
        </is>
      </c>
      <c r="N947" t="inlineStr"/>
      <c r="O947" t="inlineStr"/>
      <c r="P947" t="inlineStr"/>
      <c r="Q94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47" t="inlineStr">
        <is>
          <t>A</t>
        </is>
      </c>
      <c r="S947" t="inlineStr">
        <is>
          <t>【人工定级】A —— 自动规则已跳过；信息待人工补齐（见备注）</t>
        </is>
      </c>
      <c r="T947" t="inlineStr">
        <is>
          <t>A-292</t>
        </is>
      </c>
      <c r="U947" t="inlineStr"/>
      <c r="V947" t="inlineStr">
        <is>
          <t>A</t>
        </is>
      </c>
    </row>
    <row r="948">
      <c r="A948" t="inlineStr">
        <is>
          <t>SYNEXIE</t>
        </is>
      </c>
      <c r="B948" t="inlineStr">
        <is>
          <t>法国</t>
        </is>
      </c>
      <c r="C948" t="inlineStr">
        <is>
          <t>La Valette du Var</t>
        </is>
      </c>
      <c r="D948" t="inlineStr"/>
      <c r="E948" t="inlineStr">
        <is>
          <t>集成商/代理（Allied Telesis）</t>
        </is>
      </c>
      <c r="F948" t="inlineStr">
        <is>
          <t>Allied Telesis（Marvell Prestera 接入层）</t>
        </is>
      </c>
      <c r="G948" t="inlineStr">
        <is>
          <t>否</t>
        </is>
      </c>
      <c r="H948" t="inlineStr">
        <is>
          <t>Marvell Prestera 接入层切入</t>
        </is>
      </c>
      <c r="I948" t="inlineStr">
        <is>
          <t>LT-S8328XGP-4XS24GT-S</t>
        </is>
      </c>
      <c r="J948" t="inlineStr">
        <is>
          <t>见 alliedtelesis.com 伙伴页</t>
        </is>
      </c>
      <c r="K948" t="inlineStr">
        <is>
          <t>★★★</t>
        </is>
      </c>
      <c r="L948" t="inlineStr">
        <is>
          <t>未触达</t>
        </is>
      </c>
      <c r="M948" t="inlineStr">
        <is>
          <t>Allied Telesis 官方伙伴定位器（?country=france）</t>
        </is>
      </c>
      <c r="N948" t="inlineStr"/>
      <c r="O948" t="inlineStr"/>
      <c r="P948" t="inlineStr"/>
      <c r="Q94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8" t="inlineStr">
        <is>
          <t>A</t>
        </is>
      </c>
      <c r="S948" t="inlineStr">
        <is>
          <t>【人工定级】A —— 自动规则已跳过；信息待人工补齐（见备注）</t>
        </is>
      </c>
      <c r="T948" t="inlineStr">
        <is>
          <t>A-293</t>
        </is>
      </c>
      <c r="U948" t="inlineStr"/>
      <c r="V948" t="inlineStr">
        <is>
          <t>A</t>
        </is>
      </c>
    </row>
    <row r="949">
      <c r="A949" t="inlineStr">
        <is>
          <t>A.G.informatica S.r.l.</t>
        </is>
      </c>
      <c r="B949" t="inlineStr">
        <is>
          <t>意大利</t>
        </is>
      </c>
      <c r="C949" t="inlineStr">
        <is>
          <t>Roma</t>
        </is>
      </c>
      <c r="D949" t="inlineStr"/>
      <c r="E949" t="inlineStr">
        <is>
          <t>集成商/代理（Allied Telesis）</t>
        </is>
      </c>
      <c r="F949" t="inlineStr">
        <is>
          <t>Allied Telesis（Marvell Prestera 接入层）</t>
        </is>
      </c>
      <c r="G949" t="inlineStr">
        <is>
          <t>否</t>
        </is>
      </c>
      <c r="H949" t="inlineStr">
        <is>
          <t>Marvell Prestera 接入层切入</t>
        </is>
      </c>
      <c r="I949" t="inlineStr">
        <is>
          <t>LT-S8328XGP-4XS24GT-S</t>
        </is>
      </c>
      <c r="J949" t="inlineStr">
        <is>
          <t>见 alliedtelesis.com 伙伴页</t>
        </is>
      </c>
      <c r="K949" t="inlineStr">
        <is>
          <t>★★★</t>
        </is>
      </c>
      <c r="L949" t="inlineStr">
        <is>
          <t>未触达</t>
        </is>
      </c>
      <c r="M949" t="inlineStr">
        <is>
          <t>Allied Telesis 官方伙伴定位器（?country=italy）</t>
        </is>
      </c>
      <c r="N949" t="inlineStr"/>
      <c r="O949" t="inlineStr"/>
      <c r="P949" t="inlineStr"/>
      <c r="Q94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49" t="inlineStr">
        <is>
          <t>A</t>
        </is>
      </c>
      <c r="S949" t="inlineStr">
        <is>
          <t>【人工定级】A —— 自动规则已跳过；信息待人工补齐（见备注）</t>
        </is>
      </c>
      <c r="T949" t="inlineStr">
        <is>
          <t>A-294</t>
        </is>
      </c>
      <c r="U949" t="inlineStr"/>
      <c r="V949" t="inlineStr">
        <is>
          <t>A</t>
        </is>
      </c>
    </row>
    <row r="950">
      <c r="A950" t="inlineStr">
        <is>
          <t>Adrianet Snc</t>
        </is>
      </c>
      <c r="B950" t="inlineStr">
        <is>
          <t>意大利</t>
        </is>
      </c>
      <c r="C950" t="inlineStr">
        <is>
          <t>Valenzano BA</t>
        </is>
      </c>
      <c r="D950" t="inlineStr"/>
      <c r="E950" t="inlineStr">
        <is>
          <t>集成商/代理（Allied Telesis）</t>
        </is>
      </c>
      <c r="F950" t="inlineStr">
        <is>
          <t>Allied Telesis（Marvell Prestera 接入层）</t>
        </is>
      </c>
      <c r="G950" t="inlineStr">
        <is>
          <t>否</t>
        </is>
      </c>
      <c r="H950" t="inlineStr">
        <is>
          <t>Marvell Prestera 接入层切入</t>
        </is>
      </c>
      <c r="I950" t="inlineStr">
        <is>
          <t>LT-S8328XGP-4XS24GT-S</t>
        </is>
      </c>
      <c r="J950" t="inlineStr">
        <is>
          <t>见 alliedtelesis.com 伙伴页</t>
        </is>
      </c>
      <c r="K950" t="inlineStr">
        <is>
          <t>★★★</t>
        </is>
      </c>
      <c r="L950" t="inlineStr">
        <is>
          <t>未触达</t>
        </is>
      </c>
      <c r="M950" t="inlineStr">
        <is>
          <t>Allied Telesis 官方伙伴定位器（?country=italy）</t>
        </is>
      </c>
      <c r="N950" t="inlineStr"/>
      <c r="O950" t="inlineStr"/>
      <c r="P950" t="inlineStr"/>
      <c r="Q95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0" t="inlineStr">
        <is>
          <t>A</t>
        </is>
      </c>
      <c r="S950" t="inlineStr">
        <is>
          <t>【人工定级】A —— 自动规则已跳过；信息待人工补齐（见备注）</t>
        </is>
      </c>
      <c r="T950" t="inlineStr">
        <is>
          <t>A-295</t>
        </is>
      </c>
      <c r="U950" t="inlineStr"/>
      <c r="V950" t="inlineStr">
        <is>
          <t>A</t>
        </is>
      </c>
    </row>
    <row r="951">
      <c r="A951" t="inlineStr">
        <is>
          <t>Agomir</t>
        </is>
      </c>
      <c r="B951" t="inlineStr">
        <is>
          <t>意大利</t>
        </is>
      </c>
      <c r="C951" t="inlineStr">
        <is>
          <t>Lecco</t>
        </is>
      </c>
      <c r="D951" t="inlineStr"/>
      <c r="E951" t="inlineStr">
        <is>
          <t>集成商/代理（Allied Telesis）</t>
        </is>
      </c>
      <c r="F951" t="inlineStr">
        <is>
          <t>Allied Telesis（Marvell Prestera 接入层）</t>
        </is>
      </c>
      <c r="G951" t="inlineStr">
        <is>
          <t>否</t>
        </is>
      </c>
      <c r="H951" t="inlineStr">
        <is>
          <t>Marvell Prestera 接入层切入</t>
        </is>
      </c>
      <c r="I951" t="inlineStr">
        <is>
          <t>LT-S8328XGP-4XS24GT-S</t>
        </is>
      </c>
      <c r="J951" t="inlineStr">
        <is>
          <t>见 alliedtelesis.com 伙伴页</t>
        </is>
      </c>
      <c r="K951" t="inlineStr">
        <is>
          <t>★★★</t>
        </is>
      </c>
      <c r="L951" t="inlineStr">
        <is>
          <t>未触达</t>
        </is>
      </c>
      <c r="M951" t="inlineStr">
        <is>
          <t>Allied Telesis 官方伙伴定位器（?country=italy）</t>
        </is>
      </c>
      <c r="N951" t="inlineStr"/>
      <c r="O951" t="inlineStr"/>
      <c r="P951" t="inlineStr"/>
      <c r="Q95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951" t="inlineStr">
        <is>
          <t>A</t>
        </is>
      </c>
      <c r="S951" t="inlineStr">
        <is>
          <t>【人工定级】A —— 自动规则已跳过；信息待人工补齐（见备注）</t>
        </is>
      </c>
      <c r="T951" t="inlineStr">
        <is>
          <t>A-296</t>
        </is>
      </c>
      <c r="U951" t="inlineStr"/>
      <c r="V951" t="inlineStr">
        <is>
          <t>A</t>
        </is>
      </c>
    </row>
    <row r="952">
      <c r="A952" t="inlineStr">
        <is>
          <t>Asit SpA</t>
        </is>
      </c>
      <c r="B952" t="inlineStr">
        <is>
          <t>意大利</t>
        </is>
      </c>
      <c r="C952" t="inlineStr">
        <is>
          <t>Caselle Torinese (TO)</t>
        </is>
      </c>
      <c r="D952" t="inlineStr"/>
      <c r="E952" t="inlineStr">
        <is>
          <t>集成商/代理（Allied Telesis）</t>
        </is>
      </c>
      <c r="F952" t="inlineStr">
        <is>
          <t>Allied Telesis（Marvell Prestera 接入层）</t>
        </is>
      </c>
      <c r="G952" t="inlineStr">
        <is>
          <t>否</t>
        </is>
      </c>
      <c r="H952" t="inlineStr">
        <is>
          <t>Marvell Prestera 接入层切入</t>
        </is>
      </c>
      <c r="I952" t="inlineStr">
        <is>
          <t>LT-S8328XGP-4XS24GT-S</t>
        </is>
      </c>
      <c r="J952" t="inlineStr">
        <is>
          <t>见 alliedtelesis.com 伙伴页</t>
        </is>
      </c>
      <c r="K952" t="inlineStr">
        <is>
          <t>★★★</t>
        </is>
      </c>
      <c r="L952" t="inlineStr">
        <is>
          <t>未触达</t>
        </is>
      </c>
      <c r="M952" t="inlineStr">
        <is>
          <t>Allied Telesis 官方伙伴定位器（?country=italy）</t>
        </is>
      </c>
      <c r="N952" t="inlineStr"/>
      <c r="O952" t="inlineStr"/>
      <c r="P952" t="inlineStr"/>
      <c r="Q95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2" t="inlineStr">
        <is>
          <t>A</t>
        </is>
      </c>
      <c r="S952" t="inlineStr">
        <is>
          <t>【人工定级】A —— 自动规则已跳过；信息待人工补齐（见备注）</t>
        </is>
      </c>
      <c r="T952" t="inlineStr">
        <is>
          <t>A-297</t>
        </is>
      </c>
      <c r="U952" t="inlineStr"/>
      <c r="V952" t="inlineStr">
        <is>
          <t>A</t>
        </is>
      </c>
    </row>
    <row r="953">
      <c r="A953" t="inlineStr">
        <is>
          <t>C.G.T. Elettronica SpA</t>
        </is>
      </c>
      <c r="B953" t="inlineStr">
        <is>
          <t>意大利</t>
        </is>
      </c>
      <c r="C953" t="inlineStr">
        <is>
          <t>Roma</t>
        </is>
      </c>
      <c r="D953" t="inlineStr"/>
      <c r="E953" t="inlineStr">
        <is>
          <t>集成商/代理（Allied Telesis）</t>
        </is>
      </c>
      <c r="F953" t="inlineStr">
        <is>
          <t>Allied Telesis（Marvell Prestera 接入层）</t>
        </is>
      </c>
      <c r="G953" t="inlineStr">
        <is>
          <t>否</t>
        </is>
      </c>
      <c r="H953" t="inlineStr">
        <is>
          <t>Marvell Prestera 接入层切入</t>
        </is>
      </c>
      <c r="I953" t="inlineStr">
        <is>
          <t>LT-S8328XGP-4XS24GT-S</t>
        </is>
      </c>
      <c r="J953" t="inlineStr">
        <is>
          <t>见 alliedtelesis.com 伙伴页</t>
        </is>
      </c>
      <c r="K953" t="inlineStr">
        <is>
          <t>★★★</t>
        </is>
      </c>
      <c r="L953" t="inlineStr">
        <is>
          <t>未触达</t>
        </is>
      </c>
      <c r="M953" t="inlineStr">
        <is>
          <t>Allied Telesis 官方伙伴定位器（?country=italy）</t>
        </is>
      </c>
      <c r="N953" t="inlineStr"/>
      <c r="O953" t="inlineStr"/>
      <c r="P953" t="inlineStr"/>
      <c r="Q95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3" t="inlineStr">
        <is>
          <t>A</t>
        </is>
      </c>
      <c r="S953" t="inlineStr">
        <is>
          <t>【人工定级】A —— 自动规则已跳过；信息待人工补齐（见备注）</t>
        </is>
      </c>
      <c r="T953" t="inlineStr">
        <is>
          <t>A-298</t>
        </is>
      </c>
      <c r="U953" t="inlineStr"/>
      <c r="V953" t="inlineStr">
        <is>
          <t>A</t>
        </is>
      </c>
    </row>
    <row r="954">
      <c r="A954" t="inlineStr">
        <is>
          <t>CAMELI SAT</t>
        </is>
      </c>
      <c r="B954" t="inlineStr">
        <is>
          <t>意大利</t>
        </is>
      </c>
      <c r="C954" t="inlineStr">
        <is>
          <t>Donoratico (LI)</t>
        </is>
      </c>
      <c r="D954" t="inlineStr"/>
      <c r="E954" t="inlineStr">
        <is>
          <t>集成商/代理（Allied Telesis）</t>
        </is>
      </c>
      <c r="F954" t="inlineStr">
        <is>
          <t>Allied Telesis（Marvell Prestera 接入层）</t>
        </is>
      </c>
      <c r="G954" t="inlineStr">
        <is>
          <t>否</t>
        </is>
      </c>
      <c r="H954" t="inlineStr">
        <is>
          <t>Marvell Prestera 接入层切入</t>
        </is>
      </c>
      <c r="I954" t="inlineStr">
        <is>
          <t>LT-S8328XGP-4XS24GT-S</t>
        </is>
      </c>
      <c r="J954" t="inlineStr">
        <is>
          <t>见 alliedtelesis.com 伙伴页</t>
        </is>
      </c>
      <c r="K954" t="inlineStr">
        <is>
          <t>★★★</t>
        </is>
      </c>
      <c r="L954" t="inlineStr">
        <is>
          <t>未触达</t>
        </is>
      </c>
      <c r="M954" t="inlineStr">
        <is>
          <t>Allied Telesis 官方伙伴定位器（?country=italy）</t>
        </is>
      </c>
      <c r="N954" t="inlineStr"/>
      <c r="O954" t="inlineStr"/>
      <c r="P954" t="inlineStr"/>
      <c r="Q95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4" t="inlineStr">
        <is>
          <t>A</t>
        </is>
      </c>
      <c r="S954" t="inlineStr">
        <is>
          <t>【人工定级】A —— 自动规则已跳过；信息待人工补齐（见备注）</t>
        </is>
      </c>
      <c r="T954" t="inlineStr">
        <is>
          <t>A-299</t>
        </is>
      </c>
      <c r="U954" t="inlineStr"/>
      <c r="V954" t="inlineStr">
        <is>
          <t>A</t>
        </is>
      </c>
    </row>
    <row r="955">
      <c r="A955" t="inlineStr">
        <is>
          <t>Coel Distribution srl</t>
        </is>
      </c>
      <c r="B955" t="inlineStr">
        <is>
          <t>意大利</t>
        </is>
      </c>
      <c r="C955" t="inlineStr">
        <is>
          <t>Muggiò</t>
        </is>
      </c>
      <c r="D955" t="inlineStr"/>
      <c r="E955" t="inlineStr">
        <is>
          <t>集成商/代理（Allied Telesis）</t>
        </is>
      </c>
      <c r="F955" t="inlineStr">
        <is>
          <t>Allied Telesis（Marvell Prestera 接入层）</t>
        </is>
      </c>
      <c r="G955" t="inlineStr">
        <is>
          <t>否</t>
        </is>
      </c>
      <c r="H955" t="inlineStr">
        <is>
          <t>Marvell Prestera 接入层切入</t>
        </is>
      </c>
      <c r="I955" t="inlineStr">
        <is>
          <t>LT-S8328XGP-4XS24GT-S</t>
        </is>
      </c>
      <c r="J955" t="inlineStr">
        <is>
          <t>见 alliedtelesis.com 伙伴页</t>
        </is>
      </c>
      <c r="K955" t="inlineStr">
        <is>
          <t>★★★</t>
        </is>
      </c>
      <c r="L955" t="inlineStr">
        <is>
          <t>未触达</t>
        </is>
      </c>
      <c r="M955" t="inlineStr">
        <is>
          <t>Allied Telesis 官方伙伴定位器（?country=italy）</t>
        </is>
      </c>
      <c r="N955" t="inlineStr"/>
      <c r="O955" t="inlineStr"/>
      <c r="P955" t="inlineStr"/>
      <c r="Q95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55" t="inlineStr">
        <is>
          <t>A</t>
        </is>
      </c>
      <c r="S955" t="inlineStr">
        <is>
          <t>【人工定级】A —— 自动规则已跳过；信息待人工补齐（见备注）</t>
        </is>
      </c>
      <c r="T955" t="inlineStr">
        <is>
          <t>A-300</t>
        </is>
      </c>
      <c r="U955" t="inlineStr"/>
      <c r="V955" t="inlineStr">
        <is>
          <t>A</t>
        </is>
      </c>
    </row>
    <row r="956">
      <c r="A956" t="inlineStr">
        <is>
          <t>COMPUTER TIME S.r.l.</t>
        </is>
      </c>
      <c r="B956" t="inlineStr">
        <is>
          <t>意大利</t>
        </is>
      </c>
      <c r="C956" t="inlineStr">
        <is>
          <t>Somma Lombardo (VA)</t>
        </is>
      </c>
      <c r="D956" t="inlineStr"/>
      <c r="E956" t="inlineStr">
        <is>
          <t>集成商/代理（Allied Telesis）</t>
        </is>
      </c>
      <c r="F956" t="inlineStr">
        <is>
          <t>Allied Telesis（Marvell Prestera 接入层）</t>
        </is>
      </c>
      <c r="G956" t="inlineStr">
        <is>
          <t>否</t>
        </is>
      </c>
      <c r="H956" t="inlineStr">
        <is>
          <t>Marvell Prestera 接入层切入</t>
        </is>
      </c>
      <c r="I956" t="inlineStr">
        <is>
          <t>LT-S8328XGP-4XS24GT-S</t>
        </is>
      </c>
      <c r="J956" t="inlineStr">
        <is>
          <t>见 alliedtelesis.com 伙伴页</t>
        </is>
      </c>
      <c r="K956" t="inlineStr">
        <is>
          <t>★★★</t>
        </is>
      </c>
      <c r="L956" t="inlineStr">
        <is>
          <t>未触达</t>
        </is>
      </c>
      <c r="M956" t="inlineStr">
        <is>
          <t>Allied Telesis 官方伙伴定位器（?country=italy）</t>
        </is>
      </c>
      <c r="N956" t="inlineStr"/>
      <c r="O956" t="inlineStr"/>
      <c r="P956" t="inlineStr"/>
      <c r="Q95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6" t="inlineStr">
        <is>
          <t>A</t>
        </is>
      </c>
      <c r="S956" t="inlineStr">
        <is>
          <t>【人工定级】A —— 自动规则已跳过；信息待人工补齐（见备注）</t>
        </is>
      </c>
      <c r="T956" t="inlineStr">
        <is>
          <t>A-301</t>
        </is>
      </c>
      <c r="U956" t="inlineStr"/>
      <c r="V956" t="inlineStr">
        <is>
          <t>A</t>
        </is>
      </c>
    </row>
    <row r="957">
      <c r="A957" t="inlineStr">
        <is>
          <t>CONNECT ICS S.R.L.</t>
        </is>
      </c>
      <c r="B957" t="inlineStr">
        <is>
          <t>意大利</t>
        </is>
      </c>
      <c r="C957" t="inlineStr">
        <is>
          <t>Lecce</t>
        </is>
      </c>
      <c r="D957" t="inlineStr"/>
      <c r="E957" t="inlineStr">
        <is>
          <t>集成商/代理（Allied Telesis）</t>
        </is>
      </c>
      <c r="F957" t="inlineStr">
        <is>
          <t>Allied Telesis（Marvell Prestera 接入层）</t>
        </is>
      </c>
      <c r="G957" t="inlineStr">
        <is>
          <t>否</t>
        </is>
      </c>
      <c r="H957" t="inlineStr">
        <is>
          <t>Marvell Prestera 接入层切入</t>
        </is>
      </c>
      <c r="I957" t="inlineStr">
        <is>
          <t>LT-S8328XGP-4XS24GT-S</t>
        </is>
      </c>
      <c r="J957" t="inlineStr">
        <is>
          <t>见 alliedtelesis.com 伙伴页</t>
        </is>
      </c>
      <c r="K957" t="inlineStr">
        <is>
          <t>★★★</t>
        </is>
      </c>
      <c r="L957" t="inlineStr">
        <is>
          <t>未触达</t>
        </is>
      </c>
      <c r="M957" t="inlineStr">
        <is>
          <t>Allied Telesis 官方伙伴定位器（?country=italy）</t>
        </is>
      </c>
      <c r="N957" t="inlineStr"/>
      <c r="O957" t="inlineStr"/>
      <c r="P957" t="inlineStr"/>
      <c r="Q95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7" t="inlineStr">
        <is>
          <t>A</t>
        </is>
      </c>
      <c r="S957" t="inlineStr">
        <is>
          <t>【人工定级】A —— 自动规则已跳过；信息待人工补齐（见备注）</t>
        </is>
      </c>
      <c r="T957" t="inlineStr">
        <is>
          <t>A-302</t>
        </is>
      </c>
      <c r="U957" t="inlineStr"/>
      <c r="V957" t="inlineStr">
        <is>
          <t>A</t>
        </is>
      </c>
    </row>
    <row r="958">
      <c r="A958" t="inlineStr">
        <is>
          <t>CTC SYSTEMS SRL</t>
        </is>
      </c>
      <c r="B958" t="inlineStr">
        <is>
          <t>意大利</t>
        </is>
      </c>
      <c r="C958" t="inlineStr">
        <is>
          <t>Lecco</t>
        </is>
      </c>
      <c r="D958" t="inlineStr"/>
      <c r="E958" t="inlineStr">
        <is>
          <t>集成商/代理（Allied Telesis）</t>
        </is>
      </c>
      <c r="F958" t="inlineStr">
        <is>
          <t>Allied Telesis（Marvell Prestera 接入层）</t>
        </is>
      </c>
      <c r="G958" t="inlineStr">
        <is>
          <t>否</t>
        </is>
      </c>
      <c r="H958" t="inlineStr">
        <is>
          <t>Marvell Prestera 接入层切入</t>
        </is>
      </c>
      <c r="I958" t="inlineStr">
        <is>
          <t>LT-S8328XGP-4XS24GT-S</t>
        </is>
      </c>
      <c r="J958" t="inlineStr">
        <is>
          <t>见 alliedtelesis.com 伙伴页</t>
        </is>
      </c>
      <c r="K958" t="inlineStr">
        <is>
          <t>★★★</t>
        </is>
      </c>
      <c r="L958" t="inlineStr">
        <is>
          <t>未触达</t>
        </is>
      </c>
      <c r="M958" t="inlineStr">
        <is>
          <t>Allied Telesis 官方伙伴定位器（?country=italy）</t>
        </is>
      </c>
      <c r="N958" t="inlineStr"/>
      <c r="O958" t="inlineStr"/>
      <c r="P958" t="inlineStr"/>
      <c r="Q95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8" t="inlineStr">
        <is>
          <t>A</t>
        </is>
      </c>
      <c r="S958" t="inlineStr">
        <is>
          <t>【人工定级】A —— 自动规则已跳过；信息待人工补齐（见备注）</t>
        </is>
      </c>
      <c r="T958" t="inlineStr">
        <is>
          <t>A-303</t>
        </is>
      </c>
      <c r="U958" t="inlineStr"/>
      <c r="V958" t="inlineStr">
        <is>
          <t>A</t>
        </is>
      </c>
    </row>
    <row r="959">
      <c r="A959" t="inlineStr">
        <is>
          <t>Dps Informatica S.n.c.</t>
        </is>
      </c>
      <c r="B959" t="inlineStr">
        <is>
          <t>意大利</t>
        </is>
      </c>
      <c r="C959" t="inlineStr">
        <is>
          <t>Fagagna</t>
        </is>
      </c>
      <c r="D959" t="inlineStr"/>
      <c r="E959" t="inlineStr">
        <is>
          <t>集成商/代理（Allied Telesis）</t>
        </is>
      </c>
      <c r="F959" t="inlineStr">
        <is>
          <t>Allied Telesis（Marvell Prestera 接入层）</t>
        </is>
      </c>
      <c r="G959" t="inlineStr">
        <is>
          <t>否</t>
        </is>
      </c>
      <c r="H959" t="inlineStr">
        <is>
          <t>Marvell Prestera 接入层切入</t>
        </is>
      </c>
      <c r="I959" t="inlineStr">
        <is>
          <t>LT-S8328XGP-4XS24GT-S</t>
        </is>
      </c>
      <c r="J959" t="inlineStr">
        <is>
          <t>见 alliedtelesis.com 伙伴页</t>
        </is>
      </c>
      <c r="K959" t="inlineStr">
        <is>
          <t>★★★</t>
        </is>
      </c>
      <c r="L959" t="inlineStr">
        <is>
          <t>未触达</t>
        </is>
      </c>
      <c r="M959" t="inlineStr">
        <is>
          <t>Allied Telesis 官方伙伴定位器（?country=italy）</t>
        </is>
      </c>
      <c r="N959" t="inlineStr"/>
      <c r="O959" t="inlineStr"/>
      <c r="P959" t="inlineStr"/>
      <c r="Q95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59" t="inlineStr">
        <is>
          <t>A</t>
        </is>
      </c>
      <c r="S959" t="inlineStr">
        <is>
          <t>【人工定级】A —— 自动规则已跳过；信息待人工补齐（见备注）</t>
        </is>
      </c>
      <c r="T959" t="inlineStr">
        <is>
          <t>A-304</t>
        </is>
      </c>
      <c r="U959" t="inlineStr"/>
      <c r="V959" t="inlineStr">
        <is>
          <t>A</t>
        </is>
      </c>
    </row>
    <row r="960">
      <c r="A960" t="inlineStr">
        <is>
          <t>EMILIA INFORMATICA s.r.l.</t>
        </is>
      </c>
      <c r="B960" t="inlineStr">
        <is>
          <t>意大利</t>
        </is>
      </c>
      <c r="C960" t="inlineStr">
        <is>
          <t>Piacenza</t>
        </is>
      </c>
      <c r="D960" t="inlineStr"/>
      <c r="E960" t="inlineStr">
        <is>
          <t>集成商/代理（Allied Telesis）</t>
        </is>
      </c>
      <c r="F960" t="inlineStr">
        <is>
          <t>Allied Telesis（Marvell Prestera 接入层）</t>
        </is>
      </c>
      <c r="G960" t="inlineStr">
        <is>
          <t>否</t>
        </is>
      </c>
      <c r="H960" t="inlineStr">
        <is>
          <t>Marvell Prestera 接入层切入</t>
        </is>
      </c>
      <c r="I960" t="inlineStr">
        <is>
          <t>LT-S8328XGP-4XS24GT-S</t>
        </is>
      </c>
      <c r="J960" t="inlineStr">
        <is>
          <t>见 alliedtelesis.com 伙伴页</t>
        </is>
      </c>
      <c r="K960" t="inlineStr">
        <is>
          <t>★★★</t>
        </is>
      </c>
      <c r="L960" t="inlineStr">
        <is>
          <t>未触达</t>
        </is>
      </c>
      <c r="M960" t="inlineStr">
        <is>
          <t>Allied Telesis 官方伙伴定位器（?country=italy）</t>
        </is>
      </c>
      <c r="N960" t="inlineStr"/>
      <c r="O960" t="inlineStr"/>
      <c r="P960" t="inlineStr"/>
      <c r="Q96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0" t="inlineStr">
        <is>
          <t>A</t>
        </is>
      </c>
      <c r="S960" t="inlineStr">
        <is>
          <t>【人工定级】A —— 自动规则已跳过；信息待人工补齐（见备注）</t>
        </is>
      </c>
      <c r="T960" t="inlineStr">
        <is>
          <t>A-305</t>
        </is>
      </c>
      <c r="U960" t="inlineStr"/>
      <c r="V960" t="inlineStr">
        <is>
          <t>A</t>
        </is>
      </c>
    </row>
    <row r="961">
      <c r="A961" t="inlineStr">
        <is>
          <t>EULOGIC NT Spa</t>
        </is>
      </c>
      <c r="B961" t="inlineStr">
        <is>
          <t>意大利</t>
        </is>
      </c>
      <c r="C961" t="inlineStr">
        <is>
          <t>Bari</t>
        </is>
      </c>
      <c r="D961" t="inlineStr"/>
      <c r="E961" t="inlineStr">
        <is>
          <t>集成商/代理（Allied Telesis）</t>
        </is>
      </c>
      <c r="F961" t="inlineStr">
        <is>
          <t>Allied Telesis（Marvell Prestera 接入层）</t>
        </is>
      </c>
      <c r="G961" t="inlineStr">
        <is>
          <t>否</t>
        </is>
      </c>
      <c r="H961" t="inlineStr">
        <is>
          <t>Marvell Prestera 接入层切入</t>
        </is>
      </c>
      <c r="I961" t="inlineStr">
        <is>
          <t>LT-S8328XGP-4XS24GT-S</t>
        </is>
      </c>
      <c r="J961" t="inlineStr">
        <is>
          <t>见 alliedtelesis.com 伙伴页</t>
        </is>
      </c>
      <c r="K961" t="inlineStr">
        <is>
          <t>★★★</t>
        </is>
      </c>
      <c r="L961" t="inlineStr">
        <is>
          <t>未触达</t>
        </is>
      </c>
      <c r="M961" t="inlineStr">
        <is>
          <t>Allied Telesis 官方伙伴定位器（?country=italy）</t>
        </is>
      </c>
      <c r="N961" t="inlineStr"/>
      <c r="O961" t="inlineStr"/>
      <c r="P961" t="inlineStr"/>
      <c r="Q96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1" t="inlineStr">
        <is>
          <t>A</t>
        </is>
      </c>
      <c r="S961" t="inlineStr">
        <is>
          <t>【人工定级】A —— 自动规则已跳过；信息待人工补齐（见备注）</t>
        </is>
      </c>
      <c r="T961" t="inlineStr">
        <is>
          <t>A-306</t>
        </is>
      </c>
      <c r="U961" t="inlineStr"/>
      <c r="V961" t="inlineStr">
        <is>
          <t>A</t>
        </is>
      </c>
    </row>
    <row r="962">
      <c r="A962" t="inlineStr">
        <is>
          <t>Evergreen1 S.R.L</t>
        </is>
      </c>
      <c r="B962" t="inlineStr">
        <is>
          <t>意大利</t>
        </is>
      </c>
      <c r="C962" t="inlineStr">
        <is>
          <t>Ciampino (Roma)</t>
        </is>
      </c>
      <c r="D962" t="inlineStr"/>
      <c r="E962" t="inlineStr">
        <is>
          <t>集成商/代理（Allied Telesis）</t>
        </is>
      </c>
      <c r="F962" t="inlineStr">
        <is>
          <t>Allied Telesis（Marvell Prestera 接入层）</t>
        </is>
      </c>
      <c r="G962" t="inlineStr">
        <is>
          <t>否</t>
        </is>
      </c>
      <c r="H962" t="inlineStr">
        <is>
          <t>Marvell Prestera 接入层切入</t>
        </is>
      </c>
      <c r="I962" t="inlineStr">
        <is>
          <t>LT-S8328XGP-4XS24GT-S</t>
        </is>
      </c>
      <c r="J962" t="inlineStr">
        <is>
          <t>见 alliedtelesis.com 伙伴页</t>
        </is>
      </c>
      <c r="K962" t="inlineStr">
        <is>
          <t>★★★</t>
        </is>
      </c>
      <c r="L962" t="inlineStr">
        <is>
          <t>未触达</t>
        </is>
      </c>
      <c r="M962" t="inlineStr">
        <is>
          <t>Allied Telesis 官方伙伴定位器（?country=italy）</t>
        </is>
      </c>
      <c r="N962" t="inlineStr"/>
      <c r="O962" t="inlineStr"/>
      <c r="P962" t="inlineStr"/>
      <c r="Q96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2" t="inlineStr">
        <is>
          <t>A</t>
        </is>
      </c>
      <c r="S962" t="inlineStr">
        <is>
          <t>【人工定级】A —— 自动规则已跳过；信息待人工补齐（见备注）</t>
        </is>
      </c>
      <c r="T962" t="inlineStr">
        <is>
          <t>A-307</t>
        </is>
      </c>
      <c r="U962" t="inlineStr"/>
      <c r="V962" t="inlineStr">
        <is>
          <t>A</t>
        </is>
      </c>
    </row>
    <row r="963">
      <c r="A963" t="inlineStr">
        <is>
          <t>FARPOINT SRL</t>
        </is>
      </c>
      <c r="B963" t="inlineStr">
        <is>
          <t>意大利</t>
        </is>
      </c>
      <c r="C963" t="inlineStr">
        <is>
          <t>Modena</t>
        </is>
      </c>
      <c r="D963" t="inlineStr"/>
      <c r="E963" t="inlineStr">
        <is>
          <t>集成商/代理（Allied Telesis）</t>
        </is>
      </c>
      <c r="F963" t="inlineStr">
        <is>
          <t>Allied Telesis（Marvell Prestera 接入层）</t>
        </is>
      </c>
      <c r="G963" t="inlineStr">
        <is>
          <t>否</t>
        </is>
      </c>
      <c r="H963" t="inlineStr">
        <is>
          <t>Marvell Prestera 接入层切入</t>
        </is>
      </c>
      <c r="I963" t="inlineStr">
        <is>
          <t>LT-S8328XGP-4XS24GT-S</t>
        </is>
      </c>
      <c r="J963" t="inlineStr">
        <is>
          <t>见 alliedtelesis.com 伙伴页</t>
        </is>
      </c>
      <c r="K963" t="inlineStr">
        <is>
          <t>★★★</t>
        </is>
      </c>
      <c r="L963" t="inlineStr">
        <is>
          <t>未触达</t>
        </is>
      </c>
      <c r="M963" t="inlineStr">
        <is>
          <t>Allied Telesis 官方伙伴定位器（?country=italy）</t>
        </is>
      </c>
      <c r="N963" t="inlineStr"/>
      <c r="O963" t="inlineStr"/>
      <c r="P963" t="inlineStr"/>
      <c r="Q96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3" t="inlineStr">
        <is>
          <t>A</t>
        </is>
      </c>
      <c r="S963" t="inlineStr">
        <is>
          <t>【人工定级】A —— 自动规则已跳过；信息待人工补齐（见备注）</t>
        </is>
      </c>
      <c r="T963" t="inlineStr">
        <is>
          <t>A-308</t>
        </is>
      </c>
      <c r="U963" t="inlineStr"/>
      <c r="V963" t="inlineStr">
        <is>
          <t>A</t>
        </is>
      </c>
    </row>
    <row r="964">
      <c r="A964" t="inlineStr">
        <is>
          <t>Fiore Srl</t>
        </is>
      </c>
      <c r="B964" t="inlineStr">
        <is>
          <t>意大利</t>
        </is>
      </c>
      <c r="C964" t="inlineStr">
        <is>
          <t>Palazzolo Milanese (MI)</t>
        </is>
      </c>
      <c r="D964" t="inlineStr"/>
      <c r="E964" t="inlineStr">
        <is>
          <t>集成商/代理（Allied Telesis）</t>
        </is>
      </c>
      <c r="F964" t="inlineStr">
        <is>
          <t>Allied Telesis（Marvell Prestera 接入层）</t>
        </is>
      </c>
      <c r="G964" t="inlineStr">
        <is>
          <t>否</t>
        </is>
      </c>
      <c r="H964" t="inlineStr">
        <is>
          <t>Marvell Prestera 接入层切入</t>
        </is>
      </c>
      <c r="I964" t="inlineStr">
        <is>
          <t>LT-S8328XGP-4XS24GT-S</t>
        </is>
      </c>
      <c r="J964" t="inlineStr">
        <is>
          <t>见 alliedtelesis.com 伙伴页</t>
        </is>
      </c>
      <c r="K964" t="inlineStr">
        <is>
          <t>★★★</t>
        </is>
      </c>
      <c r="L964" t="inlineStr">
        <is>
          <t>未触达</t>
        </is>
      </c>
      <c r="M964" t="inlineStr">
        <is>
          <t>Allied Telesis 官方伙伴定位器（?country=italy）</t>
        </is>
      </c>
      <c r="N964" t="inlineStr"/>
      <c r="O964" t="inlineStr"/>
      <c r="P964" t="inlineStr"/>
      <c r="Q96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64" t="inlineStr">
        <is>
          <t>A</t>
        </is>
      </c>
      <c r="S964" t="inlineStr">
        <is>
          <t>【人工定级】A —— 自动规则已跳过；信息待人工补齐（见备注）</t>
        </is>
      </c>
      <c r="T964" t="inlineStr">
        <is>
          <t>A-309</t>
        </is>
      </c>
      <c r="U964" t="inlineStr"/>
      <c r="V964" t="inlineStr">
        <is>
          <t>A</t>
        </is>
      </c>
    </row>
    <row r="965">
      <c r="A965" t="inlineStr">
        <is>
          <t>GECOPRA SRL</t>
        </is>
      </c>
      <c r="B965" t="inlineStr">
        <is>
          <t>意大利</t>
        </is>
      </c>
      <c r="C965" t="inlineStr">
        <is>
          <t>Napoli</t>
        </is>
      </c>
      <c r="D965" t="inlineStr"/>
      <c r="E965" t="inlineStr">
        <is>
          <t>集成商/代理（Allied Telesis）</t>
        </is>
      </c>
      <c r="F965" t="inlineStr">
        <is>
          <t>Allied Telesis（Marvell Prestera 接入层）</t>
        </is>
      </c>
      <c r="G965" t="inlineStr">
        <is>
          <t>否</t>
        </is>
      </c>
      <c r="H965" t="inlineStr">
        <is>
          <t>Marvell Prestera 接入层切入</t>
        </is>
      </c>
      <c r="I965" t="inlineStr">
        <is>
          <t>LT-S8328XGP-4XS24GT-S</t>
        </is>
      </c>
      <c r="J965" t="inlineStr">
        <is>
          <t>见 alliedtelesis.com 伙伴页</t>
        </is>
      </c>
      <c r="K965" t="inlineStr">
        <is>
          <t>★★★</t>
        </is>
      </c>
      <c r="L965" t="inlineStr">
        <is>
          <t>未触达</t>
        </is>
      </c>
      <c r="M965" t="inlineStr">
        <is>
          <t>Allied Telesis 官方伙伴定位器（?country=italy）</t>
        </is>
      </c>
      <c r="N965" t="inlineStr"/>
      <c r="O965" t="inlineStr"/>
      <c r="P965" t="inlineStr"/>
      <c r="Q96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5" t="inlineStr">
        <is>
          <t>A</t>
        </is>
      </c>
      <c r="S965" t="inlineStr">
        <is>
          <t>【人工定级】A —— 自动规则已跳过；信息待人工补齐（见备注）</t>
        </is>
      </c>
      <c r="T965" t="inlineStr">
        <is>
          <t>A-310</t>
        </is>
      </c>
      <c r="U965" t="inlineStr"/>
      <c r="V965" t="inlineStr">
        <is>
          <t>A</t>
        </is>
      </c>
    </row>
    <row r="966">
      <c r="A966" t="inlineStr">
        <is>
          <t>General Computer Italia S.p.A.</t>
        </is>
      </c>
      <c r="B966" t="inlineStr">
        <is>
          <t>意大利</t>
        </is>
      </c>
      <c r="C966" t="inlineStr">
        <is>
          <t>Roma</t>
        </is>
      </c>
      <c r="D966" t="inlineStr"/>
      <c r="E966" t="inlineStr">
        <is>
          <t>集成商/代理（Allied Telesis）</t>
        </is>
      </c>
      <c r="F966" t="inlineStr">
        <is>
          <t>Allied Telesis（Marvell Prestera 接入层）</t>
        </is>
      </c>
      <c r="G966" t="inlineStr">
        <is>
          <t>否</t>
        </is>
      </c>
      <c r="H966" t="inlineStr">
        <is>
          <t>Marvell Prestera 接入层切入</t>
        </is>
      </c>
      <c r="I966" t="inlineStr">
        <is>
          <t>LT-S8328XGP-4XS24GT-S</t>
        </is>
      </c>
      <c r="J966" t="inlineStr">
        <is>
          <t>见 alliedtelesis.com 伙伴页</t>
        </is>
      </c>
      <c r="K966" t="inlineStr">
        <is>
          <t>★★★</t>
        </is>
      </c>
      <c r="L966" t="inlineStr">
        <is>
          <t>未触达</t>
        </is>
      </c>
      <c r="M966" t="inlineStr">
        <is>
          <t>Allied Telesis 官方伙伴定位器（?country=italy）</t>
        </is>
      </c>
      <c r="N966" t="inlineStr"/>
      <c r="O966" t="inlineStr"/>
      <c r="P966" t="inlineStr"/>
      <c r="Q96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6" t="inlineStr">
        <is>
          <t>A</t>
        </is>
      </c>
      <c r="S966" t="inlineStr">
        <is>
          <t>【人工定级】A —— 自动规则已跳过；信息待人工补齐（见备注）</t>
        </is>
      </c>
      <c r="T966" t="inlineStr">
        <is>
          <t>A-311</t>
        </is>
      </c>
      <c r="U966" t="inlineStr"/>
      <c r="V966" t="inlineStr">
        <is>
          <t>A</t>
        </is>
      </c>
    </row>
    <row r="967">
      <c r="A967" t="inlineStr">
        <is>
          <t>GIS s.r.l.</t>
        </is>
      </c>
      <c r="B967" t="inlineStr">
        <is>
          <t>意大利</t>
        </is>
      </c>
      <c r="C967" t="inlineStr">
        <is>
          <t>Pedrengo (BG)</t>
        </is>
      </c>
      <c r="D967" t="inlineStr"/>
      <c r="E967" t="inlineStr">
        <is>
          <t>集成商/代理（Allied Telesis）</t>
        </is>
      </c>
      <c r="F967" t="inlineStr">
        <is>
          <t>Allied Telesis（Marvell Prestera 接入层）</t>
        </is>
      </c>
      <c r="G967" t="inlineStr">
        <is>
          <t>否</t>
        </is>
      </c>
      <c r="H967" t="inlineStr">
        <is>
          <t>Marvell Prestera 接入层切入</t>
        </is>
      </c>
      <c r="I967" t="inlineStr">
        <is>
          <t>LT-S8328XGP-4XS24GT-S</t>
        </is>
      </c>
      <c r="J967" t="inlineStr">
        <is>
          <t>见 alliedtelesis.com 伙伴页</t>
        </is>
      </c>
      <c r="K967" t="inlineStr">
        <is>
          <t>★★★</t>
        </is>
      </c>
      <c r="L967" t="inlineStr">
        <is>
          <t>未触达</t>
        </is>
      </c>
      <c r="M967" t="inlineStr">
        <is>
          <t>Allied Telesis 官方伙伴定位器（?country=italy）</t>
        </is>
      </c>
      <c r="N967" t="inlineStr"/>
      <c r="O967" t="inlineStr"/>
      <c r="P967" t="inlineStr"/>
      <c r="Q96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7" t="inlineStr">
        <is>
          <t>A</t>
        </is>
      </c>
      <c r="S967" t="inlineStr">
        <is>
          <t>【人工定级】A —— 自动规则已跳过；信息待人工补齐（见备注）</t>
        </is>
      </c>
      <c r="T967" t="inlineStr">
        <is>
          <t>A-312</t>
        </is>
      </c>
      <c r="U967" t="inlineStr"/>
      <c r="V967" t="inlineStr">
        <is>
          <t>A</t>
        </is>
      </c>
    </row>
    <row r="968">
      <c r="A968" t="inlineStr">
        <is>
          <t>Goretti Technological System S.r.l.</t>
        </is>
      </c>
      <c r="B968" t="inlineStr">
        <is>
          <t>意大利</t>
        </is>
      </c>
      <c r="C968" t="inlineStr">
        <is>
          <t>Taverne di Corciano (PG)</t>
        </is>
      </c>
      <c r="D968" t="inlineStr"/>
      <c r="E968" t="inlineStr">
        <is>
          <t>集成商/代理（Allied Telesis）</t>
        </is>
      </c>
      <c r="F968" t="inlineStr">
        <is>
          <t>Allied Telesis（Marvell Prestera 接入层）</t>
        </is>
      </c>
      <c r="G968" t="inlineStr">
        <is>
          <t>否</t>
        </is>
      </c>
      <c r="H968" t="inlineStr">
        <is>
          <t>Marvell Prestera 接入层切入</t>
        </is>
      </c>
      <c r="I968" t="inlineStr">
        <is>
          <t>LT-S8328XGP-4XS24GT-S</t>
        </is>
      </c>
      <c r="J968" t="inlineStr">
        <is>
          <t>见 alliedtelesis.com 伙伴页</t>
        </is>
      </c>
      <c r="K968" t="inlineStr">
        <is>
          <t>★★★</t>
        </is>
      </c>
      <c r="L968" t="inlineStr">
        <is>
          <t>未触达</t>
        </is>
      </c>
      <c r="M968" t="inlineStr">
        <is>
          <t>Allied Telesis 官方伙伴定位器（?country=italy）</t>
        </is>
      </c>
      <c r="N968" t="inlineStr"/>
      <c r="O968" t="inlineStr"/>
      <c r="P968" t="inlineStr"/>
      <c r="Q96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8" t="inlineStr">
        <is>
          <t>A</t>
        </is>
      </c>
      <c r="S968" t="inlineStr">
        <is>
          <t>【人工定级】A —— 自动规则已跳过；信息待人工补齐（见备注）</t>
        </is>
      </c>
      <c r="T968" t="inlineStr">
        <is>
          <t>A-313</t>
        </is>
      </c>
      <c r="U968" t="inlineStr"/>
      <c r="V968" t="inlineStr">
        <is>
          <t>A</t>
        </is>
      </c>
    </row>
    <row r="969">
      <c r="A969" t="inlineStr">
        <is>
          <t>I&amp;SI S.p.A.</t>
        </is>
      </c>
      <c r="B969" t="inlineStr">
        <is>
          <t>意大利</t>
        </is>
      </c>
      <c r="C969" t="inlineStr">
        <is>
          <t>Aprilia</t>
        </is>
      </c>
      <c r="D969" t="inlineStr"/>
      <c r="E969" t="inlineStr">
        <is>
          <t>集成商/代理（Allied Telesis）</t>
        </is>
      </c>
      <c r="F969" t="inlineStr">
        <is>
          <t>Allied Telesis（Marvell Prestera 接入层）</t>
        </is>
      </c>
      <c r="G969" t="inlineStr">
        <is>
          <t>否</t>
        </is>
      </c>
      <c r="H969" t="inlineStr">
        <is>
          <t>Marvell Prestera 接入层切入</t>
        </is>
      </c>
      <c r="I969" t="inlineStr">
        <is>
          <t>LT-S8328XGP-4XS24GT-S</t>
        </is>
      </c>
      <c r="J969" t="inlineStr">
        <is>
          <t>见 alliedtelesis.com 伙伴页</t>
        </is>
      </c>
      <c r="K969" t="inlineStr">
        <is>
          <t>★★★</t>
        </is>
      </c>
      <c r="L969" t="inlineStr">
        <is>
          <t>未触达</t>
        </is>
      </c>
      <c r="M969" t="inlineStr">
        <is>
          <t>Allied Telesis 官方伙伴定位器（?country=italy）</t>
        </is>
      </c>
      <c r="N969" t="inlineStr"/>
      <c r="O969" t="inlineStr"/>
      <c r="P969" t="inlineStr"/>
      <c r="Q96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69" t="inlineStr">
        <is>
          <t>A</t>
        </is>
      </c>
      <c r="S969" t="inlineStr">
        <is>
          <t>【人工定级】A —— 自动规则已跳过；信息待人工补齐（见备注）</t>
        </is>
      </c>
      <c r="T969" t="inlineStr">
        <is>
          <t>A-314</t>
        </is>
      </c>
      <c r="U969" t="inlineStr"/>
      <c r="V969" t="inlineStr">
        <is>
          <t>A</t>
        </is>
      </c>
    </row>
    <row r="970">
      <c r="A970" t="inlineStr">
        <is>
          <t>IFI Consulting Srl</t>
        </is>
      </c>
      <c r="B970" t="inlineStr">
        <is>
          <t>意大利</t>
        </is>
      </c>
      <c r="C970" t="inlineStr">
        <is>
          <t>Modena</t>
        </is>
      </c>
      <c r="D970" t="inlineStr"/>
      <c r="E970" t="inlineStr">
        <is>
          <t>集成商/代理（Allied Telesis）</t>
        </is>
      </c>
      <c r="F970" t="inlineStr">
        <is>
          <t>Allied Telesis（Marvell Prestera 接入层）</t>
        </is>
      </c>
      <c r="G970" t="inlineStr">
        <is>
          <t>否</t>
        </is>
      </c>
      <c r="H970" t="inlineStr">
        <is>
          <t>Marvell Prestera 接入层切入</t>
        </is>
      </c>
      <c r="I970" t="inlineStr">
        <is>
          <t>LT-S8328XGP-4XS24GT-S</t>
        </is>
      </c>
      <c r="J970" t="inlineStr">
        <is>
          <t>见 alliedtelesis.com 伙伴页</t>
        </is>
      </c>
      <c r="K970" t="inlineStr">
        <is>
          <t>★★★</t>
        </is>
      </c>
      <c r="L970" t="inlineStr">
        <is>
          <t>未触达</t>
        </is>
      </c>
      <c r="M970" t="inlineStr">
        <is>
          <t>Allied Telesis 官方伙伴定位器（?country=italy）</t>
        </is>
      </c>
      <c r="N970" t="inlineStr"/>
      <c r="O970" t="inlineStr"/>
      <c r="P970" t="inlineStr"/>
      <c r="Q97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0" t="inlineStr">
        <is>
          <t>A</t>
        </is>
      </c>
      <c r="S970" t="inlineStr">
        <is>
          <t>【人工定级】A —— 自动规则已跳过；信息待人工补齐（见备注）</t>
        </is>
      </c>
      <c r="T970" t="inlineStr">
        <is>
          <t>A-315</t>
        </is>
      </c>
      <c r="U970" t="inlineStr"/>
      <c r="V970" t="inlineStr">
        <is>
          <t>A</t>
        </is>
      </c>
    </row>
    <row r="971">
      <c r="A971" t="inlineStr">
        <is>
          <t>Irene</t>
        </is>
      </c>
      <c r="B971" t="inlineStr">
        <is>
          <t>意大利</t>
        </is>
      </c>
      <c r="C971" t="inlineStr">
        <is>
          <t>Genova</t>
        </is>
      </c>
      <c r="D971" t="inlineStr"/>
      <c r="E971" t="inlineStr">
        <is>
          <t>集成商/代理（Allied Telesis）</t>
        </is>
      </c>
      <c r="F971" t="inlineStr">
        <is>
          <t>Allied Telesis（Marvell Prestera 接入层）</t>
        </is>
      </c>
      <c r="G971" t="inlineStr">
        <is>
          <t>否</t>
        </is>
      </c>
      <c r="H971" t="inlineStr">
        <is>
          <t>Marvell Prestera 接入层切入</t>
        </is>
      </c>
      <c r="I971" t="inlineStr">
        <is>
          <t>LT-S8328XGP-4XS24GT-S</t>
        </is>
      </c>
      <c r="J971" t="inlineStr">
        <is>
          <t>见 alliedtelesis.com 伙伴页</t>
        </is>
      </c>
      <c r="K971" t="inlineStr">
        <is>
          <t>★★★</t>
        </is>
      </c>
      <c r="L971" t="inlineStr">
        <is>
          <t>未触达</t>
        </is>
      </c>
      <c r="M971" t="inlineStr">
        <is>
          <t>Allied Telesis 官方伙伴定位器（?country=italy）</t>
        </is>
      </c>
      <c r="N971" t="inlineStr"/>
      <c r="O971" t="inlineStr"/>
      <c r="P971" t="inlineStr"/>
      <c r="Q97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1" t="inlineStr">
        <is>
          <t>A</t>
        </is>
      </c>
      <c r="S971" t="inlineStr">
        <is>
          <t>【人工定级】A —— 自动规则已跳过；信息待人工补齐（见备注）</t>
        </is>
      </c>
      <c r="T971" t="inlineStr">
        <is>
          <t>A-316</t>
        </is>
      </c>
      <c r="U971" t="inlineStr"/>
      <c r="V971" t="inlineStr">
        <is>
          <t>A</t>
        </is>
      </c>
    </row>
    <row r="972">
      <c r="A972" t="inlineStr">
        <is>
          <t>JM CONSULTING SRL</t>
        </is>
      </c>
      <c r="B972" t="inlineStr">
        <is>
          <t>意大利</t>
        </is>
      </c>
      <c r="C972" t="inlineStr">
        <is>
          <t>Gossolengo (PC)</t>
        </is>
      </c>
      <c r="D972" t="inlineStr"/>
      <c r="E972" t="inlineStr">
        <is>
          <t>集成商/代理（Allied Telesis）</t>
        </is>
      </c>
      <c r="F972" t="inlineStr">
        <is>
          <t>Allied Telesis（Marvell Prestera 接入层）</t>
        </is>
      </c>
      <c r="G972" t="inlineStr">
        <is>
          <t>否</t>
        </is>
      </c>
      <c r="H972" t="inlineStr">
        <is>
          <t>Marvell Prestera 接入层切入</t>
        </is>
      </c>
      <c r="I972" t="inlineStr">
        <is>
          <t>LT-S8328XGP-4XS24GT-S</t>
        </is>
      </c>
      <c r="J972" t="inlineStr">
        <is>
          <t>见 alliedtelesis.com 伙伴页</t>
        </is>
      </c>
      <c r="K972" t="inlineStr">
        <is>
          <t>★★★</t>
        </is>
      </c>
      <c r="L972" t="inlineStr">
        <is>
          <t>未触达</t>
        </is>
      </c>
      <c r="M972" t="inlineStr">
        <is>
          <t>Allied Telesis 官方伙伴定位器（?country=italy）</t>
        </is>
      </c>
      <c r="N972" t="inlineStr"/>
      <c r="O972" t="inlineStr"/>
      <c r="P972" t="inlineStr"/>
      <c r="Q97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2" t="inlineStr">
        <is>
          <t>A</t>
        </is>
      </c>
      <c r="S972" t="inlineStr">
        <is>
          <t>【人工定级】A —— 自动规则已跳过；信息待人工补齐（见备注）</t>
        </is>
      </c>
      <c r="T972" t="inlineStr">
        <is>
          <t>A-317</t>
        </is>
      </c>
      <c r="U972" t="inlineStr"/>
      <c r="V972" t="inlineStr">
        <is>
          <t>A</t>
        </is>
      </c>
    </row>
    <row r="973">
      <c r="A973" t="inlineStr">
        <is>
          <t>Localnet Firenze Srl</t>
        </is>
      </c>
      <c r="B973" t="inlineStr">
        <is>
          <t>意大利</t>
        </is>
      </c>
      <c r="C973" t="inlineStr">
        <is>
          <t>Firenze</t>
        </is>
      </c>
      <c r="D973" t="inlineStr"/>
      <c r="E973" t="inlineStr">
        <is>
          <t>集成商/代理（Allied Telesis）</t>
        </is>
      </c>
      <c r="F973" t="inlineStr">
        <is>
          <t>Allied Telesis（Marvell Prestera 接入层）</t>
        </is>
      </c>
      <c r="G973" t="inlineStr">
        <is>
          <t>否</t>
        </is>
      </c>
      <c r="H973" t="inlineStr">
        <is>
          <t>Marvell Prestera 接入层切入</t>
        </is>
      </c>
      <c r="I973" t="inlineStr">
        <is>
          <t>LT-S8328XGP-4XS24GT-S</t>
        </is>
      </c>
      <c r="J973" t="inlineStr">
        <is>
          <t>见 alliedtelesis.com 伙伴页</t>
        </is>
      </c>
      <c r="K973" t="inlineStr">
        <is>
          <t>★★★</t>
        </is>
      </c>
      <c r="L973" t="inlineStr">
        <is>
          <t>未触达</t>
        </is>
      </c>
      <c r="M973" t="inlineStr">
        <is>
          <t>Allied Telesis 官方伙伴定位器（?country=italy）</t>
        </is>
      </c>
      <c r="N973" t="inlineStr"/>
      <c r="O973" t="inlineStr"/>
      <c r="P973" t="inlineStr"/>
      <c r="Q97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3" t="inlineStr">
        <is>
          <t>A</t>
        </is>
      </c>
      <c r="S973" t="inlineStr">
        <is>
          <t>【人工定级】A —— 自动规则已跳过；信息待人工补齐（见备注）</t>
        </is>
      </c>
      <c r="T973" t="inlineStr">
        <is>
          <t>A-318</t>
        </is>
      </c>
      <c r="U973" t="inlineStr"/>
      <c r="V973" t="inlineStr">
        <is>
          <t>A</t>
        </is>
      </c>
    </row>
    <row r="974">
      <c r="A974" t="inlineStr">
        <is>
          <t>Luca Masetto</t>
        </is>
      </c>
      <c r="B974" t="inlineStr">
        <is>
          <t>意大利</t>
        </is>
      </c>
      <c r="C974" t="inlineStr">
        <is>
          <t>Santa Maria di Sala (VE)</t>
        </is>
      </c>
      <c r="D974" t="inlineStr"/>
      <c r="E974" t="inlineStr">
        <is>
          <t>集成商/代理（Allied Telesis）</t>
        </is>
      </c>
      <c r="F974" t="inlineStr">
        <is>
          <t>Allied Telesis（Marvell Prestera 接入层）</t>
        </is>
      </c>
      <c r="G974" t="inlineStr">
        <is>
          <t>否</t>
        </is>
      </c>
      <c r="H974" t="inlineStr">
        <is>
          <t>Marvell Prestera 接入层切入</t>
        </is>
      </c>
      <c r="I974" t="inlineStr">
        <is>
          <t>LT-S8328XGP-4XS24GT-S</t>
        </is>
      </c>
      <c r="J974" t="inlineStr">
        <is>
          <t>见 alliedtelesis.com 伙伴页</t>
        </is>
      </c>
      <c r="K974" t="inlineStr">
        <is>
          <t>★★★</t>
        </is>
      </c>
      <c r="L974" t="inlineStr">
        <is>
          <t>未触达</t>
        </is>
      </c>
      <c r="M974" t="inlineStr">
        <is>
          <t>Allied Telesis 官方伙伴定位器（?country=italy）</t>
        </is>
      </c>
      <c r="N974" t="inlineStr"/>
      <c r="O974" t="inlineStr"/>
      <c r="P974" t="inlineStr"/>
      <c r="Q97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伙伴等级：Integrate。</t>
        </is>
      </c>
      <c r="R974" t="inlineStr">
        <is>
          <t>A</t>
        </is>
      </c>
      <c r="S974" t="inlineStr">
        <is>
          <t>【人工定级】A —— 自动规则已跳过；信息待人工补齐（见备注）</t>
        </is>
      </c>
      <c r="T974" t="inlineStr">
        <is>
          <t>A-319</t>
        </is>
      </c>
      <c r="U974" t="inlineStr"/>
      <c r="V974" t="inlineStr">
        <is>
          <t>A</t>
        </is>
      </c>
    </row>
    <row r="975">
      <c r="A975" t="inlineStr">
        <is>
          <t>ML Software S. r. l.</t>
        </is>
      </c>
      <c r="B975" t="inlineStr">
        <is>
          <t>意大利</t>
        </is>
      </c>
      <c r="C975" t="inlineStr">
        <is>
          <t>Catania</t>
        </is>
      </c>
      <c r="D975" t="inlineStr"/>
      <c r="E975" t="inlineStr">
        <is>
          <t>集成商/代理（Allied Telesis）</t>
        </is>
      </c>
      <c r="F975" t="inlineStr">
        <is>
          <t>Allied Telesis（Marvell Prestera 接入层）</t>
        </is>
      </c>
      <c r="G975" t="inlineStr">
        <is>
          <t>否</t>
        </is>
      </c>
      <c r="H975" t="inlineStr">
        <is>
          <t>Marvell Prestera 接入层切入</t>
        </is>
      </c>
      <c r="I975" t="inlineStr">
        <is>
          <t>LT-S8328XGP-4XS24GT-S</t>
        </is>
      </c>
      <c r="J975" t="inlineStr">
        <is>
          <t>见 alliedtelesis.com 伙伴页</t>
        </is>
      </c>
      <c r="K975" t="inlineStr">
        <is>
          <t>★★★</t>
        </is>
      </c>
      <c r="L975" t="inlineStr">
        <is>
          <t>未触达</t>
        </is>
      </c>
      <c r="M975" t="inlineStr">
        <is>
          <t>Allied Telesis 官方伙伴定位器（?country=italy）</t>
        </is>
      </c>
      <c r="N975" t="inlineStr"/>
      <c r="O975" t="inlineStr"/>
      <c r="P975" t="inlineStr"/>
      <c r="Q97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5" t="inlineStr">
        <is>
          <t>A</t>
        </is>
      </c>
      <c r="S975" t="inlineStr">
        <is>
          <t>【人工定级】A —— 自动规则已跳过；信息待人工补齐（见备注）</t>
        </is>
      </c>
      <c r="T975" t="inlineStr">
        <is>
          <t>A-320</t>
        </is>
      </c>
      <c r="U975" t="inlineStr"/>
      <c r="V975" t="inlineStr">
        <is>
          <t>A</t>
        </is>
      </c>
    </row>
    <row r="976">
      <c r="A976" t="inlineStr">
        <is>
          <t>N&amp;C TELECOMUNICAZIONI S.p.a.</t>
        </is>
      </c>
      <c r="B976" t="inlineStr">
        <is>
          <t>意大利</t>
        </is>
      </c>
      <c r="C976" t="inlineStr">
        <is>
          <t>Veglie (LE)</t>
        </is>
      </c>
      <c r="D976" t="inlineStr"/>
      <c r="E976" t="inlineStr">
        <is>
          <t>集成商/代理（Allied Telesis）</t>
        </is>
      </c>
      <c r="F976" t="inlineStr">
        <is>
          <t>Allied Telesis（Marvell Prestera 接入层）</t>
        </is>
      </c>
      <c r="G976" t="inlineStr">
        <is>
          <t>否</t>
        </is>
      </c>
      <c r="H976" t="inlineStr">
        <is>
          <t>Marvell Prestera 接入层切入</t>
        </is>
      </c>
      <c r="I976" t="inlineStr">
        <is>
          <t>LT-S8328XGP-4XS24GT-S</t>
        </is>
      </c>
      <c r="J976" t="inlineStr">
        <is>
          <t>见 alliedtelesis.com 伙伴页</t>
        </is>
      </c>
      <c r="K976" t="inlineStr">
        <is>
          <t>★★★</t>
        </is>
      </c>
      <c r="L976" t="inlineStr">
        <is>
          <t>未触达</t>
        </is>
      </c>
      <c r="M976" t="inlineStr">
        <is>
          <t>Allied Telesis 官方伙伴定位器（?country=italy）</t>
        </is>
      </c>
      <c r="N976" t="inlineStr"/>
      <c r="O976" t="inlineStr"/>
      <c r="P976" t="inlineStr"/>
      <c r="Q97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6" t="inlineStr">
        <is>
          <t>A</t>
        </is>
      </c>
      <c r="S976" t="inlineStr">
        <is>
          <t>【人工定级】A —— 自动规则已跳过；信息待人工补齐（见备注）</t>
        </is>
      </c>
      <c r="T976" t="inlineStr">
        <is>
          <t>A-321</t>
        </is>
      </c>
      <c r="U976" t="inlineStr"/>
      <c r="V976" t="inlineStr">
        <is>
          <t>A</t>
        </is>
      </c>
    </row>
    <row r="977">
      <c r="A977" t="inlineStr">
        <is>
          <t>NA.EL Srl</t>
        </is>
      </c>
      <c r="B977" t="inlineStr">
        <is>
          <t>意大利</t>
        </is>
      </c>
      <c r="C977" t="inlineStr">
        <is>
          <t>Napoli</t>
        </is>
      </c>
      <c r="D977" t="inlineStr"/>
      <c r="E977" t="inlineStr">
        <is>
          <t>集成商/代理（Allied Telesis）</t>
        </is>
      </c>
      <c r="F977" t="inlineStr">
        <is>
          <t>Allied Telesis（Marvell Prestera 接入层）</t>
        </is>
      </c>
      <c r="G977" t="inlineStr">
        <is>
          <t>否</t>
        </is>
      </c>
      <c r="H977" t="inlineStr">
        <is>
          <t>Marvell Prestera 接入层切入</t>
        </is>
      </c>
      <c r="I977" t="inlineStr">
        <is>
          <t>LT-S8328XGP-4XS24GT-S</t>
        </is>
      </c>
      <c r="J977" t="inlineStr">
        <is>
          <t>见 alliedtelesis.com 伙伴页</t>
        </is>
      </c>
      <c r="K977" t="inlineStr">
        <is>
          <t>★★★</t>
        </is>
      </c>
      <c r="L977" t="inlineStr">
        <is>
          <t>未触达</t>
        </is>
      </c>
      <c r="M977" t="inlineStr">
        <is>
          <t>Allied Telesis 官方伙伴定位器（?country=italy）</t>
        </is>
      </c>
      <c r="N977" t="inlineStr"/>
      <c r="O977" t="inlineStr"/>
      <c r="P977" t="inlineStr"/>
      <c r="Q97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7" t="inlineStr">
        <is>
          <t>A</t>
        </is>
      </c>
      <c r="S977" t="inlineStr">
        <is>
          <t>【人工定级】A —— 自动规则已跳过；信息待人工补齐（见备注）</t>
        </is>
      </c>
      <c r="T977" t="inlineStr">
        <is>
          <t>A-322</t>
        </is>
      </c>
      <c r="U977" t="inlineStr"/>
      <c r="V977" t="inlineStr">
        <is>
          <t>A</t>
        </is>
      </c>
    </row>
    <row r="978">
      <c r="A978" t="inlineStr">
        <is>
          <t>Net Engineering SpA</t>
        </is>
      </c>
      <c r="B978" t="inlineStr">
        <is>
          <t>意大利</t>
        </is>
      </c>
      <c r="C978" t="inlineStr">
        <is>
          <t>Sesto S.Giovanni (MI)</t>
        </is>
      </c>
      <c r="D978" t="inlineStr"/>
      <c r="E978" t="inlineStr">
        <is>
          <t>集成商/代理（Allied Telesis）</t>
        </is>
      </c>
      <c r="F978" t="inlineStr">
        <is>
          <t>Allied Telesis（Marvell Prestera 接入层）</t>
        </is>
      </c>
      <c r="G978" t="inlineStr">
        <is>
          <t>否</t>
        </is>
      </c>
      <c r="H978" t="inlineStr">
        <is>
          <t>Marvell Prestera 接入层切入</t>
        </is>
      </c>
      <c r="I978" t="inlineStr">
        <is>
          <t>LT-S8328XGP-4XS24GT-S</t>
        </is>
      </c>
      <c r="J978" t="inlineStr">
        <is>
          <t>见 alliedtelesis.com 伙伴页</t>
        </is>
      </c>
      <c r="K978" t="inlineStr">
        <is>
          <t>★★★</t>
        </is>
      </c>
      <c r="L978" t="inlineStr">
        <is>
          <t>未触达</t>
        </is>
      </c>
      <c r="M978" t="inlineStr">
        <is>
          <t>Allied Telesis 官方伙伴定位器（?country=italy）</t>
        </is>
      </c>
      <c r="N978" t="inlineStr"/>
      <c r="O978" t="inlineStr"/>
      <c r="P978" t="inlineStr"/>
      <c r="Q97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8" t="inlineStr">
        <is>
          <t>A</t>
        </is>
      </c>
      <c r="S978" t="inlineStr">
        <is>
          <t>【人工定级】A —— 自动规则已跳过；信息待人工补齐（见备注）</t>
        </is>
      </c>
      <c r="T978" t="inlineStr">
        <is>
          <t>A-323</t>
        </is>
      </c>
      <c r="U978" t="inlineStr"/>
      <c r="V978" t="inlineStr">
        <is>
          <t>A</t>
        </is>
      </c>
    </row>
    <row r="979">
      <c r="A979" t="inlineStr">
        <is>
          <t>Net System Innovazione srl</t>
        </is>
      </c>
      <c r="B979" t="inlineStr">
        <is>
          <t>意大利</t>
        </is>
      </c>
      <c r="C979" t="inlineStr">
        <is>
          <t>Vignolo (CN)</t>
        </is>
      </c>
      <c r="D979" t="inlineStr"/>
      <c r="E979" t="inlineStr">
        <is>
          <t>集成商/代理（Allied Telesis）</t>
        </is>
      </c>
      <c r="F979" t="inlineStr">
        <is>
          <t>Allied Telesis（Marvell Prestera 接入层）</t>
        </is>
      </c>
      <c r="G979" t="inlineStr">
        <is>
          <t>否</t>
        </is>
      </c>
      <c r="H979" t="inlineStr">
        <is>
          <t>Marvell Prestera 接入层切入</t>
        </is>
      </c>
      <c r="I979" t="inlineStr">
        <is>
          <t>LT-S8328XGP-4XS24GT-S</t>
        </is>
      </c>
      <c r="J979" t="inlineStr">
        <is>
          <t>见 alliedtelesis.com 伙伴页</t>
        </is>
      </c>
      <c r="K979" t="inlineStr">
        <is>
          <t>★★★</t>
        </is>
      </c>
      <c r="L979" t="inlineStr">
        <is>
          <t>未触达</t>
        </is>
      </c>
      <c r="M979" t="inlineStr">
        <is>
          <t>Allied Telesis 官方伙伴定位器（?country=italy）</t>
        </is>
      </c>
      <c r="N979" t="inlineStr"/>
      <c r="O979" t="inlineStr"/>
      <c r="P979" t="inlineStr"/>
      <c r="Q97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79" t="inlineStr">
        <is>
          <t>A</t>
        </is>
      </c>
      <c r="S979" t="inlineStr">
        <is>
          <t>【人工定级】A —— 自动规则已跳过；信息待人工补齐（见备注）</t>
        </is>
      </c>
      <c r="T979" t="inlineStr">
        <is>
          <t>A-324</t>
        </is>
      </c>
      <c r="U979" t="inlineStr"/>
      <c r="V979" t="inlineStr">
        <is>
          <t>A</t>
        </is>
      </c>
    </row>
    <row r="980">
      <c r="A980" t="inlineStr">
        <is>
          <t>NEWSOFT Technology SRL</t>
        </is>
      </c>
      <c r="B980" t="inlineStr">
        <is>
          <t>意大利</t>
        </is>
      </c>
      <c r="C980" t="inlineStr">
        <is>
          <t>Saluzzo (CN)</t>
        </is>
      </c>
      <c r="D980" t="inlineStr"/>
      <c r="E980" t="inlineStr">
        <is>
          <t>集成商/代理（Allied Telesis）</t>
        </is>
      </c>
      <c r="F980" t="inlineStr">
        <is>
          <t>Allied Telesis（Marvell Prestera 接入层）</t>
        </is>
      </c>
      <c r="G980" t="inlineStr">
        <is>
          <t>否</t>
        </is>
      </c>
      <c r="H980" t="inlineStr">
        <is>
          <t>Marvell Prestera 接入层切入</t>
        </is>
      </c>
      <c r="I980" t="inlineStr">
        <is>
          <t>LT-S8328XGP-4XS24GT-S</t>
        </is>
      </c>
      <c r="J980" t="inlineStr">
        <is>
          <t>见 alliedtelesis.com 伙伴页</t>
        </is>
      </c>
      <c r="K980" t="inlineStr">
        <is>
          <t>★★★</t>
        </is>
      </c>
      <c r="L980" t="inlineStr">
        <is>
          <t>未触达</t>
        </is>
      </c>
      <c r="M980" t="inlineStr">
        <is>
          <t>Allied Telesis 官方伙伴定位器（?country=italy）</t>
        </is>
      </c>
      <c r="N980" t="inlineStr"/>
      <c r="O980" t="inlineStr"/>
      <c r="P980" t="inlineStr"/>
      <c r="Q98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0" t="inlineStr">
        <is>
          <t>A</t>
        </is>
      </c>
      <c r="S980" t="inlineStr">
        <is>
          <t>【人工定级】A —— 自动规则已跳过；信息待人工补齐（见备注）</t>
        </is>
      </c>
      <c r="T980" t="inlineStr">
        <is>
          <t>A-325</t>
        </is>
      </c>
      <c r="U980" t="inlineStr"/>
      <c r="V980" t="inlineStr">
        <is>
          <t>A</t>
        </is>
      </c>
    </row>
    <row r="981">
      <c r="A981" t="inlineStr">
        <is>
          <t>OMNICONNECT srl</t>
        </is>
      </c>
      <c r="B981" t="inlineStr">
        <is>
          <t>意大利</t>
        </is>
      </c>
      <c r="C981" t="inlineStr">
        <is>
          <t>Pontedera (PI)</t>
        </is>
      </c>
      <c r="D981" t="inlineStr"/>
      <c r="E981" t="inlineStr">
        <is>
          <t>集成商/代理（Allied Telesis）</t>
        </is>
      </c>
      <c r="F981" t="inlineStr">
        <is>
          <t>Allied Telesis（Marvell Prestera 接入层）</t>
        </is>
      </c>
      <c r="G981" t="inlineStr">
        <is>
          <t>否</t>
        </is>
      </c>
      <c r="H981" t="inlineStr">
        <is>
          <t>Marvell Prestera 接入层切入</t>
        </is>
      </c>
      <c r="I981" t="inlineStr">
        <is>
          <t>LT-S8328XGP-4XS24GT-S</t>
        </is>
      </c>
      <c r="J981" t="inlineStr">
        <is>
          <t>见 alliedtelesis.com 伙伴页</t>
        </is>
      </c>
      <c r="K981" t="inlineStr">
        <is>
          <t>★★★</t>
        </is>
      </c>
      <c r="L981" t="inlineStr">
        <is>
          <t>未触达</t>
        </is>
      </c>
      <c r="M981" t="inlineStr">
        <is>
          <t>Allied Telesis 官方伙伴定位器（?country=italy）</t>
        </is>
      </c>
      <c r="N981" t="inlineStr"/>
      <c r="O981" t="inlineStr"/>
      <c r="P981" t="inlineStr"/>
      <c r="Q98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1" t="inlineStr">
        <is>
          <t>A</t>
        </is>
      </c>
      <c r="S981" t="inlineStr">
        <is>
          <t>【人工定级】A —— 自动规则已跳过；信息待人工补齐（见备注）</t>
        </is>
      </c>
      <c r="T981" t="inlineStr">
        <is>
          <t>A-326</t>
        </is>
      </c>
      <c r="U981" t="inlineStr"/>
      <c r="V981" t="inlineStr">
        <is>
          <t>A</t>
        </is>
      </c>
    </row>
    <row r="982">
      <c r="A982" t="inlineStr">
        <is>
          <t>PAM UFFICIO Srl</t>
        </is>
      </c>
      <c r="B982" t="inlineStr">
        <is>
          <t>意大利</t>
        </is>
      </c>
      <c r="C982" t="inlineStr">
        <is>
          <t>Messina</t>
        </is>
      </c>
      <c r="D982" t="inlineStr"/>
      <c r="E982" t="inlineStr">
        <is>
          <t>集成商/代理（Allied Telesis）</t>
        </is>
      </c>
      <c r="F982" t="inlineStr">
        <is>
          <t>Allied Telesis（Marvell Prestera 接入层）</t>
        </is>
      </c>
      <c r="G982" t="inlineStr">
        <is>
          <t>否</t>
        </is>
      </c>
      <c r="H982" t="inlineStr">
        <is>
          <t>Marvell Prestera 接入层切入</t>
        </is>
      </c>
      <c r="I982" t="inlineStr">
        <is>
          <t>LT-S8328XGP-4XS24GT-S</t>
        </is>
      </c>
      <c r="J982" t="inlineStr">
        <is>
          <t>见 alliedtelesis.com 伙伴页</t>
        </is>
      </c>
      <c r="K982" t="inlineStr">
        <is>
          <t>★★★</t>
        </is>
      </c>
      <c r="L982" t="inlineStr">
        <is>
          <t>未触达</t>
        </is>
      </c>
      <c r="M982" t="inlineStr">
        <is>
          <t>Allied Telesis 官方伙伴定位器（?country=italy）</t>
        </is>
      </c>
      <c r="N982" t="inlineStr"/>
      <c r="O982" t="inlineStr"/>
      <c r="P982" t="inlineStr"/>
      <c r="Q98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2" t="inlineStr">
        <is>
          <t>A</t>
        </is>
      </c>
      <c r="S982" t="inlineStr">
        <is>
          <t>【人工定级】A —— 自动规则已跳过；信息待人工补齐（见备注）</t>
        </is>
      </c>
      <c r="T982" t="inlineStr">
        <is>
          <t>A-327</t>
        </is>
      </c>
      <c r="U982" t="inlineStr"/>
      <c r="V982" t="inlineStr">
        <is>
          <t>A</t>
        </is>
      </c>
    </row>
    <row r="983">
      <c r="A983" t="inlineStr">
        <is>
          <t>S.C.E Telecomunicazioni S.r.l</t>
        </is>
      </c>
      <c r="B983" t="inlineStr">
        <is>
          <t>意大利</t>
        </is>
      </c>
      <c r="C983" t="inlineStr">
        <is>
          <t>Pomezia (Roma)</t>
        </is>
      </c>
      <c r="D983" t="inlineStr"/>
      <c r="E983" t="inlineStr">
        <is>
          <t>集成商/代理（Allied Telesis）</t>
        </is>
      </c>
      <c r="F983" t="inlineStr">
        <is>
          <t>Allied Telesis（Marvell Prestera 接入层）</t>
        </is>
      </c>
      <c r="G983" t="inlineStr">
        <is>
          <t>否</t>
        </is>
      </c>
      <c r="H983" t="inlineStr">
        <is>
          <t>Marvell Prestera 接入层切入</t>
        </is>
      </c>
      <c r="I983" t="inlineStr">
        <is>
          <t>LT-S8328XGP-4XS24GT-S</t>
        </is>
      </c>
      <c r="J983" t="inlineStr">
        <is>
          <t>见 alliedtelesis.com 伙伴页</t>
        </is>
      </c>
      <c r="K983" t="inlineStr">
        <is>
          <t>★★★</t>
        </is>
      </c>
      <c r="L983" t="inlineStr">
        <is>
          <t>未触达</t>
        </is>
      </c>
      <c r="M983" t="inlineStr">
        <is>
          <t>Allied Telesis 官方伙伴定位器（?country=italy）</t>
        </is>
      </c>
      <c r="N983" t="inlineStr"/>
      <c r="O983" t="inlineStr"/>
      <c r="P983" t="inlineStr"/>
      <c r="Q98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3" t="inlineStr">
        <is>
          <t>A</t>
        </is>
      </c>
      <c r="S983" t="inlineStr">
        <is>
          <t>【人工定级】A —— 自动规则已跳过；信息待人工补齐（见备注）</t>
        </is>
      </c>
      <c r="T983" t="inlineStr">
        <is>
          <t>A-328</t>
        </is>
      </c>
      <c r="U983" t="inlineStr"/>
      <c r="V983" t="inlineStr">
        <is>
          <t>A</t>
        </is>
      </c>
    </row>
    <row r="984">
      <c r="A984" t="inlineStr">
        <is>
          <t>Securcrea Snc</t>
        </is>
      </c>
      <c r="B984" t="inlineStr">
        <is>
          <t>意大利</t>
        </is>
      </c>
      <c r="C984" t="inlineStr">
        <is>
          <t>Follonica (GR)</t>
        </is>
      </c>
      <c r="D984" t="inlineStr"/>
      <c r="E984" t="inlineStr">
        <is>
          <t>集成商/代理（Allied Telesis）</t>
        </is>
      </c>
      <c r="F984" t="inlineStr">
        <is>
          <t>Allied Telesis（Marvell Prestera 接入层）</t>
        </is>
      </c>
      <c r="G984" t="inlineStr">
        <is>
          <t>否</t>
        </is>
      </c>
      <c r="H984" t="inlineStr">
        <is>
          <t>Marvell Prestera 接入层切入</t>
        </is>
      </c>
      <c r="I984" t="inlineStr">
        <is>
          <t>LT-S8328XGP-4XS24GT-S</t>
        </is>
      </c>
      <c r="J984" t="inlineStr">
        <is>
          <t>见 alliedtelesis.com 伙伴页</t>
        </is>
      </c>
      <c r="K984" t="inlineStr">
        <is>
          <t>★★★</t>
        </is>
      </c>
      <c r="L984" t="inlineStr">
        <is>
          <t>未触达</t>
        </is>
      </c>
      <c r="M984" t="inlineStr">
        <is>
          <t>Allied Telesis 官方伙伴定位器（?country=italy）</t>
        </is>
      </c>
      <c r="N984" t="inlineStr"/>
      <c r="O984" t="inlineStr"/>
      <c r="P984" t="inlineStr"/>
      <c r="Q98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4" t="inlineStr">
        <is>
          <t>A</t>
        </is>
      </c>
      <c r="S984" t="inlineStr">
        <is>
          <t>【人工定级】A —— 自动规则已跳过；信息待人工补齐（见备注）</t>
        </is>
      </c>
      <c r="T984" t="inlineStr">
        <is>
          <t>A-329</t>
        </is>
      </c>
      <c r="U984" t="inlineStr"/>
      <c r="V984" t="inlineStr">
        <is>
          <t>A</t>
        </is>
      </c>
    </row>
    <row r="985">
      <c r="A985" t="inlineStr">
        <is>
          <t>Sfera Informatica &amp; Strumentazione S.r.l.</t>
        </is>
      </c>
      <c r="B985" t="inlineStr">
        <is>
          <t>意大利</t>
        </is>
      </c>
      <c r="C985" t="inlineStr">
        <is>
          <t>Bari</t>
        </is>
      </c>
      <c r="D985" t="inlineStr"/>
      <c r="E985" t="inlineStr">
        <is>
          <t>集成商/代理（Allied Telesis）</t>
        </is>
      </c>
      <c r="F985" t="inlineStr">
        <is>
          <t>Allied Telesis（Marvell Prestera 接入层）</t>
        </is>
      </c>
      <c r="G985" t="inlineStr">
        <is>
          <t>否</t>
        </is>
      </c>
      <c r="H985" t="inlineStr">
        <is>
          <t>Marvell Prestera 接入层切入</t>
        </is>
      </c>
      <c r="I985" t="inlineStr">
        <is>
          <t>LT-S8328XGP-4XS24GT-S</t>
        </is>
      </c>
      <c r="J985" t="inlineStr">
        <is>
          <t>见 alliedtelesis.com 伙伴页</t>
        </is>
      </c>
      <c r="K985" t="inlineStr">
        <is>
          <t>★★★</t>
        </is>
      </c>
      <c r="L985" t="inlineStr">
        <is>
          <t>未触达</t>
        </is>
      </c>
      <c r="M985" t="inlineStr">
        <is>
          <t>Allied Telesis 官方伙伴定位器（?country=italy）</t>
        </is>
      </c>
      <c r="N985" t="inlineStr"/>
      <c r="O985" t="inlineStr"/>
      <c r="P985" t="inlineStr"/>
      <c r="Q98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5" t="inlineStr">
        <is>
          <t>A</t>
        </is>
      </c>
      <c r="S985" t="inlineStr">
        <is>
          <t>【人工定级】A —— 自动规则已跳过；信息待人工补齐（见备注）</t>
        </is>
      </c>
      <c r="T985" t="inlineStr">
        <is>
          <t>A-330</t>
        </is>
      </c>
      <c r="U985" t="inlineStr"/>
      <c r="V985" t="inlineStr">
        <is>
          <t>A</t>
        </is>
      </c>
    </row>
    <row r="986">
      <c r="A986" t="inlineStr">
        <is>
          <t>SI.EL.CO. S.R.L.</t>
        </is>
      </c>
      <c r="B986" t="inlineStr">
        <is>
          <t>意大利</t>
        </is>
      </c>
      <c r="C986" t="inlineStr">
        <is>
          <t>Buguggiate (VA)</t>
        </is>
      </c>
      <c r="D986" t="inlineStr"/>
      <c r="E986" t="inlineStr">
        <is>
          <t>集成商/代理（Allied Telesis）</t>
        </is>
      </c>
      <c r="F986" t="inlineStr">
        <is>
          <t>Allied Telesis（Marvell Prestera 接入层）</t>
        </is>
      </c>
      <c r="G986" t="inlineStr">
        <is>
          <t>否</t>
        </is>
      </c>
      <c r="H986" t="inlineStr">
        <is>
          <t>Marvell Prestera 接入层切入</t>
        </is>
      </c>
      <c r="I986" t="inlineStr">
        <is>
          <t>LT-S8328XGP-4XS24GT-S</t>
        </is>
      </c>
      <c r="J986" t="inlineStr">
        <is>
          <t>见 alliedtelesis.com 伙伴页</t>
        </is>
      </c>
      <c r="K986" t="inlineStr">
        <is>
          <t>★★★</t>
        </is>
      </c>
      <c r="L986" t="inlineStr">
        <is>
          <t>未触达</t>
        </is>
      </c>
      <c r="M986" t="inlineStr">
        <is>
          <t>Allied Telesis 官方伙伴定位器（?country=italy）</t>
        </is>
      </c>
      <c r="N986" t="inlineStr"/>
      <c r="O986" t="inlineStr"/>
      <c r="P986" t="inlineStr"/>
      <c r="Q98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6" t="inlineStr">
        <is>
          <t>A</t>
        </is>
      </c>
      <c r="S986" t="inlineStr">
        <is>
          <t>【人工定级】A —— 自动规则已跳过；信息待人工补齐（见备注）</t>
        </is>
      </c>
      <c r="T986" t="inlineStr">
        <is>
          <t>A-331</t>
        </is>
      </c>
      <c r="U986" t="inlineStr"/>
      <c r="V986" t="inlineStr">
        <is>
          <t>A</t>
        </is>
      </c>
    </row>
    <row r="987">
      <c r="A987" t="inlineStr">
        <is>
          <t>SIM NT srl</t>
        </is>
      </c>
      <c r="B987" t="inlineStr">
        <is>
          <t>意大利</t>
        </is>
      </c>
      <c r="C987" t="inlineStr">
        <is>
          <t>Bari</t>
        </is>
      </c>
      <c r="D987" t="inlineStr"/>
      <c r="E987" t="inlineStr">
        <is>
          <t>集成商/代理（Allied Telesis）</t>
        </is>
      </c>
      <c r="F987" t="inlineStr">
        <is>
          <t>Allied Telesis（Marvell Prestera 接入层）</t>
        </is>
      </c>
      <c r="G987" t="inlineStr">
        <is>
          <t>否</t>
        </is>
      </c>
      <c r="H987" t="inlineStr">
        <is>
          <t>Marvell Prestera 接入层切入</t>
        </is>
      </c>
      <c r="I987" t="inlineStr">
        <is>
          <t>LT-S8328XGP-4XS24GT-S</t>
        </is>
      </c>
      <c r="J987" t="inlineStr">
        <is>
          <t>见 alliedtelesis.com 伙伴页</t>
        </is>
      </c>
      <c r="K987" t="inlineStr">
        <is>
          <t>★★★</t>
        </is>
      </c>
      <c r="L987" t="inlineStr">
        <is>
          <t>未触达</t>
        </is>
      </c>
      <c r="M987" t="inlineStr">
        <is>
          <t>Allied Telesis 官方伙伴定位器（?country=italy）</t>
        </is>
      </c>
      <c r="N987" t="inlineStr"/>
      <c r="O987" t="inlineStr"/>
      <c r="P987" t="inlineStr"/>
      <c r="Q98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7" t="inlineStr">
        <is>
          <t>A</t>
        </is>
      </c>
      <c r="S987" t="inlineStr">
        <is>
          <t>【人工定级】A —— 自动规则已跳过；信息待人工补齐（见备注）</t>
        </is>
      </c>
      <c r="T987" t="inlineStr">
        <is>
          <t>A-332</t>
        </is>
      </c>
      <c r="U987" t="inlineStr"/>
      <c r="V987" t="inlineStr">
        <is>
          <t>A</t>
        </is>
      </c>
    </row>
    <row r="988">
      <c r="A988" t="inlineStr">
        <is>
          <t>SOTECH srl</t>
        </is>
      </c>
      <c r="B988" t="inlineStr">
        <is>
          <t>意大利</t>
        </is>
      </c>
      <c r="C988" t="inlineStr">
        <is>
          <t>Calvisano (BS)</t>
        </is>
      </c>
      <c r="D988" t="inlineStr"/>
      <c r="E988" t="inlineStr">
        <is>
          <t>集成商/代理（Allied Telesis）</t>
        </is>
      </c>
      <c r="F988" t="inlineStr">
        <is>
          <t>Allied Telesis（Marvell Prestera 接入层）</t>
        </is>
      </c>
      <c r="G988" t="inlineStr">
        <is>
          <t>否</t>
        </is>
      </c>
      <c r="H988" t="inlineStr">
        <is>
          <t>Marvell Prestera 接入层切入</t>
        </is>
      </c>
      <c r="I988" t="inlineStr">
        <is>
          <t>LT-S8328XGP-4XS24GT-S</t>
        </is>
      </c>
      <c r="J988" t="inlineStr">
        <is>
          <t>见 alliedtelesis.com 伙伴页</t>
        </is>
      </c>
      <c r="K988" t="inlineStr">
        <is>
          <t>★★★</t>
        </is>
      </c>
      <c r="L988" t="inlineStr">
        <is>
          <t>未触达</t>
        </is>
      </c>
      <c r="M988" t="inlineStr">
        <is>
          <t>Allied Telesis 官方伙伴定位器（?country=italy）</t>
        </is>
      </c>
      <c r="N988" t="inlineStr"/>
      <c r="O988" t="inlineStr"/>
      <c r="P988" t="inlineStr"/>
      <c r="Q98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8" t="inlineStr">
        <is>
          <t>A</t>
        </is>
      </c>
      <c r="S988" t="inlineStr">
        <is>
          <t>【人工定级】A —— 自动规则已跳过；信息待人工补齐（见备注）</t>
        </is>
      </c>
      <c r="T988" t="inlineStr">
        <is>
          <t>A-333</t>
        </is>
      </c>
      <c r="U988" t="inlineStr"/>
      <c r="V988" t="inlineStr">
        <is>
          <t>A</t>
        </is>
      </c>
    </row>
    <row r="989">
      <c r="A989" t="inlineStr">
        <is>
          <t>SSC – Software Servizi Consulting Srl</t>
        </is>
      </c>
      <c r="B989" t="inlineStr">
        <is>
          <t>意大利</t>
        </is>
      </c>
      <c r="C989" t="inlineStr">
        <is>
          <t>Milano</t>
        </is>
      </c>
      <c r="D989" t="inlineStr"/>
      <c r="E989" t="inlineStr">
        <is>
          <t>集成商/代理（Allied Telesis）</t>
        </is>
      </c>
      <c r="F989" t="inlineStr">
        <is>
          <t>Allied Telesis（Marvell Prestera 接入层）</t>
        </is>
      </c>
      <c r="G989" t="inlineStr">
        <is>
          <t>否</t>
        </is>
      </c>
      <c r="H989" t="inlineStr">
        <is>
          <t>Marvell Prestera 接入层切入</t>
        </is>
      </c>
      <c r="I989" t="inlineStr">
        <is>
          <t>LT-S8328XGP-4XS24GT-S</t>
        </is>
      </c>
      <c r="J989" t="inlineStr">
        <is>
          <t>见 alliedtelesis.com 伙伴页</t>
        </is>
      </c>
      <c r="K989" t="inlineStr">
        <is>
          <t>★★★</t>
        </is>
      </c>
      <c r="L989" t="inlineStr">
        <is>
          <t>未触达</t>
        </is>
      </c>
      <c r="M989" t="inlineStr">
        <is>
          <t>Allied Telesis 官方伙伴定位器（?country=italy）</t>
        </is>
      </c>
      <c r="N989" t="inlineStr"/>
      <c r="O989" t="inlineStr"/>
      <c r="P989" t="inlineStr"/>
      <c r="Q98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89" t="inlineStr">
        <is>
          <t>A</t>
        </is>
      </c>
      <c r="S989" t="inlineStr">
        <is>
          <t>【人工定级】A —— 自动规则已跳过；信息待人工补齐（见备注）</t>
        </is>
      </c>
      <c r="T989" t="inlineStr">
        <is>
          <t>A-334</t>
        </is>
      </c>
      <c r="U989" t="inlineStr"/>
      <c r="V989" t="inlineStr">
        <is>
          <t>A</t>
        </is>
      </c>
    </row>
    <row r="990">
      <c r="A990" t="inlineStr">
        <is>
          <t>STL Connext – Società Telefonica Lombarda SRL</t>
        </is>
      </c>
      <c r="B990" t="inlineStr">
        <is>
          <t>意大利</t>
        </is>
      </c>
      <c r="C990" t="inlineStr">
        <is>
          <t>Brescia</t>
        </is>
      </c>
      <c r="D990" t="inlineStr"/>
      <c r="E990" t="inlineStr">
        <is>
          <t>集成商/代理（Allied Telesis）</t>
        </is>
      </c>
      <c r="F990" t="inlineStr">
        <is>
          <t>Allied Telesis（Marvell Prestera 接入层）</t>
        </is>
      </c>
      <c r="G990" t="inlineStr">
        <is>
          <t>否</t>
        </is>
      </c>
      <c r="H990" t="inlineStr">
        <is>
          <t>Marvell Prestera 接入层切入</t>
        </is>
      </c>
      <c r="I990" t="inlineStr">
        <is>
          <t>LT-S8328XGP-4XS24GT-S</t>
        </is>
      </c>
      <c r="J990" t="inlineStr">
        <is>
          <t>见 alliedtelesis.com 伙伴页</t>
        </is>
      </c>
      <c r="K990" t="inlineStr">
        <is>
          <t>★★★</t>
        </is>
      </c>
      <c r="L990" t="inlineStr">
        <is>
          <t>未触达</t>
        </is>
      </c>
      <c r="M990" t="inlineStr">
        <is>
          <t>Allied Telesis 官方伙伴定位器（?country=italy）</t>
        </is>
      </c>
      <c r="N990" t="inlineStr"/>
      <c r="O990" t="inlineStr"/>
      <c r="P990" t="inlineStr"/>
      <c r="Q99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0" t="inlineStr">
        <is>
          <t>A</t>
        </is>
      </c>
      <c r="S990" t="inlineStr">
        <is>
          <t>【人工定级】A —— 自动规则已跳过；信息待人工补齐（见备注）</t>
        </is>
      </c>
      <c r="T990" t="inlineStr">
        <is>
          <t>A-335</t>
        </is>
      </c>
      <c r="U990" t="inlineStr"/>
      <c r="V990" t="inlineStr">
        <is>
          <t>A</t>
        </is>
      </c>
    </row>
    <row r="991">
      <c r="A991" t="inlineStr">
        <is>
          <t>STORELINK S.R.L.</t>
        </is>
      </c>
      <c r="B991" t="inlineStr">
        <is>
          <t>意大利</t>
        </is>
      </c>
      <c r="C991" t="inlineStr">
        <is>
          <t>Brescia</t>
        </is>
      </c>
      <c r="D991" t="inlineStr"/>
      <c r="E991" t="inlineStr">
        <is>
          <t>集成商/代理（Allied Telesis）</t>
        </is>
      </c>
      <c r="F991" t="inlineStr">
        <is>
          <t>Allied Telesis（Marvell Prestera 接入层）</t>
        </is>
      </c>
      <c r="G991" t="inlineStr">
        <is>
          <t>否</t>
        </is>
      </c>
      <c r="H991" t="inlineStr">
        <is>
          <t>Marvell Prestera 接入层切入</t>
        </is>
      </c>
      <c r="I991" t="inlineStr">
        <is>
          <t>LT-S8328XGP-4XS24GT-S</t>
        </is>
      </c>
      <c r="J991" t="inlineStr">
        <is>
          <t>见 alliedtelesis.com 伙伴页</t>
        </is>
      </c>
      <c r="K991" t="inlineStr">
        <is>
          <t>★★★</t>
        </is>
      </c>
      <c r="L991" t="inlineStr">
        <is>
          <t>未触达</t>
        </is>
      </c>
      <c r="M991" t="inlineStr">
        <is>
          <t>Allied Telesis 官方伙伴定位器（?country=italy）</t>
        </is>
      </c>
      <c r="N991" t="inlineStr"/>
      <c r="O991" t="inlineStr"/>
      <c r="P991" t="inlineStr"/>
      <c r="Q99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1" t="inlineStr">
        <is>
          <t>A</t>
        </is>
      </c>
      <c r="S991" t="inlineStr">
        <is>
          <t>【人工定级】A —— 自动规则已跳过；信息待人工补齐（见备注）</t>
        </is>
      </c>
      <c r="T991" t="inlineStr">
        <is>
          <t>A-336</t>
        </is>
      </c>
      <c r="U991" t="inlineStr"/>
      <c r="V991" t="inlineStr">
        <is>
          <t>A</t>
        </is>
      </c>
    </row>
    <row r="992">
      <c r="A992" t="inlineStr">
        <is>
          <t>T.net S.p.A</t>
        </is>
      </c>
      <c r="B992" t="inlineStr">
        <is>
          <t>意大利</t>
        </is>
      </c>
      <c r="C992" t="inlineStr">
        <is>
          <t>Milano</t>
        </is>
      </c>
      <c r="D992" t="inlineStr"/>
      <c r="E992" t="inlineStr">
        <is>
          <t>集成商/代理（Allied Telesis）</t>
        </is>
      </c>
      <c r="F992" t="inlineStr">
        <is>
          <t>Allied Telesis（Marvell Prestera 接入层）</t>
        </is>
      </c>
      <c r="G992" t="inlineStr">
        <is>
          <t>否</t>
        </is>
      </c>
      <c r="H992" t="inlineStr">
        <is>
          <t>Marvell Prestera 接入层切入</t>
        </is>
      </c>
      <c r="I992" t="inlineStr">
        <is>
          <t>LT-S8328XGP-4XS24GT-S</t>
        </is>
      </c>
      <c r="J992" t="inlineStr">
        <is>
          <t>见 alliedtelesis.com 伙伴页</t>
        </is>
      </c>
      <c r="K992" t="inlineStr">
        <is>
          <t>★★★</t>
        </is>
      </c>
      <c r="L992" t="inlineStr">
        <is>
          <t>未触达</t>
        </is>
      </c>
      <c r="M992" t="inlineStr">
        <is>
          <t>Allied Telesis 官方伙伴定位器（?country=italy）</t>
        </is>
      </c>
      <c r="N992" t="inlineStr"/>
      <c r="O992" t="inlineStr"/>
      <c r="P992" t="inlineStr"/>
      <c r="Q99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2" t="inlineStr">
        <is>
          <t>A</t>
        </is>
      </c>
      <c r="S992" t="inlineStr">
        <is>
          <t>【人工定级】A —— 自动规则已跳过；信息待人工补齐（见备注）</t>
        </is>
      </c>
      <c r="T992" t="inlineStr">
        <is>
          <t>A-337</t>
        </is>
      </c>
      <c r="U992" t="inlineStr"/>
      <c r="V992" t="inlineStr">
        <is>
          <t>A</t>
        </is>
      </c>
    </row>
    <row r="993">
      <c r="A993" t="inlineStr">
        <is>
          <t>Techno Center S.p.A.</t>
        </is>
      </c>
      <c r="B993" t="inlineStr">
        <is>
          <t>意大利</t>
        </is>
      </c>
      <c r="C993" t="inlineStr">
        <is>
          <t>Roma</t>
        </is>
      </c>
      <c r="D993" t="inlineStr"/>
      <c r="E993" t="inlineStr">
        <is>
          <t>集成商/代理（Allied Telesis）</t>
        </is>
      </c>
      <c r="F993" t="inlineStr">
        <is>
          <t>Allied Telesis（Marvell Prestera 接入层）</t>
        </is>
      </c>
      <c r="G993" t="inlineStr">
        <is>
          <t>否</t>
        </is>
      </c>
      <c r="H993" t="inlineStr">
        <is>
          <t>Marvell Prestera 接入层切入</t>
        </is>
      </c>
      <c r="I993" t="inlineStr">
        <is>
          <t>LT-S8328XGP-4XS24GT-S</t>
        </is>
      </c>
      <c r="J993" t="inlineStr">
        <is>
          <t>见 alliedtelesis.com 伙伴页</t>
        </is>
      </c>
      <c r="K993" t="inlineStr">
        <is>
          <t>★★★</t>
        </is>
      </c>
      <c r="L993" t="inlineStr">
        <is>
          <t>未触达</t>
        </is>
      </c>
      <c r="M993" t="inlineStr">
        <is>
          <t>Allied Telesis 官方伙伴定位器（?country=italy）</t>
        </is>
      </c>
      <c r="N993" t="inlineStr"/>
      <c r="O993" t="inlineStr"/>
      <c r="P993" t="inlineStr"/>
      <c r="Q99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3" t="inlineStr">
        <is>
          <t>A</t>
        </is>
      </c>
      <c r="S993" t="inlineStr">
        <is>
          <t>【人工定级】A —— 自动规则已跳过；信息待人工补齐（见备注）</t>
        </is>
      </c>
      <c r="T993" t="inlineStr">
        <is>
          <t>A-338</t>
        </is>
      </c>
      <c r="U993" t="inlineStr"/>
      <c r="V993" t="inlineStr">
        <is>
          <t>A</t>
        </is>
      </c>
    </row>
    <row r="994">
      <c r="A994" t="inlineStr">
        <is>
          <t>World Technology di Luigi Boi</t>
        </is>
      </c>
      <c r="B994" t="inlineStr">
        <is>
          <t>意大利</t>
        </is>
      </c>
      <c r="C994" t="inlineStr">
        <is>
          <t>Cagliari</t>
        </is>
      </c>
      <c r="D994" t="inlineStr"/>
      <c r="E994" t="inlineStr">
        <is>
          <t>集成商/代理（Allied Telesis）</t>
        </is>
      </c>
      <c r="F994" t="inlineStr">
        <is>
          <t>Allied Telesis（Marvell Prestera 接入层）</t>
        </is>
      </c>
      <c r="G994" t="inlineStr">
        <is>
          <t>否</t>
        </is>
      </c>
      <c r="H994" t="inlineStr">
        <is>
          <t>Marvell Prestera 接入层切入</t>
        </is>
      </c>
      <c r="I994" t="inlineStr">
        <is>
          <t>LT-S8328XGP-4XS24GT-S</t>
        </is>
      </c>
      <c r="J994" t="inlineStr">
        <is>
          <t>见 alliedtelesis.com 伙伴页</t>
        </is>
      </c>
      <c r="K994" t="inlineStr">
        <is>
          <t>★★★</t>
        </is>
      </c>
      <c r="L994" t="inlineStr">
        <is>
          <t>未触达</t>
        </is>
      </c>
      <c r="M994" t="inlineStr">
        <is>
          <t>Allied Telesis 官方伙伴定位器（?country=italy）</t>
        </is>
      </c>
      <c r="N994" t="inlineStr"/>
      <c r="O994" t="inlineStr"/>
      <c r="P994" t="inlineStr"/>
      <c r="Q99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4" t="inlineStr">
        <is>
          <t>A</t>
        </is>
      </c>
      <c r="S994" t="inlineStr">
        <is>
          <t>【人工定级】A —— 自动规则已跳过；信息待人工补齐（见备注）</t>
        </is>
      </c>
      <c r="T994" t="inlineStr">
        <is>
          <t>A-339</t>
        </is>
      </c>
      <c r="U994" t="inlineStr"/>
      <c r="V994" t="inlineStr">
        <is>
          <t>A</t>
        </is>
      </c>
    </row>
    <row r="995">
      <c r="A995" t="inlineStr">
        <is>
          <t>Lineas y Cables S.A.</t>
        </is>
      </c>
      <c r="B995" t="inlineStr">
        <is>
          <t>西班牙</t>
        </is>
      </c>
      <c r="C995" t="inlineStr">
        <is>
          <t>Madrid</t>
        </is>
      </c>
      <c r="D995" t="inlineStr"/>
      <c r="E995" t="inlineStr">
        <is>
          <t>集成商/代理（Allied Telesis）</t>
        </is>
      </c>
      <c r="F995" t="inlineStr">
        <is>
          <t>Allied Telesis（Marvell Prestera 接入层）</t>
        </is>
      </c>
      <c r="G995" t="inlineStr">
        <is>
          <t>否</t>
        </is>
      </c>
      <c r="H995" t="inlineStr">
        <is>
          <t>Marvell Prestera 接入层切入</t>
        </is>
      </c>
      <c r="I995" t="inlineStr">
        <is>
          <t>LT-S8328XGP-4XS24GT-S</t>
        </is>
      </c>
      <c r="J995" t="inlineStr">
        <is>
          <t>见 alliedtelesis.com 伙伴页</t>
        </is>
      </c>
      <c r="K995" t="inlineStr">
        <is>
          <t>★★★</t>
        </is>
      </c>
      <c r="L995" t="inlineStr">
        <is>
          <t>未触达</t>
        </is>
      </c>
      <c r="M995" t="inlineStr">
        <is>
          <t>Allied Telesis 官方伙伴定位器（?country=spain）</t>
        </is>
      </c>
      <c r="N995" t="inlineStr"/>
      <c r="O995" t="inlineStr"/>
      <c r="P995" t="inlineStr"/>
      <c r="Q99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 Elite, Resell。</t>
        </is>
      </c>
      <c r="R995" t="inlineStr">
        <is>
          <t>A</t>
        </is>
      </c>
      <c r="S995" t="inlineStr">
        <is>
          <t>【人工定级】A —— 自动规则已跳过；信息待人工补齐（见备注）</t>
        </is>
      </c>
      <c r="T995" t="inlineStr">
        <is>
          <t>A-340</t>
        </is>
      </c>
      <c r="U995" t="inlineStr"/>
      <c r="V995" t="inlineStr">
        <is>
          <t>A</t>
        </is>
      </c>
    </row>
    <row r="996">
      <c r="A996" t="inlineStr">
        <is>
          <t>Avelution</t>
        </is>
      </c>
      <c r="B996" t="inlineStr">
        <is>
          <t>荷兰</t>
        </is>
      </c>
      <c r="C996" t="inlineStr">
        <is>
          <t>Veghel</t>
        </is>
      </c>
      <c r="D996" t="inlineStr"/>
      <c r="E996" t="inlineStr">
        <is>
          <t>集成商/代理（Allied Telesis）</t>
        </is>
      </c>
      <c r="F996" t="inlineStr">
        <is>
          <t>Allied Telesis（Marvell Prestera 接入层）</t>
        </is>
      </c>
      <c r="G996" t="inlineStr">
        <is>
          <t>否</t>
        </is>
      </c>
      <c r="H996" t="inlineStr">
        <is>
          <t>Marvell Prestera 接入层切入</t>
        </is>
      </c>
      <c r="I996" t="inlineStr">
        <is>
          <t>LT-S8328XGP-4XS24GT-S</t>
        </is>
      </c>
      <c r="J996" t="inlineStr">
        <is>
          <t>见 alliedtelesis.com 伙伴页</t>
        </is>
      </c>
      <c r="K996" t="inlineStr">
        <is>
          <t>★★★</t>
        </is>
      </c>
      <c r="L996" t="inlineStr">
        <is>
          <t>未触达</t>
        </is>
      </c>
      <c r="M996" t="inlineStr">
        <is>
          <t>Allied Telesis 官方伙伴定位器（?country=netherlands）</t>
        </is>
      </c>
      <c r="N996" t="inlineStr"/>
      <c r="O996" t="inlineStr"/>
      <c r="P996" t="inlineStr"/>
      <c r="Q99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6" t="inlineStr">
        <is>
          <t>A</t>
        </is>
      </c>
      <c r="S996" t="inlineStr">
        <is>
          <t>【人工定级】A —— 自动规则已跳过；信息待人工补齐（见备注）</t>
        </is>
      </c>
      <c r="T996" t="inlineStr">
        <is>
          <t>A-341</t>
        </is>
      </c>
      <c r="U996" t="inlineStr"/>
      <c r="V996" t="inlineStr">
        <is>
          <t>A</t>
        </is>
      </c>
    </row>
    <row r="997">
      <c r="A997" t="inlineStr">
        <is>
          <t>Kappa Data Nederland</t>
        </is>
      </c>
      <c r="B997" t="inlineStr">
        <is>
          <t>荷兰</t>
        </is>
      </c>
      <c r="C997" t="inlineStr">
        <is>
          <t>Utrecht</t>
        </is>
      </c>
      <c r="D997" t="inlineStr"/>
      <c r="E997" t="inlineStr">
        <is>
          <t>集成商/代理（Allied Telesis）</t>
        </is>
      </c>
      <c r="F997" t="inlineStr">
        <is>
          <t>Allied Telesis（Marvell Prestera 接入层）</t>
        </is>
      </c>
      <c r="G997" t="inlineStr">
        <is>
          <t>否</t>
        </is>
      </c>
      <c r="H997" t="inlineStr">
        <is>
          <t>Marvell Prestera 接入层切入</t>
        </is>
      </c>
      <c r="I997" t="inlineStr">
        <is>
          <t>LT-S8328XGP-4XS24GT-S</t>
        </is>
      </c>
      <c r="J997" t="inlineStr">
        <is>
          <t>见 alliedtelesis.com 伙伴页</t>
        </is>
      </c>
      <c r="K997" t="inlineStr">
        <is>
          <t>★★★</t>
        </is>
      </c>
      <c r="L997" t="inlineStr">
        <is>
          <t>未触达</t>
        </is>
      </c>
      <c r="M997" t="inlineStr">
        <is>
          <t>Allied Telesis 官方伙伴定位器（?country=netherlands）</t>
        </is>
      </c>
      <c r="N997" t="inlineStr"/>
      <c r="O997" t="inlineStr"/>
      <c r="P997" t="inlineStr"/>
      <c r="Q99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7" t="inlineStr">
        <is>
          <t>A</t>
        </is>
      </c>
      <c r="S997" t="inlineStr">
        <is>
          <t>【人工定级】A —— 自动规则已跳过；信息待人工补齐（见备注）</t>
        </is>
      </c>
      <c r="T997" t="inlineStr">
        <is>
          <t>A-342</t>
        </is>
      </c>
      <c r="U997" t="inlineStr"/>
      <c r="V997" t="inlineStr">
        <is>
          <t>A</t>
        </is>
      </c>
    </row>
    <row r="998">
      <c r="A998" t="inlineStr">
        <is>
          <t>Pijl Solutions</t>
        </is>
      </c>
      <c r="B998" t="inlineStr">
        <is>
          <t>荷兰</t>
        </is>
      </c>
      <c r="C998" t="inlineStr">
        <is>
          <t>Honselersdijk</t>
        </is>
      </c>
      <c r="D998" t="inlineStr"/>
      <c r="E998" t="inlineStr">
        <is>
          <t>集成商/代理（Allied Telesis）</t>
        </is>
      </c>
      <c r="F998" t="inlineStr">
        <is>
          <t>Allied Telesis（Marvell Prestera 接入层）</t>
        </is>
      </c>
      <c r="G998" t="inlineStr">
        <is>
          <t>否</t>
        </is>
      </c>
      <c r="H998" t="inlineStr">
        <is>
          <t>Marvell Prestera 接入层切入</t>
        </is>
      </c>
      <c r="I998" t="inlineStr">
        <is>
          <t>LT-S8328XGP-4XS24GT-S</t>
        </is>
      </c>
      <c r="J998" t="inlineStr">
        <is>
          <t>见 alliedtelesis.com 伙伴页</t>
        </is>
      </c>
      <c r="K998" t="inlineStr">
        <is>
          <t>★★★</t>
        </is>
      </c>
      <c r="L998" t="inlineStr">
        <is>
          <t>未触达</t>
        </is>
      </c>
      <c r="M998" t="inlineStr">
        <is>
          <t>Allied Telesis 官方伙伴定位器（?country=netherlands）</t>
        </is>
      </c>
      <c r="N998" t="inlineStr"/>
      <c r="O998" t="inlineStr"/>
      <c r="P998" t="inlineStr"/>
      <c r="Q99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998" t="inlineStr">
        <is>
          <t>A</t>
        </is>
      </c>
      <c r="S998" t="inlineStr">
        <is>
          <t>【人工定级】A —— 自动规则已跳过；信息待人工补齐（见备注）</t>
        </is>
      </c>
      <c r="T998" t="inlineStr">
        <is>
          <t>A-343</t>
        </is>
      </c>
      <c r="U998" t="inlineStr"/>
      <c r="V998" t="inlineStr">
        <is>
          <t>A</t>
        </is>
      </c>
    </row>
    <row r="999">
      <c r="A999" t="inlineStr">
        <is>
          <t>Kappa Data Belgium</t>
        </is>
      </c>
      <c r="B999" t="inlineStr">
        <is>
          <t>比利时</t>
        </is>
      </c>
      <c r="C999" t="inlineStr">
        <is>
          <t>De Pinte</t>
        </is>
      </c>
      <c r="D999" t="inlineStr"/>
      <c r="E999" t="inlineStr">
        <is>
          <t>集成商/代理（Allied Telesis）</t>
        </is>
      </c>
      <c r="F999" t="inlineStr">
        <is>
          <t>Allied Telesis（Marvell Prestera 接入层）</t>
        </is>
      </c>
      <c r="G999" t="inlineStr">
        <is>
          <t>否</t>
        </is>
      </c>
      <c r="H999" t="inlineStr">
        <is>
          <t>Marvell Prestera 接入层切入</t>
        </is>
      </c>
      <c r="I999" t="inlineStr">
        <is>
          <t>LT-S8328XGP-4XS24GT-S</t>
        </is>
      </c>
      <c r="J999" t="inlineStr">
        <is>
          <t>见 alliedtelesis.com 伙伴页</t>
        </is>
      </c>
      <c r="K999" t="inlineStr">
        <is>
          <t>★★★</t>
        </is>
      </c>
      <c r="L999" t="inlineStr">
        <is>
          <t>未触达</t>
        </is>
      </c>
      <c r="M999" t="inlineStr">
        <is>
          <t>Allied Telesis 官方伙伴定位器（?country=belgium）</t>
        </is>
      </c>
      <c r="N999" t="inlineStr"/>
      <c r="O999" t="inlineStr"/>
      <c r="P999" t="inlineStr"/>
      <c r="Q99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999" t="inlineStr">
        <is>
          <t>A</t>
        </is>
      </c>
      <c r="S999" t="inlineStr">
        <is>
          <t>【人工定级】A —— 自动规则已跳过；信息待人工补齐（见备注）</t>
        </is>
      </c>
      <c r="T999" t="inlineStr">
        <is>
          <t>A-344</t>
        </is>
      </c>
      <c r="U999" t="inlineStr"/>
      <c r="V999" t="inlineStr">
        <is>
          <t>A</t>
        </is>
      </c>
    </row>
    <row r="1000">
      <c r="A1000" t="inlineStr">
        <is>
          <t>IT-TRUST Network Solution</t>
        </is>
      </c>
      <c r="B1000" t="inlineStr">
        <is>
          <t>奥地利</t>
        </is>
      </c>
      <c r="C1000" t="inlineStr">
        <is>
          <t>Weinsteig / Großrußbach</t>
        </is>
      </c>
      <c r="D1000" t="inlineStr"/>
      <c r="E1000" t="inlineStr">
        <is>
          <t>集成商/代理（Allied Telesis）</t>
        </is>
      </c>
      <c r="F1000" t="inlineStr">
        <is>
          <t>Allied Telesis（Marvell Prestera 接入层）</t>
        </is>
      </c>
      <c r="G1000" t="inlineStr">
        <is>
          <t>否</t>
        </is>
      </c>
      <c r="H1000" t="inlineStr">
        <is>
          <t>Marvell Prestera 接入层切入</t>
        </is>
      </c>
      <c r="I1000" t="inlineStr">
        <is>
          <t>LT-S8328XGP-4XS24GT-S</t>
        </is>
      </c>
      <c r="J1000" t="inlineStr">
        <is>
          <t>见 alliedtelesis.com 伙伴页</t>
        </is>
      </c>
      <c r="K1000" t="inlineStr">
        <is>
          <t>★★★</t>
        </is>
      </c>
      <c r="L1000" t="inlineStr">
        <is>
          <t>未触达</t>
        </is>
      </c>
      <c r="M1000" t="inlineStr">
        <is>
          <t>Allied Telesis 官方伙伴定位器（?country=austria）</t>
        </is>
      </c>
      <c r="N1000" t="inlineStr"/>
      <c r="O1000" t="inlineStr"/>
      <c r="P1000" t="inlineStr"/>
      <c r="Q1000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0" t="inlineStr">
        <is>
          <t>A</t>
        </is>
      </c>
      <c r="S1000" t="inlineStr">
        <is>
          <t>【人工定级】A —— 自动规则已跳过；信息待人工补齐（见备注）</t>
        </is>
      </c>
      <c r="T1000" t="inlineStr">
        <is>
          <t>A-345</t>
        </is>
      </c>
      <c r="U1000" t="inlineStr"/>
      <c r="V1000" t="inlineStr">
        <is>
          <t>A</t>
        </is>
      </c>
    </row>
    <row r="1001">
      <c r="A1001" t="inlineStr">
        <is>
          <t>quattroSEC Gmbh</t>
        </is>
      </c>
      <c r="B1001" t="inlineStr">
        <is>
          <t>奥地利</t>
        </is>
      </c>
      <c r="C1001" t="inlineStr">
        <is>
          <t>Zipf</t>
        </is>
      </c>
      <c r="D1001" t="inlineStr"/>
      <c r="E1001" t="inlineStr">
        <is>
          <t>集成商/代理（Allied Telesis）</t>
        </is>
      </c>
      <c r="F1001" t="inlineStr">
        <is>
          <t>Allied Telesis（Marvell Prestera 接入层）</t>
        </is>
      </c>
      <c r="G1001" t="inlineStr">
        <is>
          <t>否</t>
        </is>
      </c>
      <c r="H1001" t="inlineStr">
        <is>
          <t>Marvell Prestera 接入层切入</t>
        </is>
      </c>
      <c r="I1001" t="inlineStr">
        <is>
          <t>LT-S8328XGP-4XS24GT-S</t>
        </is>
      </c>
      <c r="J1001" t="inlineStr">
        <is>
          <t>见 alliedtelesis.com 伙伴页</t>
        </is>
      </c>
      <c r="K1001" t="inlineStr">
        <is>
          <t>★★★</t>
        </is>
      </c>
      <c r="L1001" t="inlineStr">
        <is>
          <t>未触达</t>
        </is>
      </c>
      <c r="M1001" t="inlineStr">
        <is>
          <t>Allied Telesis 官方伙伴定位器（?country=austria）</t>
        </is>
      </c>
      <c r="N1001" t="inlineStr"/>
      <c r="O1001" t="inlineStr"/>
      <c r="P1001" t="inlineStr"/>
      <c r="Q100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1" t="inlineStr">
        <is>
          <t>A</t>
        </is>
      </c>
      <c r="S1001" t="inlineStr">
        <is>
          <t>【人工定级】A —— 自动规则已跳过；信息待人工补齐（见备注）</t>
        </is>
      </c>
      <c r="T1001" t="inlineStr">
        <is>
          <t>A-346</t>
        </is>
      </c>
      <c r="U1001" t="inlineStr"/>
      <c r="V1001" t="inlineStr">
        <is>
          <t>A</t>
        </is>
      </c>
    </row>
    <row r="1002">
      <c r="A1002" t="inlineStr">
        <is>
          <t>S.A.B.E.L. Handels GmbH</t>
        </is>
      </c>
      <c r="B1002" t="inlineStr">
        <is>
          <t>奥地利</t>
        </is>
      </c>
      <c r="C1002" t="inlineStr">
        <is>
          <t>Vienna</t>
        </is>
      </c>
      <c r="D1002" t="inlineStr"/>
      <c r="E1002" t="inlineStr">
        <is>
          <t>集成商/代理（Allied Telesis）</t>
        </is>
      </c>
      <c r="F1002" t="inlineStr">
        <is>
          <t>Allied Telesis（Marvell Prestera 接入层）</t>
        </is>
      </c>
      <c r="G1002" t="inlineStr">
        <is>
          <t>否</t>
        </is>
      </c>
      <c r="H1002" t="inlineStr">
        <is>
          <t>Marvell Prestera 接入层切入</t>
        </is>
      </c>
      <c r="I1002" t="inlineStr">
        <is>
          <t>LT-S8328XGP-4XS24GT-S</t>
        </is>
      </c>
      <c r="J1002" t="inlineStr">
        <is>
          <t>见 alliedtelesis.com 伙伴页</t>
        </is>
      </c>
      <c r="K1002" t="inlineStr">
        <is>
          <t>★★★</t>
        </is>
      </c>
      <c r="L1002" t="inlineStr">
        <is>
          <t>未触达</t>
        </is>
      </c>
      <c r="M1002" t="inlineStr">
        <is>
          <t>Allied Telesis 官方伙伴定位器（?country=austria）</t>
        </is>
      </c>
      <c r="N1002" t="inlineStr"/>
      <c r="O1002" t="inlineStr"/>
      <c r="P1002" t="inlineStr"/>
      <c r="Q100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2" t="inlineStr">
        <is>
          <t>A</t>
        </is>
      </c>
      <c r="S1002" t="inlineStr">
        <is>
          <t>【人工定级】A —— 自动规则已跳过；信息待人工补齐（见备注）</t>
        </is>
      </c>
      <c r="T1002" t="inlineStr">
        <is>
          <t>A-347</t>
        </is>
      </c>
      <c r="U1002" t="inlineStr"/>
      <c r="V1002" t="inlineStr">
        <is>
          <t>A</t>
        </is>
      </c>
    </row>
    <row r="1003">
      <c r="A1003" t="inlineStr">
        <is>
          <t>Salzgeber GmbH</t>
        </is>
      </c>
      <c r="B1003" t="inlineStr">
        <is>
          <t>奥地利</t>
        </is>
      </c>
      <c r="C1003" t="inlineStr">
        <is>
          <t>Tulln an der Donau</t>
        </is>
      </c>
      <c r="D1003" t="inlineStr"/>
      <c r="E1003" t="inlineStr">
        <is>
          <t>集成商/代理（Allied Telesis）</t>
        </is>
      </c>
      <c r="F1003" t="inlineStr">
        <is>
          <t>Allied Telesis（Marvell Prestera 接入层）</t>
        </is>
      </c>
      <c r="G1003" t="inlineStr">
        <is>
          <t>否</t>
        </is>
      </c>
      <c r="H1003" t="inlineStr">
        <is>
          <t>Marvell Prestera 接入层切入</t>
        </is>
      </c>
      <c r="I1003" t="inlineStr">
        <is>
          <t>LT-S8328XGP-4XS24GT-S</t>
        </is>
      </c>
      <c r="J1003" t="inlineStr">
        <is>
          <t>见 alliedtelesis.com 伙伴页</t>
        </is>
      </c>
      <c r="K1003" t="inlineStr">
        <is>
          <t>★★★</t>
        </is>
      </c>
      <c r="L1003" t="inlineStr">
        <is>
          <t>未触达</t>
        </is>
      </c>
      <c r="M1003" t="inlineStr">
        <is>
          <t>Allied Telesis 官方伙伴定位器（?country=austria）</t>
        </is>
      </c>
      <c r="N1003" t="inlineStr"/>
      <c r="O1003" t="inlineStr"/>
      <c r="P1003" t="inlineStr"/>
      <c r="Q100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3" t="inlineStr">
        <is>
          <t>A</t>
        </is>
      </c>
      <c r="S1003" t="inlineStr">
        <is>
          <t>【人工定级】A —— 自动规则已跳过；信息待人工补齐（见备注）</t>
        </is>
      </c>
      <c r="T1003" t="inlineStr">
        <is>
          <t>A-348</t>
        </is>
      </c>
      <c r="U1003" t="inlineStr"/>
      <c r="V1003" t="inlineStr">
        <is>
          <t>A</t>
        </is>
      </c>
    </row>
    <row r="1004">
      <c r="A1004" t="inlineStr">
        <is>
          <t>DDS Netcom AG</t>
        </is>
      </c>
      <c r="B1004" t="inlineStr">
        <is>
          <t>瑞士</t>
        </is>
      </c>
      <c r="C1004" t="inlineStr">
        <is>
          <t>Fehraltorf</t>
        </is>
      </c>
      <c r="D1004" t="inlineStr"/>
      <c r="E1004" t="inlineStr">
        <is>
          <t>集成商/代理（Allied Telesis）</t>
        </is>
      </c>
      <c r="F1004" t="inlineStr">
        <is>
          <t>Allied Telesis（Marvell Prestera 接入层）</t>
        </is>
      </c>
      <c r="G1004" t="inlineStr">
        <is>
          <t>否</t>
        </is>
      </c>
      <c r="H1004" t="inlineStr">
        <is>
          <t>Marvell Prestera 接入层切入</t>
        </is>
      </c>
      <c r="I1004" t="inlineStr">
        <is>
          <t>LT-S8328XGP-4XS24GT-S</t>
        </is>
      </c>
      <c r="J1004" t="inlineStr">
        <is>
          <t>见 alliedtelesis.com 伙伴页</t>
        </is>
      </c>
      <c r="K1004" t="inlineStr">
        <is>
          <t>★★★</t>
        </is>
      </c>
      <c r="L1004" t="inlineStr">
        <is>
          <t>未触达</t>
        </is>
      </c>
      <c r="M1004" t="inlineStr">
        <is>
          <t>Allied Telesis 官方伙伴定位器（?country=switzerland）</t>
        </is>
      </c>
      <c r="N1004" t="inlineStr"/>
      <c r="O1004" t="inlineStr"/>
      <c r="P1004" t="inlineStr"/>
      <c r="Q1004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4" t="inlineStr">
        <is>
          <t>A</t>
        </is>
      </c>
      <c r="S1004" t="inlineStr">
        <is>
          <t>【人工定级】A —— 自动规则已跳过；信息待人工补齐（见备注）</t>
        </is>
      </c>
      <c r="T1004" t="inlineStr">
        <is>
          <t>A-349</t>
        </is>
      </c>
      <c r="U1004" t="inlineStr"/>
      <c r="V1004" t="inlineStr">
        <is>
          <t>A</t>
        </is>
      </c>
    </row>
    <row r="1005">
      <c r="A1005" t="inlineStr">
        <is>
          <t>FIVE Informatik AG</t>
        </is>
      </c>
      <c r="B1005" t="inlineStr">
        <is>
          <t>瑞士</t>
        </is>
      </c>
      <c r="C1005" t="inlineStr">
        <is>
          <t>Urtenen-Schönbühl</t>
        </is>
      </c>
      <c r="D1005" t="inlineStr"/>
      <c r="E1005" t="inlineStr">
        <is>
          <t>集成商/代理（Allied Telesis）</t>
        </is>
      </c>
      <c r="F1005" t="inlineStr">
        <is>
          <t>Allied Telesis（Marvell Prestera 接入层）</t>
        </is>
      </c>
      <c r="G1005" t="inlineStr">
        <is>
          <t>否</t>
        </is>
      </c>
      <c r="H1005" t="inlineStr">
        <is>
          <t>Marvell Prestera 接入层切入</t>
        </is>
      </c>
      <c r="I1005" t="inlineStr">
        <is>
          <t>LT-S8328XGP-4XS24GT-S</t>
        </is>
      </c>
      <c r="J1005" t="inlineStr">
        <is>
          <t>见 alliedtelesis.com 伙伴页</t>
        </is>
      </c>
      <c r="K1005" t="inlineStr">
        <is>
          <t>★★★</t>
        </is>
      </c>
      <c r="L1005" t="inlineStr">
        <is>
          <t>未触达</t>
        </is>
      </c>
      <c r="M1005" t="inlineStr">
        <is>
          <t>Allied Telesis 官方伙伴定位器（?country=switzerland）</t>
        </is>
      </c>
      <c r="N1005" t="inlineStr"/>
      <c r="O1005" t="inlineStr"/>
      <c r="P1005" t="inlineStr"/>
      <c r="Q100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伙伴等级：Integrate, Resell。</t>
        </is>
      </c>
      <c r="R1005" t="inlineStr">
        <is>
          <t>A</t>
        </is>
      </c>
      <c r="S1005" t="inlineStr">
        <is>
          <t>【人工定级】A —— 自动规则已跳过；信息待人工补齐（见备注）</t>
        </is>
      </c>
      <c r="T1005" t="inlineStr">
        <is>
          <t>A-350</t>
        </is>
      </c>
      <c r="U1005" t="inlineStr"/>
      <c r="V1005" t="inlineStr">
        <is>
          <t>A</t>
        </is>
      </c>
    </row>
    <row r="1006">
      <c r="A1006" t="inlineStr">
        <is>
          <t>KNT Technology SP. Z O.O.</t>
        </is>
      </c>
      <c r="B1006" t="inlineStr">
        <is>
          <t>波兰</t>
        </is>
      </c>
      <c r="C1006" t="inlineStr">
        <is>
          <t>Olsztyn</t>
        </is>
      </c>
      <c r="D1006" t="inlineStr"/>
      <c r="E1006" t="inlineStr">
        <is>
          <t>集成商/代理（Allied Telesis）</t>
        </is>
      </c>
      <c r="F1006" t="inlineStr">
        <is>
          <t>Allied Telesis（Marvell Prestera 接入层）</t>
        </is>
      </c>
      <c r="G1006" t="inlineStr">
        <is>
          <t>否</t>
        </is>
      </c>
      <c r="H1006" t="inlineStr">
        <is>
          <t>Marvell Prestera 接入层切入</t>
        </is>
      </c>
      <c r="I1006" t="inlineStr">
        <is>
          <t>LT-S8328XGP-4XS24GT-S</t>
        </is>
      </c>
      <c r="J1006" t="inlineStr">
        <is>
          <t>见 alliedtelesis.com 伙伴页</t>
        </is>
      </c>
      <c r="K1006" t="inlineStr">
        <is>
          <t>★★★</t>
        </is>
      </c>
      <c r="L1006" t="inlineStr">
        <is>
          <t>未触达</t>
        </is>
      </c>
      <c r="M1006" t="inlineStr">
        <is>
          <t>Allied Telesis 官方伙伴定位器（?country=poland）</t>
        </is>
      </c>
      <c r="N1006" t="inlineStr"/>
      <c r="O1006" t="inlineStr"/>
      <c r="P1006" t="inlineStr"/>
      <c r="Q100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6" t="inlineStr">
        <is>
          <t>A</t>
        </is>
      </c>
      <c r="S1006" t="inlineStr">
        <is>
          <t>【人工定级】A —— 自动规则已跳过；信息待人工补齐（见备注）</t>
        </is>
      </c>
      <c r="T1006" t="inlineStr">
        <is>
          <t>A-351</t>
        </is>
      </c>
      <c r="U1006" t="inlineStr"/>
      <c r="V1006" t="inlineStr">
        <is>
          <t>A</t>
        </is>
      </c>
    </row>
    <row r="1007">
      <c r="A1007" t="inlineStr">
        <is>
          <t>Nomios Poland Sp. z o. o.</t>
        </is>
      </c>
      <c r="B1007" t="inlineStr">
        <is>
          <t>波兰</t>
        </is>
      </c>
      <c r="C1007" t="inlineStr">
        <is>
          <t>Warszawa</t>
        </is>
      </c>
      <c r="D1007" t="inlineStr"/>
      <c r="E1007" t="inlineStr">
        <is>
          <t>集成商/代理（Allied Telesis）</t>
        </is>
      </c>
      <c r="F1007" t="inlineStr">
        <is>
          <t>Allied Telesis（Marvell Prestera 接入层）</t>
        </is>
      </c>
      <c r="G1007" t="inlineStr">
        <is>
          <t>否</t>
        </is>
      </c>
      <c r="H1007" t="inlineStr">
        <is>
          <t>Marvell Prestera 接入层切入</t>
        </is>
      </c>
      <c r="I1007" t="inlineStr">
        <is>
          <t>LT-S8328XGP-4XS24GT-S</t>
        </is>
      </c>
      <c r="J1007" t="inlineStr">
        <is>
          <t>见 alliedtelesis.com 伙伴页</t>
        </is>
      </c>
      <c r="K1007" t="inlineStr">
        <is>
          <t>★★★</t>
        </is>
      </c>
      <c r="L1007" t="inlineStr">
        <is>
          <t>未触达</t>
        </is>
      </c>
      <c r="M1007" t="inlineStr">
        <is>
          <t>Allied Telesis 官方伙伴定位器（?country=poland）</t>
        </is>
      </c>
      <c r="N1007" t="inlineStr"/>
      <c r="O1007" t="inlineStr"/>
      <c r="P1007" t="inlineStr"/>
      <c r="Q100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7" t="inlineStr">
        <is>
          <t>A</t>
        </is>
      </c>
      <c r="S1007" t="inlineStr">
        <is>
          <t>【人工定级】A —— 自动规则已跳过；信息待人工补齐（见备注）</t>
        </is>
      </c>
      <c r="T1007" t="inlineStr">
        <is>
          <t>A-352</t>
        </is>
      </c>
      <c r="U1007" t="inlineStr"/>
      <c r="V1007" t="inlineStr">
        <is>
          <t>A</t>
        </is>
      </c>
    </row>
    <row r="1008">
      <c r="A1008" t="inlineStr">
        <is>
          <t>Stovaris Sp. z o.o.</t>
        </is>
      </c>
      <c r="B1008" t="inlineStr">
        <is>
          <t>波兰</t>
        </is>
      </c>
      <c r="C1008" t="inlineStr">
        <is>
          <t>Warszawa</t>
        </is>
      </c>
      <c r="D1008" t="inlineStr"/>
      <c r="E1008" t="inlineStr">
        <is>
          <t>集成商/代理（Allied Telesis）</t>
        </is>
      </c>
      <c r="F1008" t="inlineStr">
        <is>
          <t>Allied Telesis（Marvell Prestera 接入层）</t>
        </is>
      </c>
      <c r="G1008" t="inlineStr">
        <is>
          <t>否</t>
        </is>
      </c>
      <c r="H1008" t="inlineStr">
        <is>
          <t>Marvell Prestera 接入层切入</t>
        </is>
      </c>
      <c r="I1008" t="inlineStr">
        <is>
          <t>LT-S8328XGP-4XS24GT-S</t>
        </is>
      </c>
      <c r="J1008" t="inlineStr">
        <is>
          <t>见 alliedtelesis.com 伙伴页</t>
        </is>
      </c>
      <c r="K1008" t="inlineStr">
        <is>
          <t>★★★</t>
        </is>
      </c>
      <c r="L1008" t="inlineStr">
        <is>
          <t>未触达</t>
        </is>
      </c>
      <c r="M1008" t="inlineStr">
        <is>
          <t>Allied Telesis 官方伙伴定位器（?country=poland）</t>
        </is>
      </c>
      <c r="N1008" t="inlineStr"/>
      <c r="O1008" t="inlineStr"/>
      <c r="P1008" t="inlineStr"/>
      <c r="Q100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08" t="inlineStr">
        <is>
          <t>A</t>
        </is>
      </c>
      <c r="S1008" t="inlineStr">
        <is>
          <t>【人工定级】A —— 自动规则已跳过；信息待人工补齐（见备注）</t>
        </is>
      </c>
      <c r="T1008" t="inlineStr">
        <is>
          <t>A-353</t>
        </is>
      </c>
      <c r="U1008" t="inlineStr"/>
      <c r="V1008" t="inlineStr">
        <is>
          <t>A</t>
        </is>
      </c>
    </row>
    <row r="1009">
      <c r="A1009" t="inlineStr">
        <is>
          <t>Titan Security Group</t>
        </is>
      </c>
      <c r="B1009" t="inlineStr">
        <is>
          <t>美国</t>
        </is>
      </c>
      <c r="C1009" t="inlineStr">
        <is>
          <t>Chicago, IL</t>
        </is>
      </c>
      <c r="D1009" t="inlineStr"/>
      <c r="E1009" t="inlineStr">
        <is>
          <t>集成商/代理（Allied Telesis）</t>
        </is>
      </c>
      <c r="F1009" t="inlineStr">
        <is>
          <t>Allied Telesis（Marvell Prestera 接入层）</t>
        </is>
      </c>
      <c r="G1009" t="inlineStr">
        <is>
          <t>否</t>
        </is>
      </c>
      <c r="H1009" t="inlineStr">
        <is>
          <t>Marvell Prestera 接入层切入</t>
        </is>
      </c>
      <c r="I1009" t="inlineStr">
        <is>
          <t>LT-S8328XGP-4XS24GT-S</t>
        </is>
      </c>
      <c r="J1009" t="inlineStr">
        <is>
          <t>见 alliedtelesis.com 伙伴页</t>
        </is>
      </c>
      <c r="K1009" t="inlineStr">
        <is>
          <t>★★★</t>
        </is>
      </c>
      <c r="L1009" t="inlineStr">
        <is>
          <t>未触达</t>
        </is>
      </c>
      <c r="M1009" t="inlineStr">
        <is>
          <t>Allied Telesis 官方伙伴定位器（?country=united-states）</t>
        </is>
      </c>
      <c r="N1009" t="inlineStr"/>
      <c r="O1009" t="inlineStr"/>
      <c r="P1009" t="inlineStr"/>
      <c r="Q1009" t="inlineStr">
        <is>
          <t>伙伴等级：Resell。安防/消防系统集成商 —— IP 视频与门禁依赖接入层 PoE 交换机，属 SmartByte 可替换场景。</t>
        </is>
      </c>
      <c r="R1009" t="inlineStr">
        <is>
          <t>A</t>
        </is>
      </c>
      <c r="S1009" t="inlineStr">
        <is>
          <t>有明确交换/供电需求（交换专长、PoE/监控/门禁），三星重点</t>
        </is>
      </c>
      <c r="T1009" t="inlineStr">
        <is>
          <t>A-354</t>
        </is>
      </c>
      <c r="U1009" t="inlineStr"/>
      <c r="V1009" t="inlineStr"/>
    </row>
    <row r="1010">
      <c r="A1010" t="inlineStr">
        <is>
          <t>Watkins Security</t>
        </is>
      </c>
      <c r="B1010" t="inlineStr">
        <is>
          <t>美国</t>
        </is>
      </c>
      <c r="C1010" t="inlineStr">
        <is>
          <t>Johnstown, PA</t>
        </is>
      </c>
      <c r="D1010" t="inlineStr"/>
      <c r="E1010" t="inlineStr">
        <is>
          <t>集成商/代理（Allied Telesis）</t>
        </is>
      </c>
      <c r="F1010" t="inlineStr">
        <is>
          <t>Allied Telesis（Marvell Prestera 接入层）</t>
        </is>
      </c>
      <c r="G1010" t="inlineStr">
        <is>
          <t>否</t>
        </is>
      </c>
      <c r="H1010" t="inlineStr">
        <is>
          <t>Marvell Prestera 接入层切入</t>
        </is>
      </c>
      <c r="I1010" t="inlineStr">
        <is>
          <t>LT-S8328XGP-4XS24GT-S</t>
        </is>
      </c>
      <c r="J1010" t="inlineStr">
        <is>
          <t>见 alliedtelesis.com 伙伴页</t>
        </is>
      </c>
      <c r="K1010" t="inlineStr">
        <is>
          <t>★★★</t>
        </is>
      </c>
      <c r="L1010" t="inlineStr">
        <is>
          <t>未触达</t>
        </is>
      </c>
      <c r="M1010" t="inlineStr">
        <is>
          <t>Allied Telesis 官方伙伴定位器（?country=united-states）</t>
        </is>
      </c>
      <c r="N1010" t="inlineStr"/>
      <c r="O1010" t="inlineStr"/>
      <c r="P1010" t="inlineStr"/>
      <c r="Q1010" t="inlineStr">
        <is>
          <t>伙伴等级：Resell。安防/消防系统集成商 —— IP 视频与门禁依赖接入层 PoE 交换机，属 SmartByte 可替换场景。</t>
        </is>
      </c>
      <c r="R1010" t="inlineStr">
        <is>
          <t>A</t>
        </is>
      </c>
      <c r="S1010" t="inlineStr">
        <is>
          <t>有明确交换/供电需求（交换专长、PoE/监控/门禁），三星重点</t>
        </is>
      </c>
      <c r="T1010" t="inlineStr">
        <is>
          <t>A-355</t>
        </is>
      </c>
      <c r="U1010" t="inlineStr"/>
      <c r="V1010" t="inlineStr"/>
    </row>
    <row r="1011">
      <c r="A1011" t="inlineStr">
        <is>
          <t>4service s.r.o.</t>
        </is>
      </c>
      <c r="B1011" t="inlineStr">
        <is>
          <t>捷克</t>
        </is>
      </c>
      <c r="C1011" t="inlineStr">
        <is>
          <t>České Budějovice</t>
        </is>
      </c>
      <c r="D1011" t="inlineStr"/>
      <c r="E1011" t="inlineStr">
        <is>
          <t>集成商/代理（Allied Telesis）</t>
        </is>
      </c>
      <c r="F1011" t="inlineStr">
        <is>
          <t>Allied Telesis（Marvell Prestera 接入层）</t>
        </is>
      </c>
      <c r="G1011" t="inlineStr">
        <is>
          <t>否</t>
        </is>
      </c>
      <c r="H1011" t="inlineStr">
        <is>
          <t>Marvell Prestera 接入层切入</t>
        </is>
      </c>
      <c r="I1011" t="inlineStr">
        <is>
          <t>LT-S8328XGP-4XS24GT-S</t>
        </is>
      </c>
      <c r="J1011" t="inlineStr">
        <is>
          <t>见 alliedtelesis.com 伙伴页</t>
        </is>
      </c>
      <c r="K1011" t="inlineStr">
        <is>
          <t>★★★</t>
        </is>
      </c>
      <c r="L1011" t="inlineStr">
        <is>
          <t>未触达</t>
        </is>
      </c>
      <c r="M1011" t="inlineStr">
        <is>
          <t>Allied Telesis 官方伙伴定位器（?country=czechia）</t>
        </is>
      </c>
      <c r="N1011" t="inlineStr"/>
      <c r="O1011" t="inlineStr"/>
      <c r="P1011" t="inlineStr"/>
      <c r="Q1011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1" t="inlineStr">
        <is>
          <t>A</t>
        </is>
      </c>
      <c r="S1011" t="inlineStr">
        <is>
          <t>【人工定级】A —— 自动规则已跳过；信息待人工补齐（见备注）</t>
        </is>
      </c>
      <c r="T1011" t="inlineStr">
        <is>
          <t>A-356</t>
        </is>
      </c>
      <c r="U1011" t="inlineStr"/>
      <c r="V1011" t="inlineStr">
        <is>
          <t>A</t>
        </is>
      </c>
    </row>
    <row r="1012">
      <c r="A1012" t="inlineStr">
        <is>
          <t>nLogic</t>
        </is>
      </c>
      <c r="B1012" t="inlineStr">
        <is>
          <t>挪威</t>
        </is>
      </c>
      <c r="C1012" t="inlineStr">
        <is>
          <t>Oslo</t>
        </is>
      </c>
      <c r="D1012" t="inlineStr"/>
      <c r="E1012" t="inlineStr">
        <is>
          <t>集成商/代理（Allied Telesis）</t>
        </is>
      </c>
      <c r="F1012" t="inlineStr">
        <is>
          <t>Allied Telesis（Marvell Prestera 接入层）</t>
        </is>
      </c>
      <c r="G1012" t="inlineStr">
        <is>
          <t>否</t>
        </is>
      </c>
      <c r="H1012" t="inlineStr">
        <is>
          <t>Marvell Prestera 接入层切入</t>
        </is>
      </c>
      <c r="I1012" t="inlineStr">
        <is>
          <t>LT-S8328XGP-4XS24GT-S</t>
        </is>
      </c>
      <c r="J1012" t="inlineStr">
        <is>
          <t>见 alliedtelesis.com 伙伴页</t>
        </is>
      </c>
      <c r="K1012" t="inlineStr">
        <is>
          <t>★★★</t>
        </is>
      </c>
      <c r="L1012" t="inlineStr">
        <is>
          <t>未触达</t>
        </is>
      </c>
      <c r="M1012" t="inlineStr">
        <is>
          <t>Allied Telesis 官方伙伴定位器（?country=norway）</t>
        </is>
      </c>
      <c r="N1012" t="inlineStr"/>
      <c r="O1012" t="inlineStr"/>
      <c r="P1012" t="inlineStr"/>
      <c r="Q1012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2" t="inlineStr">
        <is>
          <t>A</t>
        </is>
      </c>
      <c r="S1012" t="inlineStr">
        <is>
          <t>【人工定级】A —— 自动规则已跳过；信息待人工补齐（见备注）</t>
        </is>
      </c>
      <c r="T1012" t="inlineStr">
        <is>
          <t>A-357</t>
        </is>
      </c>
      <c r="U1012" t="inlineStr"/>
      <c r="V1012" t="inlineStr">
        <is>
          <t>A</t>
        </is>
      </c>
    </row>
    <row r="1013">
      <c r="A1013" t="inlineStr">
        <is>
          <t>Specto Remote AS</t>
        </is>
      </c>
      <c r="B1013" t="inlineStr">
        <is>
          <t>挪威</t>
        </is>
      </c>
      <c r="C1013" t="inlineStr">
        <is>
          <t>Oslo</t>
        </is>
      </c>
      <c r="D1013" t="inlineStr"/>
      <c r="E1013" t="inlineStr">
        <is>
          <t>集成商/代理（Allied Telesis）</t>
        </is>
      </c>
      <c r="F1013" t="inlineStr">
        <is>
          <t>Allied Telesis（Marvell Prestera 接入层）</t>
        </is>
      </c>
      <c r="G1013" t="inlineStr">
        <is>
          <t>否</t>
        </is>
      </c>
      <c r="H1013" t="inlineStr">
        <is>
          <t>Marvell Prestera 接入层切入</t>
        </is>
      </c>
      <c r="I1013" t="inlineStr">
        <is>
          <t>LT-S8328XGP-4XS24GT-S</t>
        </is>
      </c>
      <c r="J1013" t="inlineStr">
        <is>
          <t>见 alliedtelesis.com 伙伴页</t>
        </is>
      </c>
      <c r="K1013" t="inlineStr">
        <is>
          <t>★★★</t>
        </is>
      </c>
      <c r="L1013" t="inlineStr">
        <is>
          <t>未触达</t>
        </is>
      </c>
      <c r="M1013" t="inlineStr">
        <is>
          <t>Allied Telesis 官方伙伴定位器（?country=norway）</t>
        </is>
      </c>
      <c r="N1013" t="inlineStr"/>
      <c r="O1013" t="inlineStr"/>
      <c r="P1013" t="inlineStr"/>
      <c r="Q1013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 伙伴等级：Resell。</t>
        </is>
      </c>
      <c r="R1013" t="inlineStr">
        <is>
          <t>A</t>
        </is>
      </c>
      <c r="S1013" t="inlineStr">
        <is>
          <t>【人工定级】A —— 自动规则已跳过；信息待人工补齐（见备注）</t>
        </is>
      </c>
      <c r="T1013" t="inlineStr">
        <is>
          <t>A-358</t>
        </is>
      </c>
      <c r="U1013" t="inlineStr"/>
      <c r="V1013" t="inlineStr">
        <is>
          <t>A</t>
        </is>
      </c>
    </row>
    <row r="1014">
      <c r="A1014" t="inlineStr">
        <is>
          <t>Teleste</t>
        </is>
      </c>
      <c r="B1014" t="inlineStr">
        <is>
          <t>芬兰</t>
        </is>
      </c>
      <c r="C1014" t="inlineStr">
        <is>
          <t>Turku</t>
        </is>
      </c>
      <c r="D1014" t="inlineStr"/>
      <c r="E1014" t="inlineStr">
        <is>
          <t>集成商/代理（Allied Telesis）</t>
        </is>
      </c>
      <c r="F1014" t="inlineStr">
        <is>
          <t>Allied Telesis（Marvell Prestera 接入层）</t>
        </is>
      </c>
      <c r="G1014" t="inlineStr">
        <is>
          <t>否</t>
        </is>
      </c>
      <c r="H1014" t="inlineStr">
        <is>
          <t>Marvell Prestera 接入层切入</t>
        </is>
      </c>
      <c r="I1014" t="inlineStr">
        <is>
          <t>LT-S8328XGP-4XS24GT-S</t>
        </is>
      </c>
      <c r="J1014" t="inlineStr">
        <is>
          <t>见 alliedtelesis.com 伙伴页</t>
        </is>
      </c>
      <c r="K1014" t="inlineStr">
        <is>
          <t>★★★</t>
        </is>
      </c>
      <c r="L1014" t="inlineStr">
        <is>
          <t>未触达</t>
        </is>
      </c>
      <c r="M1014" t="inlineStr">
        <is>
          <t>Allied Telesis 官方伙伴定位器（?country=finland）</t>
        </is>
      </c>
      <c r="N1014" t="inlineStr"/>
      <c r="O1014" t="inlineStr"/>
      <c r="P1014" t="inlineStr"/>
      <c r="Q1014" t="inlineStr">
        <is>
          <t>伙伴等级：Integrate, Resell。⚠️ Teleste 本身是视频/接入网络设备厂商（上市），**可能是竞品而非客户** —— 触达前先确认其采购角色。</t>
        </is>
      </c>
      <c r="R1014" t="inlineStr">
        <is>
          <t>C</t>
        </is>
      </c>
      <c r="S1014" t="inlineStr">
        <is>
          <t>备注含「上市」，决策链长或存在品牌冲突</t>
        </is>
      </c>
      <c r="T1014" t="inlineStr">
        <is>
          <t>C-370</t>
        </is>
      </c>
      <c r="U1014" t="inlineStr">
        <is>
          <t>太难·规模过大/决策链长</t>
        </is>
      </c>
      <c r="V1014" t="inlineStr"/>
    </row>
    <row r="1015">
      <c r="A1015" t="inlineStr">
        <is>
          <t>C2F Copper2Fiber</t>
        </is>
      </c>
      <c r="B1015" t="inlineStr">
        <is>
          <t>葡萄牙</t>
        </is>
      </c>
      <c r="C1015" t="inlineStr">
        <is>
          <t>Barcarena</t>
        </is>
      </c>
      <c r="D1015" t="inlineStr"/>
      <c r="E1015" t="inlineStr">
        <is>
          <t>集成商/代理（Allied Telesis）</t>
        </is>
      </c>
      <c r="F1015" t="inlineStr">
        <is>
          <t>Allied Telesis（Marvell Prestera 接入层）</t>
        </is>
      </c>
      <c r="G1015" t="inlineStr">
        <is>
          <t>否</t>
        </is>
      </c>
      <c r="H1015" t="inlineStr">
        <is>
          <t>Marvell Prestera 接入层切入</t>
        </is>
      </c>
      <c r="I1015" t="inlineStr">
        <is>
          <t>LT-S8328XGP-4XS24GT-S</t>
        </is>
      </c>
      <c r="J1015" t="inlineStr">
        <is>
          <t>见 alliedtelesis.com 伙伴页</t>
        </is>
      </c>
      <c r="K1015" t="inlineStr">
        <is>
          <t>★★★</t>
        </is>
      </c>
      <c r="L1015" t="inlineStr">
        <is>
          <t>未触达</t>
        </is>
      </c>
      <c r="M1015" t="inlineStr">
        <is>
          <t>Allied Telesis 官方伙伴定位器（?country=portugal）</t>
        </is>
      </c>
      <c r="N1015" t="inlineStr"/>
      <c r="O1015" t="inlineStr"/>
      <c r="P1015" t="inlineStr"/>
      <c r="Q1015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5" t="inlineStr">
        <is>
          <t>A</t>
        </is>
      </c>
      <c r="S1015" t="inlineStr">
        <is>
          <t>【人工定级】A —— 自动规则已跳过；信息待人工补齐（见备注）</t>
        </is>
      </c>
      <c r="T1015" t="inlineStr">
        <is>
          <t>A-359</t>
        </is>
      </c>
      <c r="U1015" t="inlineStr"/>
      <c r="V1015" t="inlineStr">
        <is>
          <t>A</t>
        </is>
      </c>
    </row>
    <row r="1016">
      <c r="A1016" t="inlineStr">
        <is>
          <t>Databox</t>
        </is>
      </c>
      <c r="B1016" t="inlineStr">
        <is>
          <t>葡萄牙</t>
        </is>
      </c>
      <c r="C1016" t="inlineStr">
        <is>
          <t>Massamá</t>
        </is>
      </c>
      <c r="D1016" t="inlineStr"/>
      <c r="E1016" t="inlineStr">
        <is>
          <t>集成商/代理（Allied Telesis）</t>
        </is>
      </c>
      <c r="F1016" t="inlineStr">
        <is>
          <t>Allied Telesis（Marvell Prestera 接入层）</t>
        </is>
      </c>
      <c r="G1016" t="inlineStr">
        <is>
          <t>否</t>
        </is>
      </c>
      <c r="H1016" t="inlineStr">
        <is>
          <t>Marvell Prestera 接入层切入</t>
        </is>
      </c>
      <c r="I1016" t="inlineStr">
        <is>
          <t>LT-S8328XGP-4XS24GT-S</t>
        </is>
      </c>
      <c r="J1016" t="inlineStr">
        <is>
          <t>见 alliedtelesis.com 伙伴页</t>
        </is>
      </c>
      <c r="K1016" t="inlineStr">
        <is>
          <t>★★★</t>
        </is>
      </c>
      <c r="L1016" t="inlineStr">
        <is>
          <t>未触达</t>
        </is>
      </c>
      <c r="M1016" t="inlineStr">
        <is>
          <t>Allied Telesis 官方伙伴定位器（?country=portugal）</t>
        </is>
      </c>
      <c r="N1016" t="inlineStr"/>
      <c r="O1016" t="inlineStr"/>
      <c r="P1016" t="inlineStr"/>
      <c r="Q1016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6" t="inlineStr">
        <is>
          <t>A</t>
        </is>
      </c>
      <c r="S1016" t="inlineStr">
        <is>
          <t>【人工定级】A —— 自动规则已跳过；信息待人工补齐（见备注）</t>
        </is>
      </c>
      <c r="T1016" t="inlineStr">
        <is>
          <t>A-360</t>
        </is>
      </c>
      <c r="U1016" t="inlineStr"/>
      <c r="V1016" t="inlineStr">
        <is>
          <t>A</t>
        </is>
      </c>
    </row>
    <row r="1017">
      <c r="A1017" t="inlineStr">
        <is>
          <t>Digital Sima S.A.</t>
        </is>
      </c>
      <c r="B1017" t="inlineStr">
        <is>
          <t>希腊</t>
        </is>
      </c>
      <c r="C1017" t="inlineStr">
        <is>
          <t>Athens</t>
        </is>
      </c>
      <c r="D1017" t="inlineStr"/>
      <c r="E1017" t="inlineStr">
        <is>
          <t>集成商/代理（Allied Telesis）</t>
        </is>
      </c>
      <c r="F1017" t="inlineStr">
        <is>
          <t>Allied Telesis（Marvell Prestera 接入层）</t>
        </is>
      </c>
      <c r="G1017" t="inlineStr">
        <is>
          <t>否</t>
        </is>
      </c>
      <c r="H1017" t="inlineStr">
        <is>
          <t>Marvell Prestera 接入层切入</t>
        </is>
      </c>
      <c r="I1017" t="inlineStr">
        <is>
          <t>LT-S8328XGP-4XS24GT-S</t>
        </is>
      </c>
      <c r="J1017" t="inlineStr">
        <is>
          <t>见 alliedtelesis.com 伙伴页</t>
        </is>
      </c>
      <c r="K1017" t="inlineStr">
        <is>
          <t>★★★</t>
        </is>
      </c>
      <c r="L1017" t="inlineStr">
        <is>
          <t>未触达</t>
        </is>
      </c>
      <c r="M1017" t="inlineStr">
        <is>
          <t>Allied Telesis 官方伙伴定位器（?country=greece）</t>
        </is>
      </c>
      <c r="N1017" t="inlineStr"/>
      <c r="O1017" t="inlineStr"/>
      <c r="P1017" t="inlineStr"/>
      <c r="Q1017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7" t="inlineStr">
        <is>
          <t>A</t>
        </is>
      </c>
      <c r="S1017" t="inlineStr">
        <is>
          <t>【人工定级】A —— 自动规则已跳过；信息待人工补齐（见备注）</t>
        </is>
      </c>
      <c r="T1017" t="inlineStr">
        <is>
          <t>A-361</t>
        </is>
      </c>
      <c r="U1017" t="inlineStr"/>
      <c r="V1017" t="inlineStr">
        <is>
          <t>A</t>
        </is>
      </c>
    </row>
    <row r="1018">
      <c r="A1018" t="inlineStr">
        <is>
          <t>LEXIS S.A.</t>
        </is>
      </c>
      <c r="B1018" t="inlineStr">
        <is>
          <t>希腊</t>
        </is>
      </c>
      <c r="C1018" t="inlineStr">
        <is>
          <t>Gerakas Attikis</t>
        </is>
      </c>
      <c r="D1018" t="inlineStr"/>
      <c r="E1018" t="inlineStr">
        <is>
          <t>集成商/代理（Allied Telesis）</t>
        </is>
      </c>
      <c r="F1018" t="inlineStr">
        <is>
          <t>Allied Telesis（Marvell Prestera 接入层）</t>
        </is>
      </c>
      <c r="G1018" t="inlineStr">
        <is>
          <t>否</t>
        </is>
      </c>
      <c r="H1018" t="inlineStr">
        <is>
          <t>Marvell Prestera 接入层切入</t>
        </is>
      </c>
      <c r="I1018" t="inlineStr">
        <is>
          <t>LT-S8328XGP-4XS24GT-S</t>
        </is>
      </c>
      <c r="J1018" t="inlineStr">
        <is>
          <t>见 alliedtelesis.com 伙伴页</t>
        </is>
      </c>
      <c r="K1018" t="inlineStr">
        <is>
          <t>★★★</t>
        </is>
      </c>
      <c r="L1018" t="inlineStr">
        <is>
          <t>未触达</t>
        </is>
      </c>
      <c r="M1018" t="inlineStr">
        <is>
          <t>Allied Telesis 官方伙伴定位器（?country=greece）</t>
        </is>
      </c>
      <c r="N1018" t="inlineStr"/>
      <c r="O1018" t="inlineStr"/>
      <c r="P1018" t="inlineStr"/>
      <c r="Q1018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8" t="inlineStr">
        <is>
          <t>A</t>
        </is>
      </c>
      <c r="S1018" t="inlineStr">
        <is>
          <t>【人工定级】A —— 自动规则已跳过；信息待人工补齐（见备注）</t>
        </is>
      </c>
      <c r="T1018" t="inlineStr">
        <is>
          <t>A-362</t>
        </is>
      </c>
      <c r="U1018" t="inlineStr"/>
      <c r="V1018" t="inlineStr">
        <is>
          <t>A</t>
        </is>
      </c>
    </row>
    <row r="1019">
      <c r="A1019" t="inlineStr">
        <is>
          <t>Young B.T.S. Ltd.</t>
        </is>
      </c>
      <c r="B1019" t="inlineStr">
        <is>
          <t>匈牙利</t>
        </is>
      </c>
      <c r="C1019" t="inlineStr">
        <is>
          <t>Budapest</t>
        </is>
      </c>
      <c r="D1019" t="inlineStr"/>
      <c r="E1019" t="inlineStr">
        <is>
          <t>集成商/代理（Allied Telesis）</t>
        </is>
      </c>
      <c r="F1019" t="inlineStr">
        <is>
          <t>Allied Telesis（Marvell Prestera 接入层）</t>
        </is>
      </c>
      <c r="G1019" t="inlineStr">
        <is>
          <t>否</t>
        </is>
      </c>
      <c r="H1019" t="inlineStr">
        <is>
          <t>Marvell Prestera 接入层切入</t>
        </is>
      </c>
      <c r="I1019" t="inlineStr">
        <is>
          <t>LT-S8328XGP-4XS24GT-S</t>
        </is>
      </c>
      <c r="J1019" t="inlineStr">
        <is>
          <t>见 alliedtelesis.com 伙伴页</t>
        </is>
      </c>
      <c r="K1019" t="inlineStr">
        <is>
          <t>★★★</t>
        </is>
      </c>
      <c r="L1019" t="inlineStr">
        <is>
          <t>未触达</t>
        </is>
      </c>
      <c r="M1019" t="inlineStr">
        <is>
          <t>Allied Telesis 官方伙伴定位器（?country=hungary）</t>
        </is>
      </c>
      <c r="N1019" t="inlineStr"/>
      <c r="O1019" t="inlineStr"/>
      <c r="P1019" t="inlineStr"/>
      <c r="Q1019" t="inlineStr">
        <is>
          <t>【待人工补信息】本条为**集成商/顾问型**，属 A 级主产地，但当前**抓不到邮箱**（群发触达不到），故由人工定级提为 A。**需要人工处理**：请补邮箱（或确认电话为唯一触达方式）后再进入群发名单。补到邮箱后本标注可删。</t>
        </is>
      </c>
      <c r="R1019" t="inlineStr">
        <is>
          <t>A</t>
        </is>
      </c>
      <c r="S1019" t="inlineStr">
        <is>
          <t>【人工定级】A —— 自动规则已跳过；信息待人工补齐（见备注）</t>
        </is>
      </c>
      <c r="T1019" t="inlineStr">
        <is>
          <t>A-363</t>
        </is>
      </c>
      <c r="U1019" t="inlineStr"/>
      <c r="V1019" t="inlineStr">
        <is>
          <t>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2026-09-21T12:40:58Z</dcterms:created>
  <dcterms:modified xsi:type="dcterms:W3CDTF">2026-09-27T12:46:02Z</dcterms:modified>
</cp:coreProperties>
</file>